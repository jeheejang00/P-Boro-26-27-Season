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ink/ink1.xml" ContentType="application/inkml+xml"/>
  <Override PartName="/xl/ink/ink2.xml" ContentType="application/inkml+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ink/ink3.xml" ContentType="application/inkml+xml"/>
  <Override PartName="/xl/drawings/drawing2.xml" ContentType="application/vnd.openxmlformats-officedocument.drawing+xml"/>
  <Override PartName="/xl/slicers/slicer1.xml" ContentType="application/vnd.ms-excel.slicer+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jehee/Desktop/Peterborough United FC */26:27/Match report/"/>
    </mc:Choice>
  </mc:AlternateContent>
  <xr:revisionPtr revIDLastSave="0" documentId="13_ncr:1_{3C4F9319-4411-7E4C-ACB6-40BD82A53FDC}" xr6:coauthVersionLast="47" xr6:coauthVersionMax="47" xr10:uidLastSave="{00000000-0000-0000-0000-000000000000}"/>
  <bookViews>
    <workbookView xWindow="0" yWindow="780" windowWidth="34200" windowHeight="20180" activeTab="1" xr2:uid="{59581BB1-B690-0845-873A-B98CFE9A4AF1}"/>
  </bookViews>
  <sheets>
    <sheet name="Team Report" sheetId="10" r:id="rId1"/>
    <sheet name="Player Report" sheetId="13" r:id="rId2"/>
    <sheet name="Dashboard" sheetId="14" r:id="rId3"/>
    <sheet name="Dashboard (IND)" sheetId="12" r:id="rId4"/>
    <sheet name="Raw data" sheetId="1" r:id="rId5"/>
  </sheets>
  <definedNames>
    <definedName name="_xlnm._FilterDatabase" localSheetId="2" hidden="1">Dashboard!$DW$12:$IM$23</definedName>
    <definedName name="_xlnm._FilterDatabase" localSheetId="4" hidden="1">'Raw data'!$D$1:$D$1523</definedName>
    <definedName name="Slicer_Player_2">#N/A</definedName>
    <definedName name="Slicer_Position1">#N/A</definedName>
    <definedName name="Slicer_Time">#N/A</definedName>
  </definedNames>
  <calcPr calcId="191029"/>
  <pivotCaches>
    <pivotCache cacheId="1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A4" i="14" l="1"/>
  <c r="IO3" i="14"/>
  <c r="IN3" i="14"/>
  <c r="IM3" i="14"/>
  <c r="IL3" i="14"/>
  <c r="IK3" i="14"/>
  <c r="IJ3" i="14"/>
  <c r="II3" i="14"/>
  <c r="IH3" i="14"/>
  <c r="IG3" i="14"/>
  <c r="IF3" i="14"/>
  <c r="IE3" i="14"/>
  <c r="ID3" i="14"/>
  <c r="IC3" i="14"/>
  <c r="IB3" i="14"/>
  <c r="IA3" i="14"/>
  <c r="HZ3" i="14"/>
  <c r="HW3" i="14"/>
  <c r="HV3" i="14"/>
  <c r="HU3" i="14"/>
  <c r="HR3" i="14"/>
  <c r="HQ3" i="14"/>
  <c r="HP3" i="14"/>
  <c r="HM3" i="14"/>
  <c r="HL3" i="14"/>
  <c r="HK3" i="14"/>
  <c r="HH3" i="14"/>
  <c r="HG3" i="14"/>
  <c r="HF3" i="14"/>
  <c r="HC3" i="14"/>
  <c r="HB3" i="14"/>
  <c r="HA3" i="14"/>
  <c r="GX3" i="14"/>
  <c r="GW3" i="14"/>
  <c r="GV3" i="14"/>
  <c r="GU3" i="14"/>
  <c r="GT3" i="14"/>
  <c r="GS3" i="14"/>
  <c r="GR3" i="14"/>
  <c r="GQ3" i="14"/>
  <c r="GP3" i="14"/>
  <c r="GO3" i="14"/>
  <c r="GL3" i="14"/>
  <c r="GK3" i="14"/>
  <c r="GJ3" i="14"/>
  <c r="GI3" i="14"/>
  <c r="GH3" i="14"/>
  <c r="GG3" i="14"/>
  <c r="GF3" i="14"/>
  <c r="GE3" i="14"/>
  <c r="GD3" i="14"/>
  <c r="GA3" i="14"/>
  <c r="FZ3" i="14"/>
  <c r="FY3" i="14"/>
  <c r="FV3" i="14"/>
  <c r="FU3" i="14"/>
  <c r="FT3" i="14"/>
  <c r="FS3" i="14"/>
  <c r="FR3" i="14"/>
  <c r="FQ3" i="14"/>
  <c r="FP3" i="14"/>
  <c r="FO3" i="14"/>
  <c r="FN3" i="14"/>
  <c r="FM3" i="14"/>
  <c r="FL3" i="14"/>
  <c r="FK3" i="14"/>
  <c r="FH3" i="14"/>
  <c r="FG3" i="14"/>
  <c r="FF3" i="14"/>
  <c r="FE3" i="14"/>
  <c r="FB3" i="14"/>
  <c r="FA3" i="14"/>
  <c r="EZ3" i="14"/>
  <c r="EW3" i="14"/>
  <c r="EV3" i="14"/>
  <c r="EU3" i="14"/>
  <c r="ER3" i="14"/>
  <c r="EQ3" i="14"/>
  <c r="EP3" i="14"/>
  <c r="EM3" i="14"/>
  <c r="EL3" i="14"/>
  <c r="EK3" i="14"/>
  <c r="EH3" i="14"/>
  <c r="EG3" i="14"/>
  <c r="EF3" i="14"/>
  <c r="EC3" i="14"/>
  <c r="EB3" i="14"/>
  <c r="EA3" i="14"/>
  <c r="EA2" i="14"/>
  <c r="IO55" i="14"/>
  <c r="IN55" i="14"/>
  <c r="IM55" i="14"/>
  <c r="IL55" i="14"/>
  <c r="IK55" i="14"/>
  <c r="IJ55" i="14"/>
  <c r="II55" i="14"/>
  <c r="IH55" i="14"/>
  <c r="IG55" i="14"/>
  <c r="IF55" i="14"/>
  <c r="IE55" i="14"/>
  <c r="ID55" i="14"/>
  <c r="IC55" i="14"/>
  <c r="IB55" i="14"/>
  <c r="IA55" i="14"/>
  <c r="HZ55" i="14"/>
  <c r="HW55" i="14"/>
  <c r="HV55" i="14"/>
  <c r="HU55" i="14"/>
  <c r="HR55" i="14"/>
  <c r="HQ55" i="14"/>
  <c r="HP55" i="14"/>
  <c r="HM55" i="14"/>
  <c r="HL55" i="14"/>
  <c r="HK55" i="14"/>
  <c r="HH55" i="14"/>
  <c r="HG55" i="14"/>
  <c r="HF55" i="14"/>
  <c r="HC55" i="14"/>
  <c r="HB55" i="14"/>
  <c r="HA55" i="14"/>
  <c r="GU55" i="14"/>
  <c r="GT55" i="14"/>
  <c r="GS55" i="14"/>
  <c r="GR55" i="14"/>
  <c r="GQ55" i="14"/>
  <c r="GP55" i="14"/>
  <c r="GO55" i="14"/>
  <c r="GL55" i="14"/>
  <c r="GK55" i="14"/>
  <c r="GJ55" i="14"/>
  <c r="GI55" i="14"/>
  <c r="GH55" i="14"/>
  <c r="GG55" i="14"/>
  <c r="GF55" i="14"/>
  <c r="GE55" i="14"/>
  <c r="GA55" i="14"/>
  <c r="FZ55" i="14"/>
  <c r="FY55" i="14"/>
  <c r="FV55" i="14"/>
  <c r="FU55" i="14"/>
  <c r="FT55" i="14"/>
  <c r="FS55" i="14"/>
  <c r="FR55" i="14"/>
  <c r="FQ55" i="14"/>
  <c r="FP55" i="14"/>
  <c r="FO55" i="14"/>
  <c r="FN55" i="14"/>
  <c r="FM55" i="14"/>
  <c r="FL55" i="14"/>
  <c r="FK55" i="14"/>
  <c r="FH55" i="14"/>
  <c r="FG55" i="14"/>
  <c r="FF55" i="14"/>
  <c r="FE55" i="14"/>
  <c r="FB55" i="14"/>
  <c r="FA55" i="14"/>
  <c r="EZ55" i="14"/>
  <c r="EW55" i="14"/>
  <c r="EV55" i="14"/>
  <c r="EU55" i="14"/>
  <c r="ER55" i="14"/>
  <c r="EQ55" i="14"/>
  <c r="EM55" i="14"/>
  <c r="EL55" i="14"/>
  <c r="EH55" i="14"/>
  <c r="EG55" i="14"/>
  <c r="IO54" i="14"/>
  <c r="IN54" i="14"/>
  <c r="IM54" i="14"/>
  <c r="IL54" i="14"/>
  <c r="IK54" i="14"/>
  <c r="IJ54" i="14"/>
  <c r="II54" i="14"/>
  <c r="IH54" i="14"/>
  <c r="IG54" i="14"/>
  <c r="IF54" i="14"/>
  <c r="IE54" i="14"/>
  <c r="ID54" i="14"/>
  <c r="IC54" i="14"/>
  <c r="IB54" i="14"/>
  <c r="IA54" i="14"/>
  <c r="HZ54" i="14"/>
  <c r="HW54" i="14"/>
  <c r="HV54" i="14"/>
  <c r="HU54" i="14"/>
  <c r="HR54" i="14"/>
  <c r="HQ54" i="14"/>
  <c r="HP54" i="14"/>
  <c r="HM54" i="14"/>
  <c r="HL54" i="14"/>
  <c r="HK54" i="14"/>
  <c r="HH54" i="14"/>
  <c r="HG54" i="14"/>
  <c r="HF54" i="14"/>
  <c r="HC54" i="14"/>
  <c r="HB54" i="14"/>
  <c r="HA54" i="14"/>
  <c r="GU54" i="14"/>
  <c r="GT54" i="14"/>
  <c r="GS54" i="14"/>
  <c r="GR54" i="14"/>
  <c r="GQ54" i="14"/>
  <c r="GP54" i="14"/>
  <c r="GO54" i="14"/>
  <c r="GL54" i="14"/>
  <c r="GK54" i="14"/>
  <c r="GJ54" i="14"/>
  <c r="GI54" i="14"/>
  <c r="GH54" i="14"/>
  <c r="GG54" i="14"/>
  <c r="GF54" i="14"/>
  <c r="GE54" i="14"/>
  <c r="GA54" i="14"/>
  <c r="FZ54" i="14"/>
  <c r="FY54" i="14"/>
  <c r="FV54" i="14"/>
  <c r="FU54" i="14"/>
  <c r="FT54" i="14"/>
  <c r="FS54" i="14"/>
  <c r="FR54" i="14"/>
  <c r="FQ54" i="14"/>
  <c r="FP54" i="14"/>
  <c r="FO54" i="14"/>
  <c r="FN54" i="14"/>
  <c r="FM54" i="14"/>
  <c r="FL54" i="14"/>
  <c r="FK54" i="14"/>
  <c r="FH54" i="14"/>
  <c r="FG54" i="14"/>
  <c r="FF54" i="14"/>
  <c r="FE54" i="14"/>
  <c r="FB54" i="14"/>
  <c r="FA54" i="14"/>
  <c r="EZ54" i="14"/>
  <c r="EW54" i="14"/>
  <c r="EV54" i="14"/>
  <c r="EU54" i="14"/>
  <c r="ER54" i="14"/>
  <c r="EQ54" i="14"/>
  <c r="EM54" i="14"/>
  <c r="EL54" i="14"/>
  <c r="EH54" i="14"/>
  <c r="EG54" i="14"/>
  <c r="IO53" i="14"/>
  <c r="IN53" i="14"/>
  <c r="IM53" i="14"/>
  <c r="IL53" i="14"/>
  <c r="IK53" i="14"/>
  <c r="IJ53" i="14"/>
  <c r="II53" i="14"/>
  <c r="IH53" i="14"/>
  <c r="IG53" i="14"/>
  <c r="IF53" i="14"/>
  <c r="IE53" i="14"/>
  <c r="ID53" i="14"/>
  <c r="IC53" i="14"/>
  <c r="IB53" i="14"/>
  <c r="IA53" i="14"/>
  <c r="HZ53" i="14"/>
  <c r="HW53" i="14"/>
  <c r="HV53" i="14"/>
  <c r="HU53" i="14"/>
  <c r="HR53" i="14"/>
  <c r="HQ53" i="14"/>
  <c r="HP53" i="14"/>
  <c r="HM53" i="14"/>
  <c r="HL53" i="14"/>
  <c r="HK53" i="14"/>
  <c r="HH53" i="14"/>
  <c r="HG53" i="14"/>
  <c r="HF53" i="14"/>
  <c r="HC53" i="14"/>
  <c r="HB53" i="14"/>
  <c r="HA53" i="14"/>
  <c r="GU53" i="14"/>
  <c r="GT53" i="14"/>
  <c r="GS53" i="14"/>
  <c r="GR53" i="14"/>
  <c r="GQ53" i="14"/>
  <c r="GP53" i="14"/>
  <c r="GO53" i="14"/>
  <c r="GL53" i="14"/>
  <c r="GK53" i="14"/>
  <c r="GJ53" i="14"/>
  <c r="GI53" i="14"/>
  <c r="GH53" i="14"/>
  <c r="GG53" i="14"/>
  <c r="GF53" i="14"/>
  <c r="GE53" i="14"/>
  <c r="GA53" i="14"/>
  <c r="FZ53" i="14"/>
  <c r="FY53" i="14"/>
  <c r="FV53" i="14"/>
  <c r="FU53" i="14"/>
  <c r="FT53" i="14"/>
  <c r="FS53" i="14"/>
  <c r="FR53" i="14"/>
  <c r="FQ53" i="14"/>
  <c r="FP53" i="14"/>
  <c r="FO53" i="14"/>
  <c r="FN53" i="14"/>
  <c r="FM53" i="14"/>
  <c r="FL53" i="14"/>
  <c r="FK53" i="14"/>
  <c r="FH53" i="14"/>
  <c r="FG53" i="14"/>
  <c r="FF53" i="14"/>
  <c r="FE53" i="14"/>
  <c r="FB53" i="14"/>
  <c r="FA53" i="14"/>
  <c r="EZ53" i="14"/>
  <c r="EW53" i="14"/>
  <c r="EV53" i="14"/>
  <c r="EU53" i="14"/>
  <c r="ER53" i="14"/>
  <c r="EQ53" i="14"/>
  <c r="EM53" i="14"/>
  <c r="EL53" i="14"/>
  <c r="EH53" i="14"/>
  <c r="EG53" i="14"/>
  <c r="IO52" i="14"/>
  <c r="IN52" i="14"/>
  <c r="IM52" i="14"/>
  <c r="IL52" i="14"/>
  <c r="IK52" i="14"/>
  <c r="IJ52" i="14"/>
  <c r="II52" i="14"/>
  <c r="IH52" i="14"/>
  <c r="IG52" i="14"/>
  <c r="IF52" i="14"/>
  <c r="IE52" i="14"/>
  <c r="ID52" i="14"/>
  <c r="IC52" i="14"/>
  <c r="IB52" i="14"/>
  <c r="IA52" i="14"/>
  <c r="HZ52" i="14"/>
  <c r="HW52" i="14"/>
  <c r="HV52" i="14"/>
  <c r="HU52" i="14"/>
  <c r="HR52" i="14"/>
  <c r="HQ52" i="14"/>
  <c r="HP52" i="14"/>
  <c r="HM52" i="14"/>
  <c r="HL52" i="14"/>
  <c r="HK52" i="14"/>
  <c r="HH52" i="14"/>
  <c r="HG52" i="14"/>
  <c r="HF52" i="14"/>
  <c r="HC52" i="14"/>
  <c r="HB52" i="14"/>
  <c r="HA52" i="14"/>
  <c r="GU52" i="14"/>
  <c r="GT52" i="14"/>
  <c r="GS52" i="14"/>
  <c r="GR52" i="14"/>
  <c r="GQ52" i="14"/>
  <c r="GP52" i="14"/>
  <c r="GO52" i="14"/>
  <c r="GL52" i="14"/>
  <c r="GK52" i="14"/>
  <c r="GJ52" i="14"/>
  <c r="GI52" i="14"/>
  <c r="GH52" i="14"/>
  <c r="GG52" i="14"/>
  <c r="GF52" i="14"/>
  <c r="GE52" i="14"/>
  <c r="GA52" i="14"/>
  <c r="FZ52" i="14"/>
  <c r="FY52" i="14"/>
  <c r="FV52" i="14"/>
  <c r="FU52" i="14"/>
  <c r="FT52" i="14"/>
  <c r="FS52" i="14"/>
  <c r="FR52" i="14"/>
  <c r="FQ52" i="14"/>
  <c r="FP52" i="14"/>
  <c r="FO52" i="14"/>
  <c r="FN52" i="14"/>
  <c r="FM52" i="14"/>
  <c r="FL52" i="14"/>
  <c r="FK52" i="14"/>
  <c r="FH52" i="14"/>
  <c r="FG52" i="14"/>
  <c r="FF52" i="14"/>
  <c r="FE52" i="14"/>
  <c r="FB52" i="14"/>
  <c r="FA52" i="14"/>
  <c r="FC52" i="14" s="1"/>
  <c r="EZ52" i="14"/>
  <c r="FD52" i="14" s="1"/>
  <c r="EW52" i="14"/>
  <c r="EY52" i="14" s="1"/>
  <c r="EV52" i="14"/>
  <c r="EX52" i="14" s="1"/>
  <c r="EU52" i="14"/>
  <c r="ER52" i="14"/>
  <c r="EQ52" i="14"/>
  <c r="EM52" i="14"/>
  <c r="EL52" i="14"/>
  <c r="EH52" i="14"/>
  <c r="EC52" i="14" s="1"/>
  <c r="EG52" i="14"/>
  <c r="EF52" i="14" s="1"/>
  <c r="HY52" i="14"/>
  <c r="HX52" i="14"/>
  <c r="HT52" i="14"/>
  <c r="HS52" i="14"/>
  <c r="HN52" i="14"/>
  <c r="HO52" i="14"/>
  <c r="HJ52" i="14"/>
  <c r="HI52" i="14"/>
  <c r="HE52" i="14"/>
  <c r="HD52" i="14"/>
  <c r="GX52" i="14"/>
  <c r="GW52" i="14"/>
  <c r="GV52" i="14"/>
  <c r="GD52" i="14"/>
  <c r="GC52" i="14"/>
  <c r="GB52" i="14"/>
  <c r="FX52" i="14"/>
  <c r="FW52" i="14"/>
  <c r="FI52" i="14"/>
  <c r="ES52" i="14"/>
  <c r="ET52" i="14"/>
  <c r="IO50" i="14"/>
  <c r="IN50" i="14"/>
  <c r="IM50" i="14"/>
  <c r="IL50" i="14"/>
  <c r="IK50" i="14"/>
  <c r="IJ50" i="14"/>
  <c r="II50" i="14"/>
  <c r="IH50" i="14"/>
  <c r="IG50" i="14"/>
  <c r="IF50" i="14"/>
  <c r="IE50" i="14"/>
  <c r="ID50" i="14"/>
  <c r="IC50" i="14"/>
  <c r="IB50" i="14"/>
  <c r="IA50" i="14"/>
  <c r="HZ50" i="14"/>
  <c r="HW50" i="14"/>
  <c r="HV50" i="14"/>
  <c r="HU50" i="14"/>
  <c r="HR50" i="14"/>
  <c r="HQ50" i="14"/>
  <c r="HP50" i="14"/>
  <c r="HM50" i="14"/>
  <c r="HL50" i="14"/>
  <c r="HK50" i="14"/>
  <c r="HH50" i="14"/>
  <c r="HG50" i="14"/>
  <c r="HF50" i="14"/>
  <c r="HC50" i="14"/>
  <c r="HB50" i="14"/>
  <c r="HA50" i="14"/>
  <c r="GU50" i="14"/>
  <c r="GT50" i="14"/>
  <c r="GS50" i="14"/>
  <c r="GR50" i="14"/>
  <c r="GQ50" i="14"/>
  <c r="GP50" i="14"/>
  <c r="GO50" i="14"/>
  <c r="GL50" i="14"/>
  <c r="GK50" i="14"/>
  <c r="GJ50" i="14"/>
  <c r="GI50" i="14"/>
  <c r="GH50" i="14"/>
  <c r="GG50" i="14"/>
  <c r="GF50" i="14"/>
  <c r="GE50" i="14"/>
  <c r="GA50" i="14"/>
  <c r="FZ50" i="14"/>
  <c r="FY50" i="14"/>
  <c r="FV50" i="14"/>
  <c r="FU50" i="14"/>
  <c r="FT50" i="14"/>
  <c r="FS50" i="14"/>
  <c r="FR50" i="14"/>
  <c r="FQ50" i="14"/>
  <c r="FP50" i="14"/>
  <c r="FO50" i="14"/>
  <c r="FN50" i="14"/>
  <c r="FM50" i="14"/>
  <c r="FL50" i="14"/>
  <c r="FK50" i="14"/>
  <c r="FH50" i="14"/>
  <c r="FG50" i="14"/>
  <c r="FF50" i="14"/>
  <c r="FE50" i="14"/>
  <c r="FB50" i="14"/>
  <c r="FA50" i="14"/>
  <c r="EZ50" i="14"/>
  <c r="EW50" i="14"/>
  <c r="EV50" i="14"/>
  <c r="EU50" i="14"/>
  <c r="ER50" i="14"/>
  <c r="EQ50" i="14"/>
  <c r="EM50" i="14"/>
  <c r="EL50" i="14"/>
  <c r="EH50" i="14"/>
  <c r="EG50" i="14"/>
  <c r="IO49" i="14"/>
  <c r="IN49" i="14"/>
  <c r="IM49" i="14"/>
  <c r="IL49" i="14"/>
  <c r="IK49" i="14"/>
  <c r="IJ49" i="14"/>
  <c r="II49" i="14"/>
  <c r="IH49" i="14"/>
  <c r="IG49" i="14"/>
  <c r="IF49" i="14"/>
  <c r="IE49" i="14"/>
  <c r="ID49" i="14"/>
  <c r="IC49" i="14"/>
  <c r="IB49" i="14"/>
  <c r="IA49" i="14"/>
  <c r="HZ49" i="14"/>
  <c r="HW49" i="14"/>
  <c r="HV49" i="14"/>
  <c r="HU49" i="14"/>
  <c r="HR49" i="14"/>
  <c r="HQ49" i="14"/>
  <c r="HP49" i="14"/>
  <c r="HM49" i="14"/>
  <c r="HL49" i="14"/>
  <c r="HK49" i="14"/>
  <c r="HH49" i="14"/>
  <c r="HG49" i="14"/>
  <c r="HF49" i="14"/>
  <c r="HC49" i="14"/>
  <c r="HB49" i="14"/>
  <c r="HA49" i="14"/>
  <c r="GU49" i="14"/>
  <c r="GT49" i="14"/>
  <c r="GS49" i="14"/>
  <c r="GR49" i="14"/>
  <c r="GQ49" i="14"/>
  <c r="GP49" i="14"/>
  <c r="GO49" i="14"/>
  <c r="GL49" i="14"/>
  <c r="GK49" i="14"/>
  <c r="GJ49" i="14"/>
  <c r="GI49" i="14"/>
  <c r="GH49" i="14"/>
  <c r="GG49" i="14"/>
  <c r="GF49" i="14"/>
  <c r="GE49" i="14"/>
  <c r="GA49" i="14"/>
  <c r="FZ49" i="14"/>
  <c r="FY49" i="14"/>
  <c r="FV49" i="14"/>
  <c r="FU49" i="14"/>
  <c r="FT49" i="14"/>
  <c r="FS49" i="14"/>
  <c r="FR49" i="14"/>
  <c r="FQ49" i="14"/>
  <c r="FP49" i="14"/>
  <c r="FO49" i="14"/>
  <c r="FN49" i="14"/>
  <c r="FM49" i="14"/>
  <c r="FL49" i="14"/>
  <c r="FK49" i="14"/>
  <c r="FH49" i="14"/>
  <c r="FG49" i="14"/>
  <c r="FF49" i="14"/>
  <c r="FE49" i="14"/>
  <c r="FB49" i="14"/>
  <c r="FA49" i="14"/>
  <c r="EZ49" i="14"/>
  <c r="EW49" i="14"/>
  <c r="EV49" i="14"/>
  <c r="EU49" i="14"/>
  <c r="ER49" i="14"/>
  <c r="EQ49" i="14"/>
  <c r="EM49" i="14"/>
  <c r="EL49" i="14"/>
  <c r="EH49" i="14"/>
  <c r="EG49" i="14"/>
  <c r="IO48" i="14"/>
  <c r="IN48" i="14"/>
  <c r="IM48" i="14"/>
  <c r="IL48" i="14"/>
  <c r="IK48" i="14"/>
  <c r="IJ48" i="14"/>
  <c r="II48" i="14"/>
  <c r="IH48" i="14"/>
  <c r="IG48" i="14"/>
  <c r="IF48" i="14"/>
  <c r="IE48" i="14"/>
  <c r="ID48" i="14"/>
  <c r="IC48" i="14"/>
  <c r="IB48" i="14"/>
  <c r="IA48" i="14"/>
  <c r="HZ48" i="14"/>
  <c r="HW48" i="14"/>
  <c r="HV48" i="14"/>
  <c r="HU48" i="14"/>
  <c r="HR48" i="14"/>
  <c r="HQ48" i="14"/>
  <c r="HP48" i="14"/>
  <c r="HM48" i="14"/>
  <c r="HL48" i="14"/>
  <c r="HK48" i="14"/>
  <c r="HH48" i="14"/>
  <c r="HG48" i="14"/>
  <c r="HF48" i="14"/>
  <c r="HC48" i="14"/>
  <c r="HB48" i="14"/>
  <c r="HA48" i="14"/>
  <c r="GU48" i="14"/>
  <c r="GT48" i="14"/>
  <c r="GS48" i="14"/>
  <c r="GR48" i="14"/>
  <c r="GQ48" i="14"/>
  <c r="GP48" i="14"/>
  <c r="GO48" i="14"/>
  <c r="GL48" i="14"/>
  <c r="GK48" i="14"/>
  <c r="GJ48" i="14"/>
  <c r="GI48" i="14"/>
  <c r="GH48" i="14"/>
  <c r="GG48" i="14"/>
  <c r="GF48" i="14"/>
  <c r="GE48" i="14"/>
  <c r="GA48" i="14"/>
  <c r="FZ48" i="14"/>
  <c r="FY48" i="14"/>
  <c r="FV48" i="14"/>
  <c r="FU48" i="14"/>
  <c r="FT48" i="14"/>
  <c r="FS48" i="14"/>
  <c r="FR48" i="14"/>
  <c r="FQ48" i="14"/>
  <c r="FP48" i="14"/>
  <c r="FO48" i="14"/>
  <c r="FN48" i="14"/>
  <c r="FM48" i="14"/>
  <c r="FL48" i="14"/>
  <c r="FK48" i="14"/>
  <c r="FH48" i="14"/>
  <c r="FG48" i="14"/>
  <c r="FF48" i="14"/>
  <c r="FE48" i="14"/>
  <c r="FB48" i="14"/>
  <c r="FA48" i="14"/>
  <c r="EZ48" i="14"/>
  <c r="EW48" i="14"/>
  <c r="EV48" i="14"/>
  <c r="EU48" i="14"/>
  <c r="ER48" i="14"/>
  <c r="EQ48" i="14"/>
  <c r="EM48" i="14"/>
  <c r="EL48" i="14"/>
  <c r="EH48" i="14"/>
  <c r="EG48" i="14"/>
  <c r="IO47" i="14"/>
  <c r="IN47" i="14"/>
  <c r="IM47" i="14"/>
  <c r="IL47" i="14"/>
  <c r="IK47" i="14"/>
  <c r="IJ47" i="14"/>
  <c r="II47" i="14"/>
  <c r="IH47" i="14"/>
  <c r="IG47" i="14"/>
  <c r="IF47" i="14"/>
  <c r="IE47" i="14"/>
  <c r="ID47" i="14"/>
  <c r="IC47" i="14"/>
  <c r="IB47" i="14"/>
  <c r="IA47" i="14"/>
  <c r="HZ47" i="14"/>
  <c r="HW47" i="14"/>
  <c r="HV47" i="14"/>
  <c r="HU47" i="14"/>
  <c r="HR47" i="14"/>
  <c r="HQ47" i="14"/>
  <c r="HP47" i="14"/>
  <c r="HM47" i="14"/>
  <c r="HL47" i="14"/>
  <c r="HK47" i="14"/>
  <c r="HH47" i="14"/>
  <c r="HG47" i="14"/>
  <c r="HF47" i="14"/>
  <c r="HC47" i="14"/>
  <c r="HB47" i="14"/>
  <c r="HA47" i="14"/>
  <c r="GU47" i="14"/>
  <c r="GT47" i="14"/>
  <c r="GS47" i="14"/>
  <c r="GR47" i="14"/>
  <c r="GQ47" i="14"/>
  <c r="GP47" i="14"/>
  <c r="GO47" i="14"/>
  <c r="GL47" i="14"/>
  <c r="GK47" i="14"/>
  <c r="GJ47" i="14"/>
  <c r="GI47" i="14"/>
  <c r="GH47" i="14"/>
  <c r="GG47" i="14"/>
  <c r="GF47" i="14"/>
  <c r="GE47" i="14"/>
  <c r="GA47" i="14"/>
  <c r="FZ47" i="14"/>
  <c r="FY47" i="14"/>
  <c r="FV47" i="14"/>
  <c r="FU47" i="14"/>
  <c r="FT47" i="14"/>
  <c r="FS47" i="14"/>
  <c r="FR47" i="14"/>
  <c r="FQ47" i="14"/>
  <c r="FP47" i="14"/>
  <c r="FO47" i="14"/>
  <c r="FN47" i="14"/>
  <c r="FM47" i="14"/>
  <c r="FL47" i="14"/>
  <c r="FK47" i="14"/>
  <c r="FH47" i="14"/>
  <c r="FG47" i="14"/>
  <c r="FF47" i="14"/>
  <c r="FE47" i="14"/>
  <c r="FB47" i="14"/>
  <c r="FA47" i="14"/>
  <c r="EZ47" i="14"/>
  <c r="EW47" i="14"/>
  <c r="EV47" i="14"/>
  <c r="EU47" i="14"/>
  <c r="ER47" i="14"/>
  <c r="EQ47" i="14"/>
  <c r="EM47" i="14"/>
  <c r="EL47" i="14"/>
  <c r="EH47" i="14"/>
  <c r="EG47" i="14"/>
  <c r="IO46" i="14"/>
  <c r="IN46" i="14"/>
  <c r="IM46" i="14"/>
  <c r="IL46" i="14"/>
  <c r="IK46" i="14"/>
  <c r="IJ46" i="14"/>
  <c r="II46" i="14"/>
  <c r="IH46" i="14"/>
  <c r="IG46" i="14"/>
  <c r="IF46" i="14"/>
  <c r="IE46" i="14"/>
  <c r="ID46" i="14"/>
  <c r="IC46" i="14"/>
  <c r="IB46" i="14"/>
  <c r="IA46" i="14"/>
  <c r="HZ46" i="14"/>
  <c r="HW46" i="14"/>
  <c r="HV46" i="14"/>
  <c r="HU46" i="14"/>
  <c r="HR46" i="14"/>
  <c r="HQ46" i="14"/>
  <c r="HP46" i="14"/>
  <c r="HM46" i="14"/>
  <c r="HL46" i="14"/>
  <c r="HK46" i="14"/>
  <c r="HH46" i="14"/>
  <c r="HG46" i="14"/>
  <c r="HF46" i="14"/>
  <c r="HC46" i="14"/>
  <c r="HB46" i="14"/>
  <c r="HA46" i="14"/>
  <c r="GU46" i="14"/>
  <c r="GT46" i="14"/>
  <c r="GS46" i="14"/>
  <c r="GR46" i="14"/>
  <c r="GQ46" i="14"/>
  <c r="GP46" i="14"/>
  <c r="GO46" i="14"/>
  <c r="GL46" i="14"/>
  <c r="GK46" i="14"/>
  <c r="GJ46" i="14"/>
  <c r="GI46" i="14"/>
  <c r="GH46" i="14"/>
  <c r="GG46" i="14"/>
  <c r="GF46" i="14"/>
  <c r="GE46" i="14"/>
  <c r="GA46" i="14"/>
  <c r="FZ46" i="14"/>
  <c r="FY46" i="14"/>
  <c r="FV46" i="14"/>
  <c r="FU46" i="14"/>
  <c r="FT46" i="14"/>
  <c r="FS46" i="14"/>
  <c r="FR46" i="14"/>
  <c r="FQ46" i="14"/>
  <c r="FP46" i="14"/>
  <c r="FO46" i="14"/>
  <c r="FN46" i="14"/>
  <c r="FM46" i="14"/>
  <c r="FL46" i="14"/>
  <c r="FK46" i="14"/>
  <c r="FH46" i="14"/>
  <c r="FG46" i="14"/>
  <c r="FF46" i="14"/>
  <c r="FE46" i="14"/>
  <c r="FB46" i="14"/>
  <c r="FA46" i="14"/>
  <c r="EZ46" i="14"/>
  <c r="EW46" i="14"/>
  <c r="EV46" i="14"/>
  <c r="EU46" i="14"/>
  <c r="ER46" i="14"/>
  <c r="EQ46" i="14"/>
  <c r="EM46" i="14"/>
  <c r="EL46" i="14"/>
  <c r="EH46" i="14"/>
  <c r="EG46" i="14"/>
  <c r="IO45" i="14"/>
  <c r="IN45" i="14"/>
  <c r="IM45" i="14"/>
  <c r="IL45" i="14"/>
  <c r="IK45" i="14"/>
  <c r="IJ45" i="14"/>
  <c r="II45" i="14"/>
  <c r="IH45" i="14"/>
  <c r="IG45" i="14"/>
  <c r="IF45" i="14"/>
  <c r="IE45" i="14"/>
  <c r="ID45" i="14"/>
  <c r="IC45" i="14"/>
  <c r="IB45" i="14"/>
  <c r="IA45" i="14"/>
  <c r="HZ45" i="14"/>
  <c r="HW45" i="14"/>
  <c r="HV45" i="14"/>
  <c r="HU45" i="14"/>
  <c r="HR45" i="14"/>
  <c r="HQ45" i="14"/>
  <c r="HP45" i="14"/>
  <c r="HM45" i="14"/>
  <c r="HL45" i="14"/>
  <c r="HK45" i="14"/>
  <c r="HH45" i="14"/>
  <c r="HG45" i="14"/>
  <c r="HF45" i="14"/>
  <c r="HC45" i="14"/>
  <c r="HB45" i="14"/>
  <c r="HA45" i="14"/>
  <c r="GU45" i="14"/>
  <c r="GT45" i="14"/>
  <c r="GS45" i="14"/>
  <c r="GR45" i="14"/>
  <c r="GQ45" i="14"/>
  <c r="GP45" i="14"/>
  <c r="GO45" i="14"/>
  <c r="GL45" i="14"/>
  <c r="GK45" i="14"/>
  <c r="GJ45" i="14"/>
  <c r="GI45" i="14"/>
  <c r="GH45" i="14"/>
  <c r="GG45" i="14"/>
  <c r="GF45" i="14"/>
  <c r="GE45" i="14"/>
  <c r="GA45" i="14"/>
  <c r="FZ45" i="14"/>
  <c r="FY45" i="14"/>
  <c r="FV45" i="14"/>
  <c r="FU45" i="14"/>
  <c r="FT45" i="14"/>
  <c r="FS45" i="14"/>
  <c r="FR45" i="14"/>
  <c r="FQ45" i="14"/>
  <c r="FP45" i="14"/>
  <c r="FO45" i="14"/>
  <c r="FN45" i="14"/>
  <c r="FM45" i="14"/>
  <c r="FL45" i="14"/>
  <c r="FK45" i="14"/>
  <c r="FH45" i="14"/>
  <c r="FG45" i="14"/>
  <c r="FF45" i="14"/>
  <c r="FE45" i="14"/>
  <c r="FB45" i="14"/>
  <c r="FA45" i="14"/>
  <c r="EZ45" i="14"/>
  <c r="EW45" i="14"/>
  <c r="EV45" i="14"/>
  <c r="EU45" i="14"/>
  <c r="ER45" i="14"/>
  <c r="EQ45" i="14"/>
  <c r="EM45" i="14"/>
  <c r="EL45" i="14"/>
  <c r="EH45" i="14"/>
  <c r="EG45" i="14"/>
  <c r="IO38" i="14"/>
  <c r="IN38" i="14"/>
  <c r="IM38" i="14"/>
  <c r="IL38" i="14"/>
  <c r="IK38" i="14"/>
  <c r="IJ38" i="14"/>
  <c r="II38" i="14"/>
  <c r="IH38" i="14"/>
  <c r="IG38" i="14"/>
  <c r="IF38" i="14"/>
  <c r="IE38" i="14"/>
  <c r="ID38" i="14"/>
  <c r="IC38" i="14"/>
  <c r="IB38" i="14"/>
  <c r="IA38" i="14"/>
  <c r="HZ38" i="14"/>
  <c r="HW38" i="14"/>
  <c r="HV38" i="14"/>
  <c r="HU38" i="14"/>
  <c r="HR38" i="14"/>
  <c r="HQ38" i="14"/>
  <c r="HP38" i="14"/>
  <c r="HM38" i="14"/>
  <c r="HL38" i="14"/>
  <c r="HK38" i="14"/>
  <c r="HH38" i="14"/>
  <c r="HG38" i="14"/>
  <c r="HF38" i="14"/>
  <c r="HC38" i="14"/>
  <c r="HB38" i="14"/>
  <c r="HA38" i="14"/>
  <c r="GU38" i="14"/>
  <c r="GT38" i="14"/>
  <c r="GS38" i="14"/>
  <c r="GR38" i="14"/>
  <c r="GQ38" i="14"/>
  <c r="GP38" i="14"/>
  <c r="GO38" i="14"/>
  <c r="GL38" i="14"/>
  <c r="GK38" i="14"/>
  <c r="GJ38" i="14"/>
  <c r="GI38" i="14"/>
  <c r="GH38" i="14"/>
  <c r="GG38" i="14"/>
  <c r="GF38" i="14"/>
  <c r="GE38" i="14"/>
  <c r="GA38" i="14"/>
  <c r="FZ38" i="14"/>
  <c r="FY38" i="14"/>
  <c r="FV38" i="14"/>
  <c r="FU38" i="14"/>
  <c r="FT38" i="14"/>
  <c r="FS38" i="14"/>
  <c r="FR38" i="14"/>
  <c r="FQ38" i="14"/>
  <c r="FP38" i="14"/>
  <c r="FO38" i="14"/>
  <c r="FN38" i="14"/>
  <c r="FM38" i="14"/>
  <c r="FL38" i="14"/>
  <c r="FK38" i="14"/>
  <c r="FH38" i="14"/>
  <c r="FG38" i="14"/>
  <c r="FF38" i="14"/>
  <c r="FE38" i="14"/>
  <c r="FB38" i="14"/>
  <c r="FA38" i="14"/>
  <c r="EZ38" i="14"/>
  <c r="EW38" i="14"/>
  <c r="EV38" i="14"/>
  <c r="EU38" i="14"/>
  <c r="ER38" i="14"/>
  <c r="EQ38" i="14"/>
  <c r="EM38" i="14"/>
  <c r="EL38" i="14"/>
  <c r="EH38" i="14"/>
  <c r="EG38" i="14"/>
  <c r="IO39" i="14"/>
  <c r="IN39" i="14"/>
  <c r="IM39" i="14"/>
  <c r="IL39" i="14"/>
  <c r="IK39" i="14"/>
  <c r="IJ39" i="14"/>
  <c r="II39" i="14"/>
  <c r="IH39" i="14"/>
  <c r="IG39" i="14"/>
  <c r="IF39" i="14"/>
  <c r="IE39" i="14"/>
  <c r="ID39" i="14"/>
  <c r="IC39" i="14"/>
  <c r="IB39" i="14"/>
  <c r="IA39" i="14"/>
  <c r="HZ39" i="14"/>
  <c r="HW39" i="14"/>
  <c r="HV39" i="14"/>
  <c r="HU39" i="14"/>
  <c r="HR39" i="14"/>
  <c r="HT39" i="14" s="1"/>
  <c r="HQ39" i="14"/>
  <c r="HS39" i="14" s="1"/>
  <c r="HP39" i="14"/>
  <c r="HM39" i="14"/>
  <c r="HL39" i="14"/>
  <c r="HK39" i="14"/>
  <c r="HN39" i="14" s="1"/>
  <c r="HH39" i="14"/>
  <c r="HG39" i="14"/>
  <c r="HF39" i="14"/>
  <c r="HC39" i="14"/>
  <c r="HB39" i="14"/>
  <c r="HA39" i="14"/>
  <c r="GU39" i="14"/>
  <c r="GT39" i="14"/>
  <c r="GS39" i="14"/>
  <c r="GR39" i="14"/>
  <c r="GQ39" i="14"/>
  <c r="GP39" i="14"/>
  <c r="GO39" i="14"/>
  <c r="GL39" i="14"/>
  <c r="GK39" i="14"/>
  <c r="GJ39" i="14"/>
  <c r="GM39" i="14" s="1"/>
  <c r="GI39" i="14"/>
  <c r="GH39" i="14"/>
  <c r="GG39" i="14"/>
  <c r="GF39" i="14"/>
  <c r="GE39" i="14"/>
  <c r="GA39" i="14"/>
  <c r="FZ39" i="14"/>
  <c r="FY39" i="14"/>
  <c r="GC39" i="14" s="1"/>
  <c r="FV39" i="14"/>
  <c r="FU39" i="14"/>
  <c r="FT39" i="14"/>
  <c r="FS39" i="14"/>
  <c r="FR39" i="14"/>
  <c r="FQ39" i="14"/>
  <c r="FP39" i="14"/>
  <c r="FO39" i="14"/>
  <c r="FN39" i="14"/>
  <c r="FM39" i="14"/>
  <c r="FL39" i="14"/>
  <c r="FK39" i="14"/>
  <c r="FH39" i="14"/>
  <c r="FG39" i="14"/>
  <c r="FF39" i="14"/>
  <c r="FE39" i="14"/>
  <c r="FB39" i="14"/>
  <c r="FD39" i="14" s="1"/>
  <c r="FA39" i="14"/>
  <c r="EZ39" i="14"/>
  <c r="EW39" i="14"/>
  <c r="EV39" i="14"/>
  <c r="EU39" i="14"/>
  <c r="ER39" i="14"/>
  <c r="EQ39" i="14"/>
  <c r="ES39" i="14" s="1"/>
  <c r="EM39" i="14"/>
  <c r="EL39" i="14"/>
  <c r="EH39" i="14"/>
  <c r="EG39" i="14"/>
  <c r="EF39" i="14" s="1"/>
  <c r="EI39" i="14" s="1"/>
  <c r="HI39" i="14"/>
  <c r="IO36" i="14"/>
  <c r="IN36" i="14"/>
  <c r="IM36" i="14"/>
  <c r="IL36" i="14"/>
  <c r="IK36" i="14"/>
  <c r="IJ36" i="14"/>
  <c r="II36" i="14"/>
  <c r="IH36" i="14"/>
  <c r="IG36" i="14"/>
  <c r="IF36" i="14"/>
  <c r="IE36" i="14"/>
  <c r="ID36" i="14"/>
  <c r="IC36" i="14"/>
  <c r="IB36" i="14"/>
  <c r="IA36" i="14"/>
  <c r="HZ36" i="14"/>
  <c r="HW36" i="14"/>
  <c r="HV36" i="14"/>
  <c r="HU36" i="14"/>
  <c r="HR36" i="14"/>
  <c r="HQ36" i="14"/>
  <c r="HP36" i="14"/>
  <c r="HM36" i="14"/>
  <c r="HL36" i="14"/>
  <c r="HK36" i="14"/>
  <c r="HH36" i="14"/>
  <c r="HG36" i="14"/>
  <c r="HF36" i="14"/>
  <c r="HC36" i="14"/>
  <c r="HB36" i="14"/>
  <c r="HA36" i="14"/>
  <c r="GU36" i="14"/>
  <c r="GT36" i="14"/>
  <c r="GS36" i="14"/>
  <c r="GR36" i="14"/>
  <c r="GQ36" i="14"/>
  <c r="GP36" i="14"/>
  <c r="GO36" i="14"/>
  <c r="GL36" i="14"/>
  <c r="GK36" i="14"/>
  <c r="GJ36" i="14"/>
  <c r="GI36" i="14"/>
  <c r="GH36" i="14"/>
  <c r="GG36" i="14"/>
  <c r="GF36" i="14"/>
  <c r="GE36" i="14"/>
  <c r="GA36" i="14"/>
  <c r="FZ36" i="14"/>
  <c r="FY36" i="14"/>
  <c r="FV36" i="14"/>
  <c r="FU36" i="14"/>
  <c r="FT36" i="14"/>
  <c r="FS36" i="14"/>
  <c r="FR36" i="14"/>
  <c r="FQ36" i="14"/>
  <c r="FP36" i="14"/>
  <c r="FO36" i="14"/>
  <c r="FN36" i="14"/>
  <c r="FM36" i="14"/>
  <c r="FL36" i="14"/>
  <c r="FK36" i="14"/>
  <c r="FH36" i="14"/>
  <c r="FG36" i="14"/>
  <c r="FF36" i="14"/>
  <c r="FE36" i="14"/>
  <c r="FB36" i="14"/>
  <c r="FA36" i="14"/>
  <c r="EZ36" i="14"/>
  <c r="EW36" i="14"/>
  <c r="EV36" i="14"/>
  <c r="EU36" i="14"/>
  <c r="ER36" i="14"/>
  <c r="EQ36" i="14"/>
  <c r="EM36" i="14"/>
  <c r="EL36" i="14"/>
  <c r="EH36" i="14"/>
  <c r="EG36" i="14"/>
  <c r="IO35" i="14"/>
  <c r="IN35" i="14"/>
  <c r="IM35" i="14"/>
  <c r="IL35" i="14"/>
  <c r="IK35" i="14"/>
  <c r="IJ35" i="14"/>
  <c r="II35" i="14"/>
  <c r="IH35" i="14"/>
  <c r="IG35" i="14"/>
  <c r="IF35" i="14"/>
  <c r="IE35" i="14"/>
  <c r="ID35" i="14"/>
  <c r="IC35" i="14"/>
  <c r="IB35" i="14"/>
  <c r="IA35" i="14"/>
  <c r="HZ35" i="14"/>
  <c r="HW35" i="14"/>
  <c r="HY35" i="14" s="1"/>
  <c r="HV35" i="14"/>
  <c r="HX35" i="14" s="1"/>
  <c r="HU35" i="14"/>
  <c r="HR35" i="14"/>
  <c r="HQ35" i="14"/>
  <c r="HP35" i="14"/>
  <c r="HM35" i="14"/>
  <c r="HL35" i="14"/>
  <c r="HN35" i="14" s="1"/>
  <c r="HK35" i="14"/>
  <c r="HH35" i="14"/>
  <c r="HG35" i="14"/>
  <c r="HF35" i="14"/>
  <c r="HC35" i="14"/>
  <c r="HB35" i="14"/>
  <c r="HA35" i="14"/>
  <c r="GU35" i="14"/>
  <c r="GT35" i="14"/>
  <c r="GS35" i="14"/>
  <c r="GR35" i="14"/>
  <c r="GQ35" i="14"/>
  <c r="GP35" i="14"/>
  <c r="GO35" i="14"/>
  <c r="GL35" i="14"/>
  <c r="GK35" i="14"/>
  <c r="GJ35" i="14"/>
  <c r="GI35" i="14"/>
  <c r="GH35" i="14"/>
  <c r="GG35" i="14"/>
  <c r="GF35" i="14"/>
  <c r="GE35" i="14"/>
  <c r="GA35" i="14"/>
  <c r="FZ35" i="14"/>
  <c r="FY35" i="14"/>
  <c r="GB35" i="14" s="1"/>
  <c r="FV35" i="14"/>
  <c r="FU35" i="14"/>
  <c r="FT35" i="14"/>
  <c r="FX35" i="14" s="1"/>
  <c r="FS35" i="14"/>
  <c r="FR35" i="14"/>
  <c r="FQ35" i="14"/>
  <c r="FP35" i="14"/>
  <c r="FO35" i="14"/>
  <c r="FN35" i="14"/>
  <c r="FM35" i="14"/>
  <c r="FL35" i="14"/>
  <c r="FK35" i="14"/>
  <c r="FH35" i="14"/>
  <c r="FJ35" i="14" s="1"/>
  <c r="FG35" i="14"/>
  <c r="FF35" i="14"/>
  <c r="FE35" i="14"/>
  <c r="FB35" i="14"/>
  <c r="FA35" i="14"/>
  <c r="EZ35" i="14"/>
  <c r="FC35" i="14" s="1"/>
  <c r="EW35" i="14"/>
  <c r="EV35" i="14"/>
  <c r="EU35" i="14"/>
  <c r="ER35" i="14"/>
  <c r="EQ35" i="14"/>
  <c r="ET35" i="14" s="1"/>
  <c r="EM35" i="14"/>
  <c r="EL35" i="14"/>
  <c r="EH35" i="14"/>
  <c r="EC35" i="14" s="1"/>
  <c r="EG35" i="14"/>
  <c r="HI35" i="14"/>
  <c r="HJ35" i="14"/>
  <c r="EK35" i="14"/>
  <c r="IO34" i="14"/>
  <c r="IN34" i="14"/>
  <c r="IM34" i="14"/>
  <c r="IL34" i="14"/>
  <c r="IK34" i="14"/>
  <c r="IJ34" i="14"/>
  <c r="II34" i="14"/>
  <c r="IH34" i="14"/>
  <c r="IG34" i="14"/>
  <c r="IF34" i="14"/>
  <c r="IE34" i="14"/>
  <c r="ID34" i="14"/>
  <c r="IC34" i="14"/>
  <c r="IB34" i="14"/>
  <c r="IA34" i="14"/>
  <c r="HZ34" i="14"/>
  <c r="HW34" i="14"/>
  <c r="HV34" i="14"/>
  <c r="HU34" i="14"/>
  <c r="HR34" i="14"/>
  <c r="HQ34" i="14"/>
  <c r="HP34" i="14"/>
  <c r="HM34" i="14"/>
  <c r="HL34" i="14"/>
  <c r="HK34" i="14"/>
  <c r="HH34" i="14"/>
  <c r="HG34" i="14"/>
  <c r="HF34" i="14"/>
  <c r="HC34" i="14"/>
  <c r="HB34" i="14"/>
  <c r="HA34" i="14"/>
  <c r="GU34" i="14"/>
  <c r="GT34" i="14"/>
  <c r="GS34" i="14"/>
  <c r="GR34" i="14"/>
  <c r="GQ34" i="14"/>
  <c r="GP34" i="14"/>
  <c r="GO34" i="14"/>
  <c r="GL34" i="14"/>
  <c r="GK34" i="14"/>
  <c r="GJ34" i="14"/>
  <c r="GI34" i="14"/>
  <c r="GH34" i="14"/>
  <c r="GG34" i="14"/>
  <c r="GF34" i="14"/>
  <c r="GE34" i="14"/>
  <c r="GA34" i="14"/>
  <c r="FZ34" i="14"/>
  <c r="FY34" i="14"/>
  <c r="FV34" i="14"/>
  <c r="FU34" i="14"/>
  <c r="FT34" i="14"/>
  <c r="FS34" i="14"/>
  <c r="FR34" i="14"/>
  <c r="FQ34" i="14"/>
  <c r="FP34" i="14"/>
  <c r="FO34" i="14"/>
  <c r="FN34" i="14"/>
  <c r="FM34" i="14"/>
  <c r="FL34" i="14"/>
  <c r="FK34" i="14"/>
  <c r="FH34" i="14"/>
  <c r="FG34" i="14"/>
  <c r="FF34" i="14"/>
  <c r="FE34" i="14"/>
  <c r="FB34" i="14"/>
  <c r="FA34" i="14"/>
  <c r="EZ34" i="14"/>
  <c r="EW34" i="14"/>
  <c r="EV34" i="14"/>
  <c r="EU34" i="14"/>
  <c r="ER34" i="14"/>
  <c r="EQ34" i="14"/>
  <c r="EM34" i="14"/>
  <c r="EL34" i="14"/>
  <c r="EH34" i="14"/>
  <c r="EG34" i="14"/>
  <c r="IO33" i="14"/>
  <c r="IN33" i="14"/>
  <c r="IM33" i="14"/>
  <c r="IL33" i="14"/>
  <c r="IK33" i="14"/>
  <c r="IJ33" i="14"/>
  <c r="II33" i="14"/>
  <c r="IH33" i="14"/>
  <c r="IG33" i="14"/>
  <c r="IF33" i="14"/>
  <c r="IE33" i="14"/>
  <c r="ID33" i="14"/>
  <c r="IC33" i="14"/>
  <c r="IB33" i="14"/>
  <c r="IA33" i="14"/>
  <c r="HZ33" i="14"/>
  <c r="HW33" i="14"/>
  <c r="HV33" i="14"/>
  <c r="HU33" i="14"/>
  <c r="HR33" i="14"/>
  <c r="HQ33" i="14"/>
  <c r="HP33" i="14"/>
  <c r="HM33" i="14"/>
  <c r="HL33" i="14"/>
  <c r="HK33" i="14"/>
  <c r="HH33" i="14"/>
  <c r="HG33" i="14"/>
  <c r="HF33" i="14"/>
  <c r="HC33" i="14"/>
  <c r="HB33" i="14"/>
  <c r="HA33" i="14"/>
  <c r="GU33" i="14"/>
  <c r="GT33" i="14"/>
  <c r="GS33" i="14"/>
  <c r="GR33" i="14"/>
  <c r="GQ33" i="14"/>
  <c r="GP33" i="14"/>
  <c r="GO33" i="14"/>
  <c r="GL33" i="14"/>
  <c r="GK33" i="14"/>
  <c r="GJ33" i="14"/>
  <c r="GI33" i="14"/>
  <c r="GH33" i="14"/>
  <c r="GG33" i="14"/>
  <c r="GF33" i="14"/>
  <c r="GE33" i="14"/>
  <c r="GA33" i="14"/>
  <c r="FZ33" i="14"/>
  <c r="FY33" i="14"/>
  <c r="FV33" i="14"/>
  <c r="FU33" i="14"/>
  <c r="FT33" i="14"/>
  <c r="FS33" i="14"/>
  <c r="FR33" i="14"/>
  <c r="FQ33" i="14"/>
  <c r="FP33" i="14"/>
  <c r="FO33" i="14"/>
  <c r="FN33" i="14"/>
  <c r="FM33" i="14"/>
  <c r="FL33" i="14"/>
  <c r="FK33" i="14"/>
  <c r="FH33" i="14"/>
  <c r="FG33" i="14"/>
  <c r="FF33" i="14"/>
  <c r="FE33" i="14"/>
  <c r="FB33" i="14"/>
  <c r="FA33" i="14"/>
  <c r="EZ33" i="14"/>
  <c r="EW33" i="14"/>
  <c r="EV33" i="14"/>
  <c r="EU33" i="14"/>
  <c r="ER33" i="14"/>
  <c r="EQ33" i="14"/>
  <c r="EM33" i="14"/>
  <c r="EL33" i="14"/>
  <c r="EH33" i="14"/>
  <c r="EG33" i="14"/>
  <c r="IO32" i="14"/>
  <c r="IN32" i="14"/>
  <c r="IM32" i="14"/>
  <c r="IL32" i="14"/>
  <c r="IK32" i="14"/>
  <c r="IJ32" i="14"/>
  <c r="II32" i="14"/>
  <c r="IH32" i="14"/>
  <c r="IG32" i="14"/>
  <c r="IF32" i="14"/>
  <c r="IE32" i="14"/>
  <c r="ID32" i="14"/>
  <c r="IC32" i="14"/>
  <c r="IB32" i="14"/>
  <c r="IA32" i="14"/>
  <c r="HZ32" i="14"/>
  <c r="HW32" i="14"/>
  <c r="HV32" i="14"/>
  <c r="HU32" i="14"/>
  <c r="HR32" i="14"/>
  <c r="HQ32" i="14"/>
  <c r="HP32" i="14"/>
  <c r="HM32" i="14"/>
  <c r="HL32" i="14"/>
  <c r="HK32" i="14"/>
  <c r="HH32" i="14"/>
  <c r="HG32" i="14"/>
  <c r="HF32" i="14"/>
  <c r="HC32" i="14"/>
  <c r="HB32" i="14"/>
  <c r="HA32" i="14"/>
  <c r="GU32" i="14"/>
  <c r="GT32" i="14"/>
  <c r="GS32" i="14"/>
  <c r="GR32" i="14"/>
  <c r="GQ32" i="14"/>
  <c r="GP32" i="14"/>
  <c r="GO32" i="14"/>
  <c r="GL32" i="14"/>
  <c r="GK32" i="14"/>
  <c r="GJ32" i="14"/>
  <c r="GI32" i="14"/>
  <c r="GH32" i="14"/>
  <c r="GG32" i="14"/>
  <c r="GF32" i="14"/>
  <c r="GE32" i="14"/>
  <c r="GA32" i="14"/>
  <c r="FZ32" i="14"/>
  <c r="FY32" i="14"/>
  <c r="FV32" i="14"/>
  <c r="FU32" i="14"/>
  <c r="FT32" i="14"/>
  <c r="FS32" i="14"/>
  <c r="FR32" i="14"/>
  <c r="FQ32" i="14"/>
  <c r="FP32" i="14"/>
  <c r="FO32" i="14"/>
  <c r="FN32" i="14"/>
  <c r="FM32" i="14"/>
  <c r="FL32" i="14"/>
  <c r="FK32" i="14"/>
  <c r="FH32" i="14"/>
  <c r="FG32" i="14"/>
  <c r="FF32" i="14"/>
  <c r="FE32" i="14"/>
  <c r="FB32" i="14"/>
  <c r="FA32" i="14"/>
  <c r="EZ32" i="14"/>
  <c r="EW32" i="14"/>
  <c r="EV32" i="14"/>
  <c r="EU32" i="14"/>
  <c r="ER32" i="14"/>
  <c r="EQ32" i="14"/>
  <c r="EM32" i="14"/>
  <c r="EL32" i="14"/>
  <c r="EH32" i="14"/>
  <c r="EG32" i="14"/>
  <c r="IO31" i="14"/>
  <c r="IN31" i="14"/>
  <c r="IM31" i="14"/>
  <c r="IL31" i="14"/>
  <c r="IK31" i="14"/>
  <c r="IJ31" i="14"/>
  <c r="II31" i="14"/>
  <c r="IH31" i="14"/>
  <c r="IG31" i="14"/>
  <c r="IF31" i="14"/>
  <c r="IE31" i="14"/>
  <c r="ID31" i="14"/>
  <c r="IC31" i="14"/>
  <c r="IB31" i="14"/>
  <c r="IA31" i="14"/>
  <c r="HZ31" i="14"/>
  <c r="HW31" i="14"/>
  <c r="HV31" i="14"/>
  <c r="HU31" i="14"/>
  <c r="HR31" i="14"/>
  <c r="HQ31" i="14"/>
  <c r="HP31" i="14"/>
  <c r="HM31" i="14"/>
  <c r="HL31" i="14"/>
  <c r="HK31" i="14"/>
  <c r="HH31" i="14"/>
  <c r="HG31" i="14"/>
  <c r="HF31" i="14"/>
  <c r="HC31" i="14"/>
  <c r="HB31" i="14"/>
  <c r="HA31" i="14"/>
  <c r="GU31" i="14"/>
  <c r="GT31" i="14"/>
  <c r="GS31" i="14"/>
  <c r="GR31" i="14"/>
  <c r="GQ31" i="14"/>
  <c r="GP31" i="14"/>
  <c r="GO31" i="14"/>
  <c r="GL31" i="14"/>
  <c r="GK31" i="14"/>
  <c r="GJ31" i="14"/>
  <c r="GI31" i="14"/>
  <c r="GH31" i="14"/>
  <c r="GG31" i="14"/>
  <c r="GF31" i="14"/>
  <c r="GE31" i="14"/>
  <c r="GA31" i="14"/>
  <c r="FZ31" i="14"/>
  <c r="FY31" i="14"/>
  <c r="FV31" i="14"/>
  <c r="FU31" i="14"/>
  <c r="FT31" i="14"/>
  <c r="FS31" i="14"/>
  <c r="FR31" i="14"/>
  <c r="FQ31" i="14"/>
  <c r="FP31" i="14"/>
  <c r="FO31" i="14"/>
  <c r="FN31" i="14"/>
  <c r="FM31" i="14"/>
  <c r="FL31" i="14"/>
  <c r="FK31" i="14"/>
  <c r="FH31" i="14"/>
  <c r="FG31" i="14"/>
  <c r="FF31" i="14"/>
  <c r="FE31" i="14"/>
  <c r="FB31" i="14"/>
  <c r="FA31" i="14"/>
  <c r="EZ31" i="14"/>
  <c r="EW31" i="14"/>
  <c r="EV31" i="14"/>
  <c r="EU31" i="14"/>
  <c r="ER31" i="14"/>
  <c r="EQ31" i="14"/>
  <c r="EM31" i="14"/>
  <c r="EL31" i="14"/>
  <c r="EH31" i="14"/>
  <c r="EG31" i="14"/>
  <c r="IO28" i="14"/>
  <c r="IN28" i="14"/>
  <c r="IM28" i="14"/>
  <c r="IL28" i="14"/>
  <c r="IK28" i="14"/>
  <c r="IJ28" i="14"/>
  <c r="II28" i="14"/>
  <c r="IH28" i="14"/>
  <c r="IG28" i="14"/>
  <c r="IF28" i="14"/>
  <c r="IE28" i="14"/>
  <c r="ID28" i="14"/>
  <c r="IC28" i="14"/>
  <c r="IB28" i="14"/>
  <c r="IA28" i="14"/>
  <c r="HZ28" i="14"/>
  <c r="HW28" i="14"/>
  <c r="HV28" i="14"/>
  <c r="HU28" i="14"/>
  <c r="HR28" i="14"/>
  <c r="HQ28" i="14"/>
  <c r="HP28" i="14"/>
  <c r="HM28" i="14"/>
  <c r="HL28" i="14"/>
  <c r="HK28" i="14"/>
  <c r="HH28" i="14"/>
  <c r="HG28" i="14"/>
  <c r="HI28" i="14" s="1"/>
  <c r="HF28" i="14"/>
  <c r="HC28" i="14"/>
  <c r="HB28" i="14"/>
  <c r="HA28" i="14"/>
  <c r="GU28" i="14"/>
  <c r="GT28" i="14"/>
  <c r="GS28" i="14"/>
  <c r="GR28" i="14"/>
  <c r="GQ28" i="14"/>
  <c r="GP28" i="14"/>
  <c r="GO28" i="14"/>
  <c r="GL28" i="14"/>
  <c r="GK28" i="14"/>
  <c r="GJ28" i="14"/>
  <c r="GI28" i="14"/>
  <c r="GH28" i="14"/>
  <c r="GG28" i="14"/>
  <c r="GF28" i="14"/>
  <c r="GE28" i="14"/>
  <c r="GA28" i="14"/>
  <c r="FZ28" i="14"/>
  <c r="FY28" i="14"/>
  <c r="FV28" i="14"/>
  <c r="FU28" i="14"/>
  <c r="FT28" i="14"/>
  <c r="FS28" i="14"/>
  <c r="FR28" i="14"/>
  <c r="FQ28" i="14"/>
  <c r="FP28" i="14"/>
  <c r="FO28" i="14"/>
  <c r="FN28" i="14"/>
  <c r="FM28" i="14"/>
  <c r="FL28" i="14"/>
  <c r="FK28" i="14"/>
  <c r="FH28" i="14"/>
  <c r="FG28" i="14"/>
  <c r="FF28" i="14"/>
  <c r="FE28" i="14"/>
  <c r="FB28" i="14"/>
  <c r="FA28" i="14"/>
  <c r="EZ28" i="14"/>
  <c r="EW28" i="14"/>
  <c r="EV28" i="14"/>
  <c r="EU28" i="14"/>
  <c r="ER28" i="14"/>
  <c r="EQ28" i="14"/>
  <c r="ES28" i="14" s="1"/>
  <c r="EM28" i="14"/>
  <c r="EL28" i="14"/>
  <c r="EH28" i="14"/>
  <c r="EG28" i="14"/>
  <c r="IO15" i="14"/>
  <c r="IN15" i="14"/>
  <c r="IM15" i="14"/>
  <c r="IL15" i="14"/>
  <c r="IK15" i="14"/>
  <c r="IJ15" i="14"/>
  <c r="II15" i="14"/>
  <c r="IH15" i="14"/>
  <c r="IG15" i="14"/>
  <c r="IF15" i="14"/>
  <c r="IE15" i="14"/>
  <c r="ID15" i="14"/>
  <c r="IC15" i="14"/>
  <c r="IB15" i="14"/>
  <c r="IA15" i="14"/>
  <c r="HZ15" i="14"/>
  <c r="HW15" i="14"/>
  <c r="HV15" i="14"/>
  <c r="HU15" i="14"/>
  <c r="HR15" i="14"/>
  <c r="HQ15" i="14"/>
  <c r="HP15" i="14"/>
  <c r="HM15" i="14"/>
  <c r="HL15" i="14"/>
  <c r="HK15" i="14"/>
  <c r="HH15" i="14"/>
  <c r="HG15" i="14"/>
  <c r="HF15" i="14"/>
  <c r="HC15" i="14"/>
  <c r="HB15" i="14"/>
  <c r="HA15" i="14"/>
  <c r="GU15" i="14"/>
  <c r="GT15" i="14"/>
  <c r="GS15" i="14"/>
  <c r="GR15" i="14"/>
  <c r="GQ15" i="14"/>
  <c r="GP15" i="14"/>
  <c r="GO15" i="14"/>
  <c r="GL15" i="14"/>
  <c r="GK15" i="14"/>
  <c r="GJ15" i="14"/>
  <c r="GI15" i="14"/>
  <c r="GH15" i="14"/>
  <c r="GG15" i="14"/>
  <c r="GF15" i="14"/>
  <c r="GE15" i="14"/>
  <c r="GA15" i="14"/>
  <c r="FZ15" i="14"/>
  <c r="FY15" i="14"/>
  <c r="FV15" i="14"/>
  <c r="FU15" i="14"/>
  <c r="FT15" i="14"/>
  <c r="FS15" i="14"/>
  <c r="FR15" i="14"/>
  <c r="FQ15" i="14"/>
  <c r="FP15" i="14"/>
  <c r="FO15" i="14"/>
  <c r="FN15" i="14"/>
  <c r="FM15" i="14"/>
  <c r="FL15" i="14"/>
  <c r="FK15" i="14"/>
  <c r="FH15" i="14"/>
  <c r="FG15" i="14"/>
  <c r="FF15" i="14"/>
  <c r="FE15" i="14"/>
  <c r="FB15" i="14"/>
  <c r="FA15" i="14"/>
  <c r="EZ15" i="14"/>
  <c r="EW15" i="14"/>
  <c r="EV15" i="14"/>
  <c r="EU15" i="14"/>
  <c r="ER15" i="14"/>
  <c r="EQ15" i="14"/>
  <c r="EM15" i="14"/>
  <c r="EL15" i="14"/>
  <c r="EH15" i="14"/>
  <c r="EG15" i="14"/>
  <c r="IO23" i="14"/>
  <c r="IN23" i="14"/>
  <c r="IM23" i="14"/>
  <c r="IL23" i="14"/>
  <c r="IK23" i="14"/>
  <c r="IJ23" i="14"/>
  <c r="II23" i="14"/>
  <c r="IH23" i="14"/>
  <c r="IG23" i="14"/>
  <c r="IF23" i="14"/>
  <c r="IE23" i="14"/>
  <c r="ID23" i="14"/>
  <c r="IC23" i="14"/>
  <c r="IB23" i="14"/>
  <c r="IA23" i="14"/>
  <c r="HZ23" i="14"/>
  <c r="HW23" i="14"/>
  <c r="HV23" i="14"/>
  <c r="HU23" i="14"/>
  <c r="HR23" i="14"/>
  <c r="HQ23" i="14"/>
  <c r="HP23" i="14"/>
  <c r="HM23" i="14"/>
  <c r="HL23" i="14"/>
  <c r="HK23" i="14"/>
  <c r="HH23" i="14"/>
  <c r="HG23" i="14"/>
  <c r="HF23" i="14"/>
  <c r="HC23" i="14"/>
  <c r="HB23" i="14"/>
  <c r="HA23" i="14"/>
  <c r="GU23" i="14"/>
  <c r="GT23" i="14"/>
  <c r="GS23" i="14"/>
  <c r="GR23" i="14"/>
  <c r="GQ23" i="14"/>
  <c r="GP23" i="14"/>
  <c r="GO23" i="14"/>
  <c r="GL23" i="14"/>
  <c r="GK23" i="14"/>
  <c r="GJ23" i="14"/>
  <c r="GI23" i="14"/>
  <c r="GH23" i="14"/>
  <c r="GG23" i="14"/>
  <c r="GF23" i="14"/>
  <c r="GE23" i="14"/>
  <c r="GA23" i="14"/>
  <c r="FZ23" i="14"/>
  <c r="FY23" i="14"/>
  <c r="FV23" i="14"/>
  <c r="FU23" i="14"/>
  <c r="FT23" i="14"/>
  <c r="FS23" i="14"/>
  <c r="FR23" i="14"/>
  <c r="FQ23" i="14"/>
  <c r="FP23" i="14"/>
  <c r="FO23" i="14"/>
  <c r="FN23" i="14"/>
  <c r="FM23" i="14"/>
  <c r="FL23" i="14"/>
  <c r="FK23" i="14"/>
  <c r="FH23" i="14"/>
  <c r="FG23" i="14"/>
  <c r="FF23" i="14"/>
  <c r="FE23" i="14"/>
  <c r="FB23" i="14"/>
  <c r="FA23" i="14"/>
  <c r="EZ23" i="14"/>
  <c r="EW23" i="14"/>
  <c r="EV23" i="14"/>
  <c r="EU23" i="14"/>
  <c r="ER23" i="14"/>
  <c r="EQ23" i="14"/>
  <c r="EM23" i="14"/>
  <c r="EL23" i="14"/>
  <c r="EH23" i="14"/>
  <c r="EG23" i="14"/>
  <c r="IO22" i="14"/>
  <c r="IN22" i="14"/>
  <c r="IM22" i="14"/>
  <c r="IL22" i="14"/>
  <c r="IK22" i="14"/>
  <c r="IJ22" i="14"/>
  <c r="II22" i="14"/>
  <c r="IH22" i="14"/>
  <c r="IG22" i="14"/>
  <c r="IF22" i="14"/>
  <c r="IE22" i="14"/>
  <c r="ID22" i="14"/>
  <c r="IC22" i="14"/>
  <c r="IB22" i="14"/>
  <c r="IA22" i="14"/>
  <c r="HZ22" i="14"/>
  <c r="HW22" i="14"/>
  <c r="HV22" i="14"/>
  <c r="HU22" i="14"/>
  <c r="HR22" i="14"/>
  <c r="HQ22" i="14"/>
  <c r="HP22" i="14"/>
  <c r="HM22" i="14"/>
  <c r="HL22" i="14"/>
  <c r="HK22" i="14"/>
  <c r="HH22" i="14"/>
  <c r="HG22" i="14"/>
  <c r="HF22" i="14"/>
  <c r="HC22" i="14"/>
  <c r="HB22" i="14"/>
  <c r="HA22" i="14"/>
  <c r="GU22" i="14"/>
  <c r="GT22" i="14"/>
  <c r="GS22" i="14"/>
  <c r="GR22" i="14"/>
  <c r="GQ22" i="14"/>
  <c r="GP22" i="14"/>
  <c r="GO22" i="14"/>
  <c r="GL22" i="14"/>
  <c r="GK22" i="14"/>
  <c r="GJ22" i="14"/>
  <c r="GI22" i="14"/>
  <c r="GH22" i="14"/>
  <c r="GG22" i="14"/>
  <c r="GF22" i="14"/>
  <c r="GE22" i="14"/>
  <c r="GA22" i="14"/>
  <c r="FZ22" i="14"/>
  <c r="FY22" i="14"/>
  <c r="FV22" i="14"/>
  <c r="FU22" i="14"/>
  <c r="FT22" i="14"/>
  <c r="FS22" i="14"/>
  <c r="FR22" i="14"/>
  <c r="FQ22" i="14"/>
  <c r="FP22" i="14"/>
  <c r="FO22" i="14"/>
  <c r="FN22" i="14"/>
  <c r="FM22" i="14"/>
  <c r="FL22" i="14"/>
  <c r="FK22" i="14"/>
  <c r="FH22" i="14"/>
  <c r="FG22" i="14"/>
  <c r="FF22" i="14"/>
  <c r="FE22" i="14"/>
  <c r="FB22" i="14"/>
  <c r="FA22" i="14"/>
  <c r="EZ22" i="14"/>
  <c r="EW22" i="14"/>
  <c r="EV22" i="14"/>
  <c r="EU22" i="14"/>
  <c r="ER22" i="14"/>
  <c r="EQ22" i="14"/>
  <c r="EM22" i="14"/>
  <c r="EL22" i="14"/>
  <c r="EH22" i="14"/>
  <c r="EG22" i="14"/>
  <c r="IO21" i="14"/>
  <c r="IN21" i="14"/>
  <c r="IM21" i="14"/>
  <c r="IL21" i="14"/>
  <c r="IK21" i="14"/>
  <c r="IJ21" i="14"/>
  <c r="II21" i="14"/>
  <c r="IH21" i="14"/>
  <c r="IG21" i="14"/>
  <c r="IF21" i="14"/>
  <c r="IE21" i="14"/>
  <c r="ID21" i="14"/>
  <c r="IC21" i="14"/>
  <c r="IB21" i="14"/>
  <c r="IA21" i="14"/>
  <c r="HZ21" i="14"/>
  <c r="HW21" i="14"/>
  <c r="HV21" i="14"/>
  <c r="HU21" i="14"/>
  <c r="HR21" i="14"/>
  <c r="HQ21" i="14"/>
  <c r="HP21" i="14"/>
  <c r="HM21" i="14"/>
  <c r="HL21" i="14"/>
  <c r="HK21" i="14"/>
  <c r="HH21" i="14"/>
  <c r="HG21" i="14"/>
  <c r="HF21" i="14"/>
  <c r="HC21" i="14"/>
  <c r="HB21" i="14"/>
  <c r="HA21" i="14"/>
  <c r="GU21" i="14"/>
  <c r="GT21" i="14"/>
  <c r="GS21" i="14"/>
  <c r="GR21" i="14"/>
  <c r="GQ21" i="14"/>
  <c r="GP21" i="14"/>
  <c r="GO21" i="14"/>
  <c r="GL21" i="14"/>
  <c r="GK21" i="14"/>
  <c r="GJ21" i="14"/>
  <c r="GI21" i="14"/>
  <c r="GH21" i="14"/>
  <c r="GG21" i="14"/>
  <c r="GF21" i="14"/>
  <c r="GE21" i="14"/>
  <c r="GA21" i="14"/>
  <c r="FZ21" i="14"/>
  <c r="FY21" i="14"/>
  <c r="FV21" i="14"/>
  <c r="FU21" i="14"/>
  <c r="FT21" i="14"/>
  <c r="FS21" i="14"/>
  <c r="FR21" i="14"/>
  <c r="FQ21" i="14"/>
  <c r="FP21" i="14"/>
  <c r="FO21" i="14"/>
  <c r="FN21" i="14"/>
  <c r="FM21" i="14"/>
  <c r="FL21" i="14"/>
  <c r="FK21" i="14"/>
  <c r="FH21" i="14"/>
  <c r="FG21" i="14"/>
  <c r="FF21" i="14"/>
  <c r="FE21" i="14"/>
  <c r="FB21" i="14"/>
  <c r="FA21" i="14"/>
  <c r="EZ21" i="14"/>
  <c r="EW21" i="14"/>
  <c r="EV21" i="14"/>
  <c r="EU21" i="14"/>
  <c r="ER21" i="14"/>
  <c r="EQ21" i="14"/>
  <c r="EM21" i="14"/>
  <c r="EL21" i="14"/>
  <c r="EH21" i="14"/>
  <c r="EG21" i="14"/>
  <c r="IO20" i="14"/>
  <c r="IN20" i="14"/>
  <c r="IM20" i="14"/>
  <c r="IL20" i="14"/>
  <c r="IK20" i="14"/>
  <c r="IJ20" i="14"/>
  <c r="II20" i="14"/>
  <c r="IH20" i="14"/>
  <c r="IG20" i="14"/>
  <c r="IF20" i="14"/>
  <c r="IE20" i="14"/>
  <c r="ID20" i="14"/>
  <c r="IC20" i="14"/>
  <c r="IB20" i="14"/>
  <c r="IA20" i="14"/>
  <c r="HZ20" i="14"/>
  <c r="HW20" i="14"/>
  <c r="HV20" i="14"/>
  <c r="HU20" i="14"/>
  <c r="HR20" i="14"/>
  <c r="HQ20" i="14"/>
  <c r="HP20" i="14"/>
  <c r="HM20" i="14"/>
  <c r="HL20" i="14"/>
  <c r="HK20" i="14"/>
  <c r="HH20" i="14"/>
  <c r="HG20" i="14"/>
  <c r="HF20" i="14"/>
  <c r="HC20" i="14"/>
  <c r="HB20" i="14"/>
  <c r="HA20" i="14"/>
  <c r="GU20" i="14"/>
  <c r="GT20" i="14"/>
  <c r="GS20" i="14"/>
  <c r="GR20" i="14"/>
  <c r="GQ20" i="14"/>
  <c r="GP20" i="14"/>
  <c r="GO20" i="14"/>
  <c r="GL20" i="14"/>
  <c r="GK20" i="14"/>
  <c r="GJ20" i="14"/>
  <c r="GI20" i="14"/>
  <c r="GH20" i="14"/>
  <c r="GG20" i="14"/>
  <c r="GF20" i="14"/>
  <c r="GE20" i="14"/>
  <c r="GA20" i="14"/>
  <c r="FZ20" i="14"/>
  <c r="FY20" i="14"/>
  <c r="FV20" i="14"/>
  <c r="FU20" i="14"/>
  <c r="FT20" i="14"/>
  <c r="FS20" i="14"/>
  <c r="FR20" i="14"/>
  <c r="FQ20" i="14"/>
  <c r="FP20" i="14"/>
  <c r="FO20" i="14"/>
  <c r="FN20" i="14"/>
  <c r="FM20" i="14"/>
  <c r="FL20" i="14"/>
  <c r="FK20" i="14"/>
  <c r="FH20" i="14"/>
  <c r="FG20" i="14"/>
  <c r="FF20" i="14"/>
  <c r="FE20" i="14"/>
  <c r="FB20" i="14"/>
  <c r="FA20" i="14"/>
  <c r="EZ20" i="14"/>
  <c r="EW20" i="14"/>
  <c r="EV20" i="14"/>
  <c r="EU20" i="14"/>
  <c r="ER20" i="14"/>
  <c r="EQ20" i="14"/>
  <c r="EM20" i="14"/>
  <c r="EL20" i="14"/>
  <c r="EH20" i="14"/>
  <c r="EG20" i="14"/>
  <c r="IO19" i="14"/>
  <c r="IN19" i="14"/>
  <c r="IM19" i="14"/>
  <c r="IL19" i="14"/>
  <c r="IK19" i="14"/>
  <c r="IJ19" i="14"/>
  <c r="II19" i="14"/>
  <c r="IH19" i="14"/>
  <c r="IG19" i="14"/>
  <c r="IF19" i="14"/>
  <c r="IE19" i="14"/>
  <c r="ID19" i="14"/>
  <c r="IC19" i="14"/>
  <c r="IB19" i="14"/>
  <c r="IA19" i="14"/>
  <c r="HZ19" i="14"/>
  <c r="HW19" i="14"/>
  <c r="HV19" i="14"/>
  <c r="HU19" i="14"/>
  <c r="HR19" i="14"/>
  <c r="HQ19" i="14"/>
  <c r="HP19" i="14"/>
  <c r="HM19" i="14"/>
  <c r="HL19" i="14"/>
  <c r="HK19" i="14"/>
  <c r="HH19" i="14"/>
  <c r="HG19" i="14"/>
  <c r="HF19" i="14"/>
  <c r="HC19" i="14"/>
  <c r="HB19" i="14"/>
  <c r="HA19" i="14"/>
  <c r="GU19" i="14"/>
  <c r="GT19" i="14"/>
  <c r="GS19" i="14"/>
  <c r="GR19" i="14"/>
  <c r="GQ19" i="14"/>
  <c r="GP19" i="14"/>
  <c r="GO19" i="14"/>
  <c r="GL19" i="14"/>
  <c r="GK19" i="14"/>
  <c r="GJ19" i="14"/>
  <c r="GI19" i="14"/>
  <c r="GH19" i="14"/>
  <c r="GG19" i="14"/>
  <c r="GF19" i="14"/>
  <c r="GE19" i="14"/>
  <c r="GA19" i="14"/>
  <c r="FZ19" i="14"/>
  <c r="FY19" i="14"/>
  <c r="FV19" i="14"/>
  <c r="FU19" i="14"/>
  <c r="FT19" i="14"/>
  <c r="FS19" i="14"/>
  <c r="FR19" i="14"/>
  <c r="FQ19" i="14"/>
  <c r="FP19" i="14"/>
  <c r="FO19" i="14"/>
  <c r="FN19" i="14"/>
  <c r="FM19" i="14"/>
  <c r="FL19" i="14"/>
  <c r="FK19" i="14"/>
  <c r="FH19" i="14"/>
  <c r="FG19" i="14"/>
  <c r="FF19" i="14"/>
  <c r="FE19" i="14"/>
  <c r="FB19" i="14"/>
  <c r="FA19" i="14"/>
  <c r="EZ19" i="14"/>
  <c r="EW19" i="14"/>
  <c r="EV19" i="14"/>
  <c r="EU19" i="14"/>
  <c r="ER19" i="14"/>
  <c r="EQ19" i="14"/>
  <c r="EM19" i="14"/>
  <c r="EL19" i="14"/>
  <c r="EH19" i="14"/>
  <c r="EG19" i="14"/>
  <c r="IO18" i="14"/>
  <c r="IN18" i="14"/>
  <c r="IM18" i="14"/>
  <c r="IL18" i="14"/>
  <c r="IK18" i="14"/>
  <c r="IJ18" i="14"/>
  <c r="II18" i="14"/>
  <c r="IH18" i="14"/>
  <c r="IG18" i="14"/>
  <c r="IF18" i="14"/>
  <c r="IE18" i="14"/>
  <c r="ID18" i="14"/>
  <c r="IC18" i="14"/>
  <c r="IB18" i="14"/>
  <c r="IA18" i="14"/>
  <c r="HZ18" i="14"/>
  <c r="HW18" i="14"/>
  <c r="HV18" i="14"/>
  <c r="HU18" i="14"/>
  <c r="HR18" i="14"/>
  <c r="HQ18" i="14"/>
  <c r="HP18" i="14"/>
  <c r="HM18" i="14"/>
  <c r="HL18" i="14"/>
  <c r="HK18" i="14"/>
  <c r="HH18" i="14"/>
  <c r="HG18" i="14"/>
  <c r="HF18" i="14"/>
  <c r="HC18" i="14"/>
  <c r="HB18" i="14"/>
  <c r="HA18" i="14"/>
  <c r="GU18" i="14"/>
  <c r="GT18" i="14"/>
  <c r="GS18" i="14"/>
  <c r="GR18" i="14"/>
  <c r="GQ18" i="14"/>
  <c r="GP18" i="14"/>
  <c r="GO18" i="14"/>
  <c r="GL18" i="14"/>
  <c r="GK18" i="14"/>
  <c r="GJ18" i="14"/>
  <c r="GI18" i="14"/>
  <c r="GH18" i="14"/>
  <c r="GG18" i="14"/>
  <c r="GF18" i="14"/>
  <c r="GE18" i="14"/>
  <c r="GA18" i="14"/>
  <c r="FZ18" i="14"/>
  <c r="FY18" i="14"/>
  <c r="FV18" i="14"/>
  <c r="FU18" i="14"/>
  <c r="FT18" i="14"/>
  <c r="FS18" i="14"/>
  <c r="FR18" i="14"/>
  <c r="FQ18" i="14"/>
  <c r="FP18" i="14"/>
  <c r="FO18" i="14"/>
  <c r="FN18" i="14"/>
  <c r="FM18" i="14"/>
  <c r="FL18" i="14"/>
  <c r="FK18" i="14"/>
  <c r="FH18" i="14"/>
  <c r="FG18" i="14"/>
  <c r="FF18" i="14"/>
  <c r="FE18" i="14"/>
  <c r="FB18" i="14"/>
  <c r="FA18" i="14"/>
  <c r="EZ18" i="14"/>
  <c r="EW18" i="14"/>
  <c r="EV18" i="14"/>
  <c r="EU18" i="14"/>
  <c r="ER18" i="14"/>
  <c r="EQ18" i="14"/>
  <c r="EM18" i="14"/>
  <c r="EL18" i="14"/>
  <c r="EH18" i="14"/>
  <c r="EG18" i="14"/>
  <c r="IO17" i="14"/>
  <c r="IN17" i="14"/>
  <c r="IM17" i="14"/>
  <c r="IL17" i="14"/>
  <c r="IK17" i="14"/>
  <c r="IJ17" i="14"/>
  <c r="II17" i="14"/>
  <c r="IH17" i="14"/>
  <c r="IG17" i="14"/>
  <c r="IF17" i="14"/>
  <c r="IE17" i="14"/>
  <c r="ID17" i="14"/>
  <c r="IC17" i="14"/>
  <c r="IB17" i="14"/>
  <c r="IA17" i="14"/>
  <c r="HZ17" i="14"/>
  <c r="HW17" i="14"/>
  <c r="HV17" i="14"/>
  <c r="HU17" i="14"/>
  <c r="HR17" i="14"/>
  <c r="HQ17" i="14"/>
  <c r="HP17" i="14"/>
  <c r="HM17" i="14"/>
  <c r="HL17" i="14"/>
  <c r="HK17" i="14"/>
  <c r="HH17" i="14"/>
  <c r="HG17" i="14"/>
  <c r="HF17" i="14"/>
  <c r="HC17" i="14"/>
  <c r="HB17" i="14"/>
  <c r="HA17" i="14"/>
  <c r="GU17" i="14"/>
  <c r="GT17" i="14"/>
  <c r="GS17" i="14"/>
  <c r="GR17" i="14"/>
  <c r="GQ17" i="14"/>
  <c r="GP17" i="14"/>
  <c r="GO17" i="14"/>
  <c r="GL17" i="14"/>
  <c r="GK17" i="14"/>
  <c r="GJ17" i="14"/>
  <c r="GI17" i="14"/>
  <c r="GH17" i="14"/>
  <c r="GG17" i="14"/>
  <c r="GF17" i="14"/>
  <c r="GE17" i="14"/>
  <c r="GA17" i="14"/>
  <c r="FZ17" i="14"/>
  <c r="FY17" i="14"/>
  <c r="FV17" i="14"/>
  <c r="FU17" i="14"/>
  <c r="FT17" i="14"/>
  <c r="FS17" i="14"/>
  <c r="FR17" i="14"/>
  <c r="FQ17" i="14"/>
  <c r="FP17" i="14"/>
  <c r="FO17" i="14"/>
  <c r="FN17" i="14"/>
  <c r="FM17" i="14"/>
  <c r="FL17" i="14"/>
  <c r="FK17" i="14"/>
  <c r="FH17" i="14"/>
  <c r="FG17" i="14"/>
  <c r="FF17" i="14"/>
  <c r="FE17" i="14"/>
  <c r="FB17" i="14"/>
  <c r="FA17" i="14"/>
  <c r="EZ17" i="14"/>
  <c r="EW17" i="14"/>
  <c r="EV17" i="14"/>
  <c r="EU17" i="14"/>
  <c r="ER17" i="14"/>
  <c r="EQ17" i="14"/>
  <c r="EM17" i="14"/>
  <c r="EL17" i="14"/>
  <c r="EH17" i="14"/>
  <c r="EG17" i="14"/>
  <c r="IO16" i="14"/>
  <c r="IN16" i="14"/>
  <c r="IM16" i="14"/>
  <c r="IL16" i="14"/>
  <c r="IK16" i="14"/>
  <c r="IJ16" i="14"/>
  <c r="II16" i="14"/>
  <c r="IH16" i="14"/>
  <c r="IG16" i="14"/>
  <c r="IF16" i="14"/>
  <c r="IE16" i="14"/>
  <c r="ID16" i="14"/>
  <c r="IC16" i="14"/>
  <c r="IB16" i="14"/>
  <c r="IA16" i="14"/>
  <c r="HZ16" i="14"/>
  <c r="HW16" i="14"/>
  <c r="HV16" i="14"/>
  <c r="HU16" i="14"/>
  <c r="HR16" i="14"/>
  <c r="HQ16" i="14"/>
  <c r="HP16" i="14"/>
  <c r="HM16" i="14"/>
  <c r="HL16" i="14"/>
  <c r="HK16" i="14"/>
  <c r="HH16" i="14"/>
  <c r="HG16" i="14"/>
  <c r="HF16" i="14"/>
  <c r="HC16" i="14"/>
  <c r="HB16" i="14"/>
  <c r="HA16" i="14"/>
  <c r="GU16" i="14"/>
  <c r="GT16" i="14"/>
  <c r="GS16" i="14"/>
  <c r="GR16" i="14"/>
  <c r="GQ16" i="14"/>
  <c r="GP16" i="14"/>
  <c r="GO16" i="14"/>
  <c r="GL16" i="14"/>
  <c r="GK16" i="14"/>
  <c r="GJ16" i="14"/>
  <c r="GI16" i="14"/>
  <c r="GH16" i="14"/>
  <c r="GG16" i="14"/>
  <c r="GF16" i="14"/>
  <c r="GE16" i="14"/>
  <c r="GA16" i="14"/>
  <c r="FZ16" i="14"/>
  <c r="FY16" i="14"/>
  <c r="FV16" i="14"/>
  <c r="FU16" i="14"/>
  <c r="FT16" i="14"/>
  <c r="FS16" i="14"/>
  <c r="FR16" i="14"/>
  <c r="FQ16" i="14"/>
  <c r="FP16" i="14"/>
  <c r="FO16" i="14"/>
  <c r="FN16" i="14"/>
  <c r="FM16" i="14"/>
  <c r="FL16" i="14"/>
  <c r="FK16" i="14"/>
  <c r="FH16" i="14"/>
  <c r="FG16" i="14"/>
  <c r="FF16" i="14"/>
  <c r="FE16" i="14"/>
  <c r="FB16" i="14"/>
  <c r="FA16" i="14"/>
  <c r="EZ16" i="14"/>
  <c r="EW16" i="14"/>
  <c r="EV16" i="14"/>
  <c r="EU16" i="14"/>
  <c r="ER16" i="14"/>
  <c r="EQ16" i="14"/>
  <c r="EM16" i="14"/>
  <c r="EL16" i="14"/>
  <c r="EH16" i="14"/>
  <c r="EG16" i="14"/>
  <c r="IO13" i="14"/>
  <c r="IN13" i="14"/>
  <c r="IM13" i="14"/>
  <c r="IL13" i="14"/>
  <c r="IK13" i="14"/>
  <c r="IJ13" i="14"/>
  <c r="II13" i="14"/>
  <c r="IH13" i="14"/>
  <c r="IG13" i="14"/>
  <c r="IF13" i="14"/>
  <c r="IE13" i="14"/>
  <c r="ID13" i="14"/>
  <c r="IC13" i="14"/>
  <c r="IB13" i="14"/>
  <c r="IA13" i="14"/>
  <c r="HZ13" i="14"/>
  <c r="HW13" i="14"/>
  <c r="HV13" i="14"/>
  <c r="HU13" i="14"/>
  <c r="HR13" i="14"/>
  <c r="HQ13" i="14"/>
  <c r="HP13" i="14"/>
  <c r="HM13" i="14"/>
  <c r="HL13" i="14"/>
  <c r="HK13" i="14"/>
  <c r="HH13" i="14"/>
  <c r="HG13" i="14"/>
  <c r="HF13" i="14"/>
  <c r="HC13" i="14"/>
  <c r="HB13" i="14"/>
  <c r="HA13" i="14"/>
  <c r="GU13" i="14"/>
  <c r="GT13" i="14"/>
  <c r="GS13" i="14"/>
  <c r="GR13" i="14"/>
  <c r="GQ13" i="14"/>
  <c r="GP13" i="14"/>
  <c r="GO13" i="14"/>
  <c r="GL13" i="14"/>
  <c r="GK13" i="14"/>
  <c r="GJ13" i="14"/>
  <c r="GI13" i="14"/>
  <c r="GH13" i="14"/>
  <c r="GG13" i="14"/>
  <c r="GF13" i="14"/>
  <c r="GE13" i="14"/>
  <c r="GA13" i="14"/>
  <c r="FZ13" i="14"/>
  <c r="FY13" i="14"/>
  <c r="FV13" i="14"/>
  <c r="FU13" i="14"/>
  <c r="FT13" i="14"/>
  <c r="FS13" i="14"/>
  <c r="FR13" i="14"/>
  <c r="FQ13" i="14"/>
  <c r="FP13" i="14"/>
  <c r="FO13" i="14"/>
  <c r="FN13" i="14"/>
  <c r="FM13" i="14"/>
  <c r="FL13" i="14"/>
  <c r="FK13" i="14"/>
  <c r="FH13" i="14"/>
  <c r="FG13" i="14"/>
  <c r="FF13" i="14"/>
  <c r="FE13" i="14"/>
  <c r="FB13" i="14"/>
  <c r="FA13" i="14"/>
  <c r="EZ13" i="14"/>
  <c r="EW13" i="14"/>
  <c r="EV13" i="14"/>
  <c r="EU13" i="14"/>
  <c r="ER13" i="14"/>
  <c r="EQ13" i="14"/>
  <c r="EM13" i="14"/>
  <c r="EL13" i="14"/>
  <c r="EH13" i="14"/>
  <c r="EG13" i="14"/>
  <c r="DT4" i="14"/>
  <c r="IO43" i="14"/>
  <c r="IN43" i="14"/>
  <c r="IM43" i="14"/>
  <c r="IL43" i="14"/>
  <c r="IK43" i="14"/>
  <c r="IJ43" i="14"/>
  <c r="II43" i="14"/>
  <c r="IH43" i="14"/>
  <c r="IG43" i="14"/>
  <c r="IF43" i="14"/>
  <c r="IE43" i="14"/>
  <c r="ID43" i="14"/>
  <c r="IC43" i="14"/>
  <c r="IB43" i="14"/>
  <c r="IA43" i="14"/>
  <c r="HZ43" i="14"/>
  <c r="HW43" i="14"/>
  <c r="HV43" i="14"/>
  <c r="HU43" i="14"/>
  <c r="HR43" i="14"/>
  <c r="HQ43" i="14"/>
  <c r="HP43" i="14"/>
  <c r="HM43" i="14"/>
  <c r="HL43" i="14"/>
  <c r="HK43" i="14"/>
  <c r="HH43" i="14"/>
  <c r="HG43" i="14"/>
  <c r="HI43" i="14" s="1"/>
  <c r="HF43" i="14"/>
  <c r="HC43" i="14"/>
  <c r="HB43" i="14"/>
  <c r="HA43" i="14"/>
  <c r="GU43" i="14"/>
  <c r="GT43" i="14"/>
  <c r="GS43" i="14"/>
  <c r="GR43" i="14"/>
  <c r="GQ43" i="14"/>
  <c r="GP43" i="14"/>
  <c r="GO43" i="14"/>
  <c r="GL43" i="14"/>
  <c r="GK43" i="14"/>
  <c r="GJ43" i="14"/>
  <c r="GI43" i="14"/>
  <c r="GH43" i="14"/>
  <c r="GG43" i="14"/>
  <c r="GF43" i="14"/>
  <c r="GE43" i="14"/>
  <c r="GA43" i="14"/>
  <c r="FZ43" i="14"/>
  <c r="FY43" i="14"/>
  <c r="FV43" i="14"/>
  <c r="FU43" i="14"/>
  <c r="FT43" i="14"/>
  <c r="FS43" i="14"/>
  <c r="FR43" i="14"/>
  <c r="FQ43" i="14"/>
  <c r="FP43" i="14"/>
  <c r="FO43" i="14"/>
  <c r="FN43" i="14"/>
  <c r="FM43" i="14"/>
  <c r="FL43" i="14"/>
  <c r="FK43" i="14"/>
  <c r="FH43" i="14"/>
  <c r="FG43" i="14"/>
  <c r="FF43" i="14"/>
  <c r="FE43" i="14"/>
  <c r="FB43" i="14"/>
  <c r="FA43" i="14"/>
  <c r="EZ43" i="14"/>
  <c r="EW43" i="14"/>
  <c r="EV43" i="14"/>
  <c r="EU43" i="14"/>
  <c r="ER43" i="14"/>
  <c r="EQ43" i="14"/>
  <c r="EM43" i="14"/>
  <c r="EL43" i="14"/>
  <c r="EH43" i="14"/>
  <c r="EG43" i="14"/>
  <c r="IO56" i="14"/>
  <c r="IN56" i="14"/>
  <c r="IM56" i="14"/>
  <c r="IL56" i="14"/>
  <c r="IK56" i="14"/>
  <c r="IJ56" i="14"/>
  <c r="II56" i="14"/>
  <c r="IH56" i="14"/>
  <c r="IG56" i="14"/>
  <c r="IF56" i="14"/>
  <c r="IE56" i="14"/>
  <c r="ID56" i="14"/>
  <c r="IC56" i="14"/>
  <c r="IB56" i="14"/>
  <c r="IA56" i="14"/>
  <c r="HZ56" i="14"/>
  <c r="HW56" i="14"/>
  <c r="HV56" i="14"/>
  <c r="HU56" i="14"/>
  <c r="HR56" i="14"/>
  <c r="HQ56" i="14"/>
  <c r="HP56" i="14"/>
  <c r="HM56" i="14"/>
  <c r="HL56" i="14"/>
  <c r="HK56" i="14"/>
  <c r="HH56" i="14"/>
  <c r="HG56" i="14"/>
  <c r="HF56" i="14"/>
  <c r="HC56" i="14"/>
  <c r="HB56" i="14"/>
  <c r="HA56" i="14"/>
  <c r="GU56" i="14"/>
  <c r="GT56" i="14"/>
  <c r="GS56" i="14"/>
  <c r="GR56" i="14"/>
  <c r="GQ56" i="14"/>
  <c r="GP56" i="14"/>
  <c r="GO56" i="14"/>
  <c r="GL56" i="14"/>
  <c r="GK56" i="14"/>
  <c r="GJ56" i="14"/>
  <c r="GI56" i="14"/>
  <c r="GH56" i="14"/>
  <c r="GG56" i="14"/>
  <c r="GF56" i="14"/>
  <c r="GE56" i="14"/>
  <c r="GA56" i="14"/>
  <c r="FZ56" i="14"/>
  <c r="FY56" i="14"/>
  <c r="FV56" i="14"/>
  <c r="FU56" i="14"/>
  <c r="FT56" i="14"/>
  <c r="FS56" i="14"/>
  <c r="FR56" i="14"/>
  <c r="FQ56" i="14"/>
  <c r="FP56" i="14"/>
  <c r="FO56" i="14"/>
  <c r="FN56" i="14"/>
  <c r="FM56" i="14"/>
  <c r="FL56" i="14"/>
  <c r="FK56" i="14"/>
  <c r="FH56" i="14"/>
  <c r="FG56" i="14"/>
  <c r="FF56" i="14"/>
  <c r="FE56" i="14"/>
  <c r="FB56" i="14"/>
  <c r="FA56" i="14"/>
  <c r="EZ56" i="14"/>
  <c r="EW56" i="14"/>
  <c r="EV56" i="14"/>
  <c r="EU56" i="14"/>
  <c r="ER56" i="14"/>
  <c r="EQ56" i="14"/>
  <c r="EM56" i="14"/>
  <c r="EL56" i="14"/>
  <c r="EH56" i="14"/>
  <c r="EG56" i="14"/>
  <c r="IO51" i="14"/>
  <c r="IN51" i="14"/>
  <c r="IM51" i="14"/>
  <c r="IL51" i="14"/>
  <c r="IK51" i="14"/>
  <c r="IJ51" i="14"/>
  <c r="II51" i="14"/>
  <c r="IH51" i="14"/>
  <c r="IG51" i="14"/>
  <c r="IF51" i="14"/>
  <c r="IE51" i="14"/>
  <c r="ID51" i="14"/>
  <c r="IC51" i="14"/>
  <c r="IB51" i="14"/>
  <c r="IA51" i="14"/>
  <c r="HZ51" i="14"/>
  <c r="HW51" i="14"/>
  <c r="HV51" i="14"/>
  <c r="HU51" i="14"/>
  <c r="HR51" i="14"/>
  <c r="HQ51" i="14"/>
  <c r="HP51" i="14"/>
  <c r="HM51" i="14"/>
  <c r="HL51" i="14"/>
  <c r="HK51" i="14"/>
  <c r="HH51" i="14"/>
  <c r="HG51" i="14"/>
  <c r="HI51" i="14" s="1"/>
  <c r="HF51" i="14"/>
  <c r="HC51" i="14"/>
  <c r="HB51" i="14"/>
  <c r="HA51" i="14"/>
  <c r="GU51" i="14"/>
  <c r="GT51" i="14"/>
  <c r="GS51" i="14"/>
  <c r="GR51" i="14"/>
  <c r="GQ51" i="14"/>
  <c r="GP51" i="14"/>
  <c r="GO51" i="14"/>
  <c r="GL51" i="14"/>
  <c r="GK51" i="14"/>
  <c r="GJ51" i="14"/>
  <c r="GI51" i="14"/>
  <c r="GH51" i="14"/>
  <c r="GG51" i="14"/>
  <c r="GF51" i="14"/>
  <c r="GE51" i="14"/>
  <c r="GA51" i="14"/>
  <c r="FZ51" i="14"/>
  <c r="FY51" i="14"/>
  <c r="FV51" i="14"/>
  <c r="FU51" i="14"/>
  <c r="FT51" i="14"/>
  <c r="FS51" i="14"/>
  <c r="FR51" i="14"/>
  <c r="FQ51" i="14"/>
  <c r="FP51" i="14"/>
  <c r="FO51" i="14"/>
  <c r="FN51" i="14"/>
  <c r="FM51" i="14"/>
  <c r="FL51" i="14"/>
  <c r="FK51" i="14"/>
  <c r="FH51" i="14"/>
  <c r="FG51" i="14"/>
  <c r="FF51" i="14"/>
  <c r="FE51" i="14"/>
  <c r="FB51" i="14"/>
  <c r="FA51" i="14"/>
  <c r="EZ51" i="14"/>
  <c r="EW51" i="14"/>
  <c r="EV51" i="14"/>
  <c r="EU51" i="14"/>
  <c r="ER51" i="14"/>
  <c r="EQ51" i="14"/>
  <c r="EM51" i="14"/>
  <c r="EL51" i="14"/>
  <c r="EH51" i="14"/>
  <c r="EG51" i="14"/>
  <c r="IO42" i="14"/>
  <c r="IN42" i="14"/>
  <c r="IM42" i="14"/>
  <c r="IL42" i="14"/>
  <c r="IK42" i="14"/>
  <c r="IJ42" i="14"/>
  <c r="II42" i="14"/>
  <c r="IH42" i="14"/>
  <c r="IG42" i="14"/>
  <c r="IF42" i="14"/>
  <c r="IE42" i="14"/>
  <c r="ID42" i="14"/>
  <c r="IC42" i="14"/>
  <c r="IB42" i="14"/>
  <c r="IA42" i="14"/>
  <c r="HZ42" i="14"/>
  <c r="HW42" i="14"/>
  <c r="HV42" i="14"/>
  <c r="HU42" i="14"/>
  <c r="HR42" i="14"/>
  <c r="HQ42" i="14"/>
  <c r="HP42" i="14"/>
  <c r="HM42" i="14"/>
  <c r="HL42" i="14"/>
  <c r="HK42" i="14"/>
  <c r="HH42" i="14"/>
  <c r="HG42" i="14"/>
  <c r="HI42" i="14" s="1"/>
  <c r="HF42" i="14"/>
  <c r="HC42" i="14"/>
  <c r="HB42" i="14"/>
  <c r="HA42" i="14"/>
  <c r="GU42" i="14"/>
  <c r="GT42" i="14"/>
  <c r="GS42" i="14"/>
  <c r="GR42" i="14"/>
  <c r="GQ42" i="14"/>
  <c r="GP42" i="14"/>
  <c r="GO42" i="14"/>
  <c r="GL42" i="14"/>
  <c r="GK42" i="14"/>
  <c r="GJ42" i="14"/>
  <c r="GI42" i="14"/>
  <c r="GH42" i="14"/>
  <c r="GG42" i="14"/>
  <c r="GF42" i="14"/>
  <c r="GE42" i="14"/>
  <c r="GA42" i="14"/>
  <c r="FZ42" i="14"/>
  <c r="FY42" i="14"/>
  <c r="FV42" i="14"/>
  <c r="FU42" i="14"/>
  <c r="FT42" i="14"/>
  <c r="FS42" i="14"/>
  <c r="FR42" i="14"/>
  <c r="FQ42" i="14"/>
  <c r="FP42" i="14"/>
  <c r="FO42" i="14"/>
  <c r="FN42" i="14"/>
  <c r="FM42" i="14"/>
  <c r="FL42" i="14"/>
  <c r="FK42" i="14"/>
  <c r="FH42" i="14"/>
  <c r="FG42" i="14"/>
  <c r="FF42" i="14"/>
  <c r="FE42" i="14"/>
  <c r="FB42" i="14"/>
  <c r="FA42" i="14"/>
  <c r="EZ42" i="14"/>
  <c r="EW42" i="14"/>
  <c r="EV42" i="14"/>
  <c r="EU42" i="14"/>
  <c r="ER42" i="14"/>
  <c r="EQ42" i="14"/>
  <c r="EM42" i="14"/>
  <c r="EL42" i="14"/>
  <c r="EH42" i="14"/>
  <c r="EG42" i="14"/>
  <c r="IO37" i="14"/>
  <c r="IN37" i="14"/>
  <c r="IM37" i="14"/>
  <c r="IL37" i="14"/>
  <c r="IK37" i="14"/>
  <c r="IJ37" i="14"/>
  <c r="II37" i="14"/>
  <c r="IH37" i="14"/>
  <c r="IG37" i="14"/>
  <c r="IF37" i="14"/>
  <c r="IE37" i="14"/>
  <c r="ID37" i="14"/>
  <c r="IC37" i="14"/>
  <c r="IB37" i="14"/>
  <c r="IA37" i="14"/>
  <c r="HZ37" i="14"/>
  <c r="HW37" i="14"/>
  <c r="HV37" i="14"/>
  <c r="HU37" i="14"/>
  <c r="HR37" i="14"/>
  <c r="HQ37" i="14"/>
  <c r="HP37" i="14"/>
  <c r="HM37" i="14"/>
  <c r="HL37" i="14"/>
  <c r="HK37" i="14"/>
  <c r="HH37" i="14"/>
  <c r="HG37" i="14"/>
  <c r="HF37" i="14"/>
  <c r="HC37" i="14"/>
  <c r="HB37" i="14"/>
  <c r="HA37" i="14"/>
  <c r="GU37" i="14"/>
  <c r="GT37" i="14"/>
  <c r="GS37" i="14"/>
  <c r="GR37" i="14"/>
  <c r="GQ37" i="14"/>
  <c r="GP37" i="14"/>
  <c r="GO37" i="14"/>
  <c r="GL37" i="14"/>
  <c r="GK37" i="14"/>
  <c r="GJ37" i="14"/>
  <c r="GI37" i="14"/>
  <c r="GH37" i="14"/>
  <c r="GG37" i="14"/>
  <c r="GF37" i="14"/>
  <c r="GE37" i="14"/>
  <c r="GA37" i="14"/>
  <c r="FZ37" i="14"/>
  <c r="FY37" i="14"/>
  <c r="FV37" i="14"/>
  <c r="FU37" i="14"/>
  <c r="FT37" i="14"/>
  <c r="FS37" i="14"/>
  <c r="FR37" i="14"/>
  <c r="FQ37" i="14"/>
  <c r="FP37" i="14"/>
  <c r="FO37" i="14"/>
  <c r="FN37" i="14"/>
  <c r="FM37" i="14"/>
  <c r="FL37" i="14"/>
  <c r="FK37" i="14"/>
  <c r="FH37" i="14"/>
  <c r="FG37" i="14"/>
  <c r="FF37" i="14"/>
  <c r="FE37" i="14"/>
  <c r="FB37" i="14"/>
  <c r="FA37" i="14"/>
  <c r="EZ37" i="14"/>
  <c r="EW37" i="14"/>
  <c r="EV37" i="14"/>
  <c r="EU37" i="14"/>
  <c r="ER37" i="14"/>
  <c r="EQ37" i="14"/>
  <c r="EM37" i="14"/>
  <c r="EL37" i="14"/>
  <c r="EH37" i="14"/>
  <c r="EG37" i="14"/>
  <c r="GY52" i="14" l="1"/>
  <c r="GZ52" i="14"/>
  <c r="EN52" i="14"/>
  <c r="EP52" i="14"/>
  <c r="EI52" i="14"/>
  <c r="GM52" i="14"/>
  <c r="EB52" i="14"/>
  <c r="EJ52" i="14"/>
  <c r="GN52" i="14"/>
  <c r="EK52" i="14"/>
  <c r="EO52" i="14" s="1"/>
  <c r="FJ52" i="14"/>
  <c r="EB35" i="14"/>
  <c r="FW39" i="14"/>
  <c r="GW39" i="14"/>
  <c r="FX39" i="14"/>
  <c r="GC28" i="14"/>
  <c r="HN28" i="14"/>
  <c r="FI35" i="14"/>
  <c r="GC35" i="14"/>
  <c r="HO35" i="14"/>
  <c r="FI39" i="14"/>
  <c r="GX39" i="14"/>
  <c r="GV39" i="14"/>
  <c r="HO39" i="14"/>
  <c r="GW35" i="14"/>
  <c r="EX35" i="14"/>
  <c r="EY35" i="14"/>
  <c r="GX35" i="14"/>
  <c r="HJ39" i="14"/>
  <c r="HX39" i="14"/>
  <c r="GB39" i="14"/>
  <c r="HY39" i="14"/>
  <c r="EX39" i="14"/>
  <c r="FJ39" i="14"/>
  <c r="EY39" i="14"/>
  <c r="HE39" i="14"/>
  <c r="HJ28" i="14"/>
  <c r="HS35" i="14"/>
  <c r="EP28" i="14"/>
  <c r="HD35" i="14"/>
  <c r="GV35" i="14"/>
  <c r="GZ35" i="14" s="1"/>
  <c r="HE35" i="14"/>
  <c r="ET39" i="14"/>
  <c r="HS28" i="14"/>
  <c r="FC39" i="14"/>
  <c r="GD39" i="14"/>
  <c r="EB39" i="14"/>
  <c r="EP39" i="14"/>
  <c r="GY39" i="14"/>
  <c r="EJ39" i="14"/>
  <c r="GZ39" i="14"/>
  <c r="GN39" i="14"/>
  <c r="HD39" i="14"/>
  <c r="EC39" i="14"/>
  <c r="EK39" i="14"/>
  <c r="EO39" i="14" s="1"/>
  <c r="EF28" i="14"/>
  <c r="EJ28" i="14" s="1"/>
  <c r="GD28" i="14"/>
  <c r="GD35" i="14"/>
  <c r="HT35" i="14"/>
  <c r="GC43" i="14"/>
  <c r="EK28" i="14"/>
  <c r="EN28" i="14" s="1"/>
  <c r="HX28" i="14"/>
  <c r="HY28" i="14"/>
  <c r="GM28" i="14"/>
  <c r="HT43" i="14"/>
  <c r="HD28" i="14"/>
  <c r="HO28" i="14"/>
  <c r="ES35" i="14"/>
  <c r="EP35" i="14"/>
  <c r="FW35" i="14"/>
  <c r="FD35" i="14"/>
  <c r="EA35" i="14"/>
  <c r="ED35" i="14" s="1"/>
  <c r="EE35" i="14"/>
  <c r="EO35" i="14"/>
  <c r="EF35" i="14"/>
  <c r="EJ35" i="14" s="1"/>
  <c r="GM35" i="14"/>
  <c r="GN35" i="14"/>
  <c r="EN35" i="14"/>
  <c r="EC28" i="14"/>
  <c r="FD28" i="14"/>
  <c r="FW28" i="14"/>
  <c r="GV28" i="14"/>
  <c r="HT28" i="14"/>
  <c r="GB28" i="14"/>
  <c r="ET28" i="14"/>
  <c r="GW28" i="14"/>
  <c r="EX28" i="14"/>
  <c r="FJ28" i="14"/>
  <c r="EY28" i="14"/>
  <c r="GX28" i="14"/>
  <c r="GZ28" i="14" s="1"/>
  <c r="FX28" i="14"/>
  <c r="HE28" i="14"/>
  <c r="FC28" i="14"/>
  <c r="EB28" i="14"/>
  <c r="GN28" i="14"/>
  <c r="FI28" i="14"/>
  <c r="GN43" i="14"/>
  <c r="GD43" i="14"/>
  <c r="HD43" i="14"/>
  <c r="GW51" i="14"/>
  <c r="GV43" i="14"/>
  <c r="FW43" i="14"/>
  <c r="HO43" i="14"/>
  <c r="EF43" i="14"/>
  <c r="EJ43" i="14" s="1"/>
  <c r="HJ51" i="14"/>
  <c r="HX51" i="14"/>
  <c r="HE43" i="14"/>
  <c r="FC51" i="14"/>
  <c r="FW51" i="14"/>
  <c r="FJ43" i="14"/>
  <c r="GB43" i="14"/>
  <c r="GW43" i="14"/>
  <c r="HN43" i="14"/>
  <c r="FX43" i="14"/>
  <c r="HJ43" i="14"/>
  <c r="GD51" i="14"/>
  <c r="HY51" i="14"/>
  <c r="FI43" i="14"/>
  <c r="GM51" i="14"/>
  <c r="EX51" i="14"/>
  <c r="HS43" i="14"/>
  <c r="GM43" i="14"/>
  <c r="GX43" i="14"/>
  <c r="HY43" i="14"/>
  <c r="GC42" i="14"/>
  <c r="HO42" i="14"/>
  <c r="FJ51" i="14"/>
  <c r="HX43" i="14"/>
  <c r="EY43" i="14"/>
  <c r="EF51" i="14"/>
  <c r="EI51" i="14" s="1"/>
  <c r="EX43" i="14"/>
  <c r="HE42" i="14"/>
  <c r="EC51" i="14"/>
  <c r="FD43" i="14"/>
  <c r="FX42" i="14"/>
  <c r="GB51" i="14"/>
  <c r="ET43" i="14"/>
  <c r="HJ42" i="14"/>
  <c r="FI51" i="14"/>
  <c r="GC51" i="14"/>
  <c r="GX51" i="14"/>
  <c r="HO51" i="14"/>
  <c r="ES43" i="14"/>
  <c r="FC43" i="14"/>
  <c r="EI43" i="14"/>
  <c r="EB43" i="14"/>
  <c r="EC43" i="14"/>
  <c r="EP43" i="14"/>
  <c r="EK43" i="14"/>
  <c r="EO43" i="14" s="1"/>
  <c r="GV51" i="14"/>
  <c r="EX42" i="14"/>
  <c r="HD51" i="14"/>
  <c r="HS51" i="14"/>
  <c r="HN42" i="14"/>
  <c r="GD42" i="14"/>
  <c r="HN51" i="14"/>
  <c r="EY51" i="14"/>
  <c r="HE51" i="14"/>
  <c r="HY42" i="14"/>
  <c r="HT51" i="14"/>
  <c r="ET42" i="14"/>
  <c r="GB42" i="14"/>
  <c r="GM42" i="14"/>
  <c r="EY42" i="14"/>
  <c r="GX42" i="14"/>
  <c r="HS42" i="14"/>
  <c r="ET51" i="14"/>
  <c r="EC42" i="14"/>
  <c r="FD42" i="14"/>
  <c r="GV42" i="14"/>
  <c r="HT42" i="14"/>
  <c r="FX51" i="14"/>
  <c r="FW42" i="14"/>
  <c r="HX42" i="14"/>
  <c r="EP42" i="14"/>
  <c r="FJ42" i="14"/>
  <c r="GW42" i="14"/>
  <c r="ES51" i="14"/>
  <c r="EK51" i="14"/>
  <c r="EN51" i="14" s="1"/>
  <c r="FD51" i="14"/>
  <c r="GN51" i="14"/>
  <c r="EB51" i="14"/>
  <c r="EP51" i="14"/>
  <c r="EB42" i="14"/>
  <c r="ES42" i="14"/>
  <c r="FI42" i="14"/>
  <c r="EK42" i="14"/>
  <c r="EN42" i="14" s="1"/>
  <c r="FC42" i="14"/>
  <c r="GN42" i="14"/>
  <c r="HD42" i="14"/>
  <c r="EF42" i="14"/>
  <c r="EI42" i="14" s="1"/>
  <c r="HI37" i="14"/>
  <c r="ES37" i="14"/>
  <c r="IO14" i="14"/>
  <c r="IN14" i="14"/>
  <c r="IM14" i="14"/>
  <c r="IL14" i="14"/>
  <c r="IK14" i="14"/>
  <c r="IJ14" i="14"/>
  <c r="II14" i="14"/>
  <c r="IH14" i="14"/>
  <c r="IG14" i="14"/>
  <c r="IF14" i="14"/>
  <c r="IE14" i="14"/>
  <c r="ID14" i="14"/>
  <c r="IC14" i="14"/>
  <c r="IB14" i="14"/>
  <c r="IA14" i="14"/>
  <c r="HZ14" i="14"/>
  <c r="HW14" i="14"/>
  <c r="HV14" i="14"/>
  <c r="HU14" i="14"/>
  <c r="HR14" i="14"/>
  <c r="HQ14" i="14"/>
  <c r="HP14" i="14"/>
  <c r="HM14" i="14"/>
  <c r="HL14" i="14"/>
  <c r="HK14" i="14"/>
  <c r="HH14" i="14"/>
  <c r="HG14" i="14"/>
  <c r="HF14" i="14"/>
  <c r="HC14" i="14"/>
  <c r="HB14" i="14"/>
  <c r="HA14" i="14"/>
  <c r="GU14" i="14"/>
  <c r="GT14" i="14"/>
  <c r="GS14" i="14"/>
  <c r="GR14" i="14"/>
  <c r="GQ14" i="14"/>
  <c r="GP14" i="14"/>
  <c r="GO14" i="14"/>
  <c r="GL14" i="14"/>
  <c r="GK14" i="14"/>
  <c r="GJ14" i="14"/>
  <c r="GI14" i="14"/>
  <c r="GH14" i="14"/>
  <c r="GG14" i="14"/>
  <c r="GF14" i="14"/>
  <c r="GE14" i="14"/>
  <c r="GA14" i="14"/>
  <c r="FZ14" i="14"/>
  <c r="FY14" i="14"/>
  <c r="FV14" i="14"/>
  <c r="FU14" i="14"/>
  <c r="FT14" i="14"/>
  <c r="FS14" i="14"/>
  <c r="FR14" i="14"/>
  <c r="FQ14" i="14"/>
  <c r="FP14" i="14"/>
  <c r="FO14" i="14"/>
  <c r="FN14" i="14"/>
  <c r="FM14" i="14"/>
  <c r="FL14" i="14"/>
  <c r="FK14" i="14"/>
  <c r="FH14" i="14"/>
  <c r="FG14" i="14"/>
  <c r="FF14" i="14"/>
  <c r="FE14" i="14"/>
  <c r="FB14" i="14"/>
  <c r="FA14" i="14"/>
  <c r="EZ14" i="14"/>
  <c r="EW14" i="14"/>
  <c r="EV14" i="14"/>
  <c r="EU14" i="14"/>
  <c r="ER14" i="14"/>
  <c r="EQ14" i="14"/>
  <c r="EM14" i="14"/>
  <c r="EL14" i="14"/>
  <c r="EH14" i="14"/>
  <c r="EG14" i="14"/>
  <c r="EA52" i="14" l="1"/>
  <c r="EE52" i="14" s="1"/>
  <c r="EI28" i="14"/>
  <c r="GY35" i="14"/>
  <c r="GY28" i="14"/>
  <c r="EA39" i="14"/>
  <c r="ED39" i="14" s="1"/>
  <c r="EN39" i="14"/>
  <c r="EO28" i="14"/>
  <c r="EI35" i="14"/>
  <c r="EA28" i="14"/>
  <c r="EE28" i="14" s="1"/>
  <c r="GY51" i="14"/>
  <c r="GY43" i="14"/>
  <c r="GZ43" i="14"/>
  <c r="EA42" i="14"/>
  <c r="ED42" i="14" s="1"/>
  <c r="EJ51" i="14"/>
  <c r="EN43" i="14"/>
  <c r="GZ51" i="14"/>
  <c r="EA43" i="14"/>
  <c r="EE43" i="14" s="1"/>
  <c r="GY42" i="14"/>
  <c r="GZ42" i="14"/>
  <c r="EO51" i="14"/>
  <c r="EA51" i="14"/>
  <c r="EE51" i="14" s="1"/>
  <c r="EO42" i="14"/>
  <c r="EJ42" i="14"/>
  <c r="FI37" i="14"/>
  <c r="HJ37" i="14"/>
  <c r="GB37" i="14"/>
  <c r="HN37" i="14"/>
  <c r="GN37" i="14"/>
  <c r="HO37" i="14"/>
  <c r="ET37" i="14"/>
  <c r="GC37" i="14"/>
  <c r="HY37" i="14"/>
  <c r="GM37" i="14"/>
  <c r="EY37" i="14"/>
  <c r="EX37" i="14"/>
  <c r="FJ37" i="14"/>
  <c r="GX37" i="14"/>
  <c r="FD37" i="14"/>
  <c r="FX37" i="14"/>
  <c r="HS37" i="14"/>
  <c r="GD37" i="14"/>
  <c r="HE37" i="14"/>
  <c r="GV37" i="14"/>
  <c r="HD37" i="14"/>
  <c r="HT37" i="14"/>
  <c r="EK37" i="14"/>
  <c r="EO37" i="14" s="1"/>
  <c r="FW37" i="14"/>
  <c r="HX37" i="14"/>
  <c r="EP37" i="14"/>
  <c r="FC37" i="14"/>
  <c r="EF37" i="14"/>
  <c r="EJ37" i="14" s="1"/>
  <c r="GW37" i="14"/>
  <c r="EC37" i="14"/>
  <c r="EB37" i="14"/>
  <c r="ED52" i="14" l="1"/>
  <c r="EE39" i="14"/>
  <c r="ED28" i="14"/>
  <c r="EE42" i="14"/>
  <c r="ED43" i="14"/>
  <c r="ED51" i="14"/>
  <c r="GY37" i="14"/>
  <c r="GZ37" i="14"/>
  <c r="EN37" i="14"/>
  <c r="EA37" i="14"/>
  <c r="ED37" i="14" s="1"/>
  <c r="EI37" i="14"/>
  <c r="EE37" i="14" l="1"/>
  <c r="S18" i="13"/>
  <c r="M18" i="13"/>
  <c r="G19" i="13"/>
  <c r="S15" i="13"/>
  <c r="GL44" i="14" l="1"/>
  <c r="GL30" i="14"/>
  <c r="GL29" i="14"/>
  <c r="GL27" i="14"/>
  <c r="GL26" i="14"/>
  <c r="GK44" i="14"/>
  <c r="GK30" i="14"/>
  <c r="GK29" i="14"/>
  <c r="GK27" i="14"/>
  <c r="GK26" i="14"/>
  <c r="FV44" i="14"/>
  <c r="FV30" i="14"/>
  <c r="FV29" i="14"/>
  <c r="FV27" i="14"/>
  <c r="FV26" i="14"/>
  <c r="FU44" i="14"/>
  <c r="FU30" i="14"/>
  <c r="FU29" i="14"/>
  <c r="FU27" i="14"/>
  <c r="FU26" i="14"/>
  <c r="FO44" i="14"/>
  <c r="FO30" i="14"/>
  <c r="FO29" i="14"/>
  <c r="FO27" i="14"/>
  <c r="FO26" i="14"/>
  <c r="HW44" i="14"/>
  <c r="HW30" i="14"/>
  <c r="HW29" i="14"/>
  <c r="HW27" i="14"/>
  <c r="HW26" i="14"/>
  <c r="HV44" i="14"/>
  <c r="HV30" i="14"/>
  <c r="HV29" i="14"/>
  <c r="HV27" i="14"/>
  <c r="HV26" i="14"/>
  <c r="HR44" i="14"/>
  <c r="HR30" i="14"/>
  <c r="HR29" i="14"/>
  <c r="HR27" i="14"/>
  <c r="HR26" i="14"/>
  <c r="HQ44" i="14"/>
  <c r="HQ30" i="14"/>
  <c r="HQ29" i="14"/>
  <c r="HQ27" i="14"/>
  <c r="HQ26" i="14"/>
  <c r="HM44" i="14"/>
  <c r="HM30" i="14"/>
  <c r="HM29" i="14"/>
  <c r="HM27" i="14"/>
  <c r="HM26" i="14"/>
  <c r="HL44" i="14"/>
  <c r="HL30" i="14"/>
  <c r="HL29" i="14"/>
  <c r="HL27" i="14"/>
  <c r="HL26" i="14"/>
  <c r="HH44" i="14"/>
  <c r="HH30" i="14"/>
  <c r="HH29" i="14"/>
  <c r="HH27" i="14"/>
  <c r="HH26" i="14"/>
  <c r="HI56" i="14"/>
  <c r="HI55" i="14"/>
  <c r="HI54" i="14"/>
  <c r="HI53" i="14"/>
  <c r="HI50" i="14"/>
  <c r="HI49" i="14"/>
  <c r="HI48" i="14"/>
  <c r="HI47" i="14"/>
  <c r="HI46" i="14"/>
  <c r="HI45" i="14"/>
  <c r="HG44" i="14"/>
  <c r="HI44" i="14" s="1"/>
  <c r="HI38" i="14"/>
  <c r="HI36" i="14"/>
  <c r="HI34" i="14"/>
  <c r="HI33" i="14"/>
  <c r="HI32" i="14"/>
  <c r="HI31" i="14"/>
  <c r="HG30" i="14"/>
  <c r="HI30" i="14" s="1"/>
  <c r="HG29" i="14"/>
  <c r="HI29" i="14" s="1"/>
  <c r="HG27" i="14"/>
  <c r="HI27" i="14" s="1"/>
  <c r="HG26" i="14"/>
  <c r="HI23" i="14"/>
  <c r="HI22" i="14"/>
  <c r="HI21" i="14"/>
  <c r="HI20" i="14"/>
  <c r="HI19" i="14"/>
  <c r="HI18" i="14"/>
  <c r="HI17" i="14"/>
  <c r="HI16" i="14"/>
  <c r="HI15" i="14"/>
  <c r="HI14" i="14"/>
  <c r="HU44" i="14"/>
  <c r="HU30" i="14"/>
  <c r="HU29" i="14"/>
  <c r="HU27" i="14"/>
  <c r="HU26" i="14"/>
  <c r="HC44" i="14"/>
  <c r="HC30" i="14"/>
  <c r="HC29" i="14"/>
  <c r="HC27" i="14"/>
  <c r="HC26" i="14"/>
  <c r="HB44" i="14"/>
  <c r="HB30" i="14"/>
  <c r="HB29" i="14"/>
  <c r="HB27" i="14"/>
  <c r="HB26" i="14"/>
  <c r="HO55" i="14"/>
  <c r="HT54" i="14"/>
  <c r="HT50" i="14"/>
  <c r="HS49" i="14"/>
  <c r="HT48" i="14"/>
  <c r="HO48" i="14"/>
  <c r="HS47" i="14"/>
  <c r="HT46" i="14"/>
  <c r="HT45" i="14"/>
  <c r="HO45" i="14"/>
  <c r="IO44" i="14"/>
  <c r="IN44" i="14"/>
  <c r="IM44" i="14"/>
  <c r="IL44" i="14"/>
  <c r="IK44" i="14"/>
  <c r="IJ44" i="14"/>
  <c r="II44" i="14"/>
  <c r="IH44" i="14"/>
  <c r="IG44" i="14"/>
  <c r="IF44" i="14"/>
  <c r="IE44" i="14"/>
  <c r="ID44" i="14"/>
  <c r="IC44" i="14"/>
  <c r="IB44" i="14"/>
  <c r="IA44" i="14"/>
  <c r="HZ44" i="14"/>
  <c r="HP44" i="14"/>
  <c r="HS44" i="14" s="1"/>
  <c r="HK44" i="14"/>
  <c r="HF44" i="14"/>
  <c r="HA44" i="14"/>
  <c r="HD44" i="14" s="1"/>
  <c r="GU44" i="14"/>
  <c r="GT44" i="14"/>
  <c r="GS44" i="14"/>
  <c r="GR44" i="14"/>
  <c r="GQ44" i="14"/>
  <c r="GP44" i="14"/>
  <c r="GO44" i="14"/>
  <c r="GJ44" i="14"/>
  <c r="GI44" i="14"/>
  <c r="GH44" i="14"/>
  <c r="GG44" i="14"/>
  <c r="GF44" i="14"/>
  <c r="GE44" i="14"/>
  <c r="GA44" i="14"/>
  <c r="FZ44" i="14"/>
  <c r="FY44" i="14"/>
  <c r="FT44" i="14"/>
  <c r="FS44" i="14"/>
  <c r="FR44" i="14"/>
  <c r="FQ44" i="14"/>
  <c r="FP44" i="14"/>
  <c r="FN44" i="14"/>
  <c r="FM44" i="14"/>
  <c r="FL44" i="14"/>
  <c r="FK44" i="14"/>
  <c r="FH44" i="14"/>
  <c r="FG44" i="14"/>
  <c r="FF44" i="14"/>
  <c r="FE44" i="14"/>
  <c r="FB44" i="14"/>
  <c r="FA44" i="14"/>
  <c r="EZ44" i="14"/>
  <c r="EW44" i="14"/>
  <c r="EV44" i="14"/>
  <c r="EU44" i="14"/>
  <c r="ER44" i="14"/>
  <c r="EQ44" i="14"/>
  <c r="EM44" i="14"/>
  <c r="EL44" i="14"/>
  <c r="EH44" i="14"/>
  <c r="EG44" i="14"/>
  <c r="HT38" i="14"/>
  <c r="HO36" i="14"/>
  <c r="HT34" i="14"/>
  <c r="HT33" i="14"/>
  <c r="HO33" i="14"/>
  <c r="HD32" i="14"/>
  <c r="HT31" i="14"/>
  <c r="HD31" i="14"/>
  <c r="IO30" i="14"/>
  <c r="IN30" i="14"/>
  <c r="IM30" i="14"/>
  <c r="IL30" i="14"/>
  <c r="IK30" i="14"/>
  <c r="IJ30" i="14"/>
  <c r="II30" i="14"/>
  <c r="IH30" i="14"/>
  <c r="IG30" i="14"/>
  <c r="IF30" i="14"/>
  <c r="IE30" i="14"/>
  <c r="ID30" i="14"/>
  <c r="IC30" i="14"/>
  <c r="IB30" i="14"/>
  <c r="IA30" i="14"/>
  <c r="HZ30" i="14"/>
  <c r="HP30" i="14"/>
  <c r="HT30" i="14" s="1"/>
  <c r="HK30" i="14"/>
  <c r="HO30" i="14" s="1"/>
  <c r="HF30" i="14"/>
  <c r="HA30" i="14"/>
  <c r="GU30" i="14"/>
  <c r="GT30" i="14"/>
  <c r="GS30" i="14"/>
  <c r="GR30" i="14"/>
  <c r="GQ30" i="14"/>
  <c r="GP30" i="14"/>
  <c r="GO30" i="14"/>
  <c r="GJ30" i="14"/>
  <c r="GI30" i="14"/>
  <c r="GH30" i="14"/>
  <c r="GG30" i="14"/>
  <c r="GF30" i="14"/>
  <c r="GE30" i="14"/>
  <c r="GA30" i="14"/>
  <c r="FZ30" i="14"/>
  <c r="FY30" i="14"/>
  <c r="FT30" i="14"/>
  <c r="FS30" i="14"/>
  <c r="FR30" i="14"/>
  <c r="FQ30" i="14"/>
  <c r="FP30" i="14"/>
  <c r="FN30" i="14"/>
  <c r="FM30" i="14"/>
  <c r="FL30" i="14"/>
  <c r="FK30" i="14"/>
  <c r="FH30" i="14"/>
  <c r="FG30" i="14"/>
  <c r="FF30" i="14"/>
  <c r="FE30" i="14"/>
  <c r="FB30" i="14"/>
  <c r="FA30" i="14"/>
  <c r="EZ30" i="14"/>
  <c r="EW30" i="14"/>
  <c r="EV30" i="14"/>
  <c r="EU30" i="14"/>
  <c r="ER30" i="14"/>
  <c r="EQ30" i="14"/>
  <c r="EM30" i="14"/>
  <c r="EL30" i="14"/>
  <c r="EH30" i="14"/>
  <c r="EG30" i="14"/>
  <c r="IO29" i="14"/>
  <c r="IN29" i="14"/>
  <c r="IM29" i="14"/>
  <c r="IL29" i="14"/>
  <c r="IK29" i="14"/>
  <c r="IJ29" i="14"/>
  <c r="II29" i="14"/>
  <c r="IH29" i="14"/>
  <c r="IG29" i="14"/>
  <c r="IF29" i="14"/>
  <c r="IE29" i="14"/>
  <c r="ID29" i="14"/>
  <c r="IC29" i="14"/>
  <c r="IB29" i="14"/>
  <c r="IA29" i="14"/>
  <c r="HZ29" i="14"/>
  <c r="HP29" i="14"/>
  <c r="HS29" i="14" s="1"/>
  <c r="HK29" i="14"/>
  <c r="HO29" i="14" s="1"/>
  <c r="HF29" i="14"/>
  <c r="HA29" i="14"/>
  <c r="GU29" i="14"/>
  <c r="GT29" i="14"/>
  <c r="GS29" i="14"/>
  <c r="GR29" i="14"/>
  <c r="GQ29" i="14"/>
  <c r="GP29" i="14"/>
  <c r="GO29" i="14"/>
  <c r="GJ29" i="14"/>
  <c r="GI29" i="14"/>
  <c r="GH29" i="14"/>
  <c r="GG29" i="14"/>
  <c r="GF29" i="14"/>
  <c r="GE29" i="14"/>
  <c r="GA29" i="14"/>
  <c r="FZ29" i="14"/>
  <c r="FY29" i="14"/>
  <c r="FT29" i="14"/>
  <c r="FS29" i="14"/>
  <c r="FR29" i="14"/>
  <c r="FQ29" i="14"/>
  <c r="FP29" i="14"/>
  <c r="FN29" i="14"/>
  <c r="FM29" i="14"/>
  <c r="FL29" i="14"/>
  <c r="FK29" i="14"/>
  <c r="FH29" i="14"/>
  <c r="FG29" i="14"/>
  <c r="FF29" i="14"/>
  <c r="FE29" i="14"/>
  <c r="FB29" i="14"/>
  <c r="FA29" i="14"/>
  <c r="EZ29" i="14"/>
  <c r="EW29" i="14"/>
  <c r="EV29" i="14"/>
  <c r="EU29" i="14"/>
  <c r="ER29" i="14"/>
  <c r="EQ29" i="14"/>
  <c r="EM29" i="14"/>
  <c r="EL29" i="14"/>
  <c r="EH29" i="14"/>
  <c r="EG29" i="14"/>
  <c r="IO27" i="14"/>
  <c r="IN27" i="14"/>
  <c r="IM27" i="14"/>
  <c r="IL27" i="14"/>
  <c r="IK27" i="14"/>
  <c r="IJ27" i="14"/>
  <c r="II27" i="14"/>
  <c r="IH27" i="14"/>
  <c r="IG27" i="14"/>
  <c r="IF27" i="14"/>
  <c r="IE27" i="14"/>
  <c r="ID27" i="14"/>
  <c r="IC27" i="14"/>
  <c r="IB27" i="14"/>
  <c r="IA27" i="14"/>
  <c r="HZ27" i="14"/>
  <c r="HP27" i="14"/>
  <c r="HK27" i="14"/>
  <c r="HF27" i="14"/>
  <c r="HA27" i="14"/>
  <c r="GU27" i="14"/>
  <c r="GT27" i="14"/>
  <c r="GS27" i="14"/>
  <c r="GR27" i="14"/>
  <c r="GQ27" i="14"/>
  <c r="GP27" i="14"/>
  <c r="GO27" i="14"/>
  <c r="GJ27" i="14"/>
  <c r="GI27" i="14"/>
  <c r="GH27" i="14"/>
  <c r="GG27" i="14"/>
  <c r="GF27" i="14"/>
  <c r="GE27" i="14"/>
  <c r="GA27" i="14"/>
  <c r="FZ27" i="14"/>
  <c r="FY27" i="14"/>
  <c r="FT27" i="14"/>
  <c r="FS27" i="14"/>
  <c r="FR27" i="14"/>
  <c r="FQ27" i="14"/>
  <c r="FP27" i="14"/>
  <c r="FN27" i="14"/>
  <c r="FM27" i="14"/>
  <c r="FL27" i="14"/>
  <c r="FK27" i="14"/>
  <c r="FH27" i="14"/>
  <c r="FG27" i="14"/>
  <c r="FF27" i="14"/>
  <c r="FE27" i="14"/>
  <c r="FB27" i="14"/>
  <c r="FA27" i="14"/>
  <c r="EZ27" i="14"/>
  <c r="EW27" i="14"/>
  <c r="EV27" i="14"/>
  <c r="EU27" i="14"/>
  <c r="ER27" i="14"/>
  <c r="EQ27" i="14"/>
  <c r="EM27" i="14"/>
  <c r="EL27" i="14"/>
  <c r="EH27" i="14"/>
  <c r="EG27" i="14"/>
  <c r="IO26" i="14"/>
  <c r="IN26" i="14"/>
  <c r="IM26" i="14"/>
  <c r="IL26" i="14"/>
  <c r="IK26" i="14"/>
  <c r="IJ26" i="14"/>
  <c r="II26" i="14"/>
  <c r="IH26" i="14"/>
  <c r="IG26" i="14"/>
  <c r="IF26" i="14"/>
  <c r="IE26" i="14"/>
  <c r="ID26" i="14"/>
  <c r="IC26" i="14"/>
  <c r="IB26" i="14"/>
  <c r="IA26" i="14"/>
  <c r="HZ26" i="14"/>
  <c r="HP26" i="14"/>
  <c r="HK26" i="14"/>
  <c r="HF26" i="14"/>
  <c r="HA26" i="14"/>
  <c r="GU26" i="14"/>
  <c r="GT26" i="14"/>
  <c r="GS26" i="14"/>
  <c r="GR26" i="14"/>
  <c r="GQ26" i="14"/>
  <c r="GP26" i="14"/>
  <c r="GO26" i="14"/>
  <c r="GJ26" i="14"/>
  <c r="GI26" i="14"/>
  <c r="GH26" i="14"/>
  <c r="GG26" i="14"/>
  <c r="GF26" i="14"/>
  <c r="GE26" i="14"/>
  <c r="GA26" i="14"/>
  <c r="FZ26" i="14"/>
  <c r="FY26" i="14"/>
  <c r="FT26" i="14"/>
  <c r="FS26" i="14"/>
  <c r="FR26" i="14"/>
  <c r="FQ26" i="14"/>
  <c r="FP26" i="14"/>
  <c r="FN26" i="14"/>
  <c r="FM26" i="14"/>
  <c r="FL26" i="14"/>
  <c r="FK26" i="14"/>
  <c r="FH26" i="14"/>
  <c r="FG26" i="14"/>
  <c r="FF26" i="14"/>
  <c r="FE26" i="14"/>
  <c r="FB26" i="14"/>
  <c r="FA26" i="14"/>
  <c r="EZ26" i="14"/>
  <c r="EW26" i="14"/>
  <c r="EV26" i="14"/>
  <c r="EU26" i="14"/>
  <c r="ER26" i="14"/>
  <c r="EQ26" i="14"/>
  <c r="EM26" i="14"/>
  <c r="EL26" i="14"/>
  <c r="EH26" i="14"/>
  <c r="EG26" i="14"/>
  <c r="HT18" i="14"/>
  <c r="HO18" i="14"/>
  <c r="HE23" i="14"/>
  <c r="HS22" i="14"/>
  <c r="HT20" i="14"/>
  <c r="HT19" i="14"/>
  <c r="HO19" i="14"/>
  <c r="HT15" i="14"/>
  <c r="HO15" i="14"/>
  <c r="HE15" i="14"/>
  <c r="HS14" i="14"/>
  <c r="HE14" i="14"/>
  <c r="DR4" i="14"/>
  <c r="DQ4" i="14"/>
  <c r="DP4" i="14"/>
  <c r="DO4" i="14"/>
  <c r="DN4" i="14"/>
  <c r="DM4" i="14"/>
  <c r="DL4" i="14"/>
  <c r="DK4" i="14"/>
  <c r="DJ4" i="14"/>
  <c r="DI4" i="14"/>
  <c r="DH4" i="14"/>
  <c r="DG4" i="14"/>
  <c r="DF4" i="14"/>
  <c r="DE4" i="14"/>
  <c r="DD4" i="14"/>
  <c r="DC4" i="14"/>
  <c r="DR3" i="14"/>
  <c r="DQ3" i="14"/>
  <c r="DP3" i="14"/>
  <c r="DO3" i="14"/>
  <c r="DN3" i="14"/>
  <c r="DM3" i="14"/>
  <c r="DL3" i="14"/>
  <c r="DK3" i="14"/>
  <c r="DJ3" i="14"/>
  <c r="DI3" i="14"/>
  <c r="DH3" i="14"/>
  <c r="DG3" i="14"/>
  <c r="DF3" i="14"/>
  <c r="DE3" i="14"/>
  <c r="DD3" i="14"/>
  <c r="DC3" i="14"/>
  <c r="DR2" i="14"/>
  <c r="DQ2" i="14"/>
  <c r="DP2" i="14"/>
  <c r="DO2" i="14"/>
  <c r="DN2" i="14"/>
  <c r="DM2" i="14"/>
  <c r="DL2" i="14"/>
  <c r="DK2" i="14"/>
  <c r="DJ2" i="14"/>
  <c r="DI2" i="14"/>
  <c r="DH2" i="14"/>
  <c r="DG2" i="14"/>
  <c r="DF2" i="14"/>
  <c r="DE2" i="14"/>
  <c r="DD2" i="14"/>
  <c r="DC2" i="14"/>
  <c r="DB4" i="14"/>
  <c r="DA4" i="14"/>
  <c r="CZ4" i="14"/>
  <c r="CY4" i="14"/>
  <c r="CW4" i="14"/>
  <c r="CV4" i="14"/>
  <c r="CU4" i="14"/>
  <c r="CT4" i="14"/>
  <c r="DB3" i="14"/>
  <c r="DA3" i="14"/>
  <c r="CZ3" i="14"/>
  <c r="CY3" i="14"/>
  <c r="CW3" i="14"/>
  <c r="CV3" i="14"/>
  <c r="CU3" i="14"/>
  <c r="CT3" i="14"/>
  <c r="DB2" i="14"/>
  <c r="DA2" i="14"/>
  <c r="CZ2" i="14"/>
  <c r="CY2" i="14"/>
  <c r="CW2" i="14"/>
  <c r="CV2" i="14"/>
  <c r="CU2" i="14"/>
  <c r="CT2" i="14"/>
  <c r="CH4" i="14"/>
  <c r="CH3" i="14"/>
  <c r="CH2" i="14"/>
  <c r="CG4" i="14"/>
  <c r="CF4" i="14"/>
  <c r="CG3" i="14"/>
  <c r="CF3" i="14"/>
  <c r="CG2" i="14"/>
  <c r="CF2" i="14"/>
  <c r="BK4" i="14"/>
  <c r="BJ4" i="14"/>
  <c r="BI4" i="14"/>
  <c r="BK3" i="14"/>
  <c r="BJ3" i="14"/>
  <c r="BI3" i="14"/>
  <c r="BK2" i="14"/>
  <c r="BJ2" i="14"/>
  <c r="BI2" i="14"/>
  <c r="CP4" i="14"/>
  <c r="CO4" i="14"/>
  <c r="CK4" i="14"/>
  <c r="CJ4" i="14"/>
  <c r="CC4" i="14"/>
  <c r="CB4" i="14"/>
  <c r="BX4" i="14"/>
  <c r="BW4" i="14"/>
  <c r="BS4" i="14"/>
  <c r="BR4" i="14"/>
  <c r="BN4" i="14"/>
  <c r="BM4" i="14"/>
  <c r="BF4" i="14"/>
  <c r="BE4" i="14"/>
  <c r="CP3" i="14"/>
  <c r="CO3" i="14"/>
  <c r="CK3" i="14"/>
  <c r="CJ3" i="14"/>
  <c r="CC3" i="14"/>
  <c r="CB3" i="14"/>
  <c r="BX3" i="14"/>
  <c r="BW3" i="14"/>
  <c r="BS3" i="14"/>
  <c r="BR3" i="14"/>
  <c r="BN3" i="14"/>
  <c r="BM3" i="14"/>
  <c r="BF3" i="14"/>
  <c r="BE3" i="14"/>
  <c r="CP2" i="14"/>
  <c r="CO2" i="14"/>
  <c r="CK2" i="14"/>
  <c r="CJ2" i="14"/>
  <c r="CC2" i="14"/>
  <c r="CB2" i="14"/>
  <c r="BX2" i="14"/>
  <c r="BW2" i="14"/>
  <c r="BS2" i="14"/>
  <c r="BR2" i="14"/>
  <c r="BN2" i="14"/>
  <c r="BM2" i="14"/>
  <c r="BF2" i="14"/>
  <c r="BE2" i="14"/>
  <c r="BC4" i="14"/>
  <c r="BB4" i="14"/>
  <c r="BA4" i="14"/>
  <c r="AZ4" i="14"/>
  <c r="AY4" i="14"/>
  <c r="AX4" i="14"/>
  <c r="AW4" i="14"/>
  <c r="AV4" i="14"/>
  <c r="BC3" i="14"/>
  <c r="BB3" i="14"/>
  <c r="BA3" i="14"/>
  <c r="AZ3" i="14"/>
  <c r="AY3" i="14"/>
  <c r="AX3" i="14"/>
  <c r="AW3" i="14"/>
  <c r="AV3" i="14"/>
  <c r="BC2" i="14"/>
  <c r="BB2" i="14"/>
  <c r="BA2" i="14"/>
  <c r="AZ2" i="14"/>
  <c r="AY2" i="14"/>
  <c r="AX2" i="14"/>
  <c r="AW2" i="14"/>
  <c r="AV2" i="14"/>
  <c r="AR4" i="14"/>
  <c r="AQ4" i="14"/>
  <c r="AP4" i="14"/>
  <c r="AM4" i="14"/>
  <c r="AL4" i="14"/>
  <c r="AK4" i="14"/>
  <c r="AJ4" i="14"/>
  <c r="AI4" i="14"/>
  <c r="AH4" i="14"/>
  <c r="AG4" i="14"/>
  <c r="AF4" i="14"/>
  <c r="AR3" i="14"/>
  <c r="AQ3" i="14"/>
  <c r="AP3" i="14"/>
  <c r="AM3" i="14"/>
  <c r="AL3" i="14"/>
  <c r="AK3" i="14"/>
  <c r="AJ3" i="14"/>
  <c r="AI3" i="14"/>
  <c r="AH3" i="14"/>
  <c r="AG3" i="14"/>
  <c r="AF3" i="14"/>
  <c r="AR2" i="14"/>
  <c r="AQ2" i="14"/>
  <c r="AP2" i="14"/>
  <c r="AM2" i="14"/>
  <c r="AL2" i="14"/>
  <c r="AK2" i="14"/>
  <c r="AJ2" i="14"/>
  <c r="AI2" i="14"/>
  <c r="AH2" i="14"/>
  <c r="AG2" i="14"/>
  <c r="AF2" i="14"/>
  <c r="AB4" i="14"/>
  <c r="AA4" i="14"/>
  <c r="Z4" i="14"/>
  <c r="AB3" i="14"/>
  <c r="AA3" i="14"/>
  <c r="Z3" i="14"/>
  <c r="AB2" i="14"/>
  <c r="AA2" i="14"/>
  <c r="Z2" i="14"/>
  <c r="DY3" i="14"/>
  <c r="DX3" i="14"/>
  <c r="DV3" i="14"/>
  <c r="DT3" i="14"/>
  <c r="CN3" i="14"/>
  <c r="CI3" i="14"/>
  <c r="CA3" i="14"/>
  <c r="BV3" i="14"/>
  <c r="BQ3" i="14"/>
  <c r="BL3" i="14"/>
  <c r="BD3" i="14"/>
  <c r="AN3" i="14"/>
  <c r="X3" i="14"/>
  <c r="U3" i="14"/>
  <c r="T3" i="14"/>
  <c r="Q3" i="14"/>
  <c r="P3" i="14"/>
  <c r="N3" i="14"/>
  <c r="M3" i="14"/>
  <c r="DY2" i="14"/>
  <c r="DX2" i="14"/>
  <c r="DV2" i="14"/>
  <c r="DT2" i="14"/>
  <c r="CN2" i="14"/>
  <c r="CI2" i="14"/>
  <c r="CA2" i="14"/>
  <c r="BV2" i="14"/>
  <c r="BQ2" i="14"/>
  <c r="BL2" i="14"/>
  <c r="BD2" i="14"/>
  <c r="AN2" i="14"/>
  <c r="X2" i="14"/>
  <c r="U2" i="14"/>
  <c r="T2" i="14"/>
  <c r="Q2" i="14"/>
  <c r="P2" i="14"/>
  <c r="N2" i="14"/>
  <c r="M2" i="14"/>
  <c r="HX49" i="14" l="1"/>
  <c r="FV4" i="14"/>
  <c r="HH2" i="14"/>
  <c r="HR2" i="14"/>
  <c r="FU2" i="14"/>
  <c r="IK2" i="14"/>
  <c r="EM2" i="14"/>
  <c r="FB2" i="14"/>
  <c r="FN2" i="14"/>
  <c r="GG2" i="14"/>
  <c r="GS2" i="14"/>
  <c r="IA2" i="14"/>
  <c r="HQ2" i="14"/>
  <c r="FO2" i="14"/>
  <c r="GL2" i="14"/>
  <c r="FT2" i="14"/>
  <c r="FG2" i="14"/>
  <c r="HA2" i="14"/>
  <c r="GU2" i="14"/>
  <c r="EU2" i="14"/>
  <c r="GJ2" i="14"/>
  <c r="IF2" i="14"/>
  <c r="EW2" i="14"/>
  <c r="GA2" i="14"/>
  <c r="HK2" i="14"/>
  <c r="GI2" i="14"/>
  <c r="FQ2" i="14"/>
  <c r="FY2" i="14"/>
  <c r="IE2" i="14"/>
  <c r="EG2" i="14"/>
  <c r="FK2" i="14"/>
  <c r="GP2" i="14"/>
  <c r="HD22" i="14"/>
  <c r="IN2" i="14"/>
  <c r="HD19" i="14"/>
  <c r="IL2" i="14"/>
  <c r="EQ2" i="14"/>
  <c r="FE2" i="14"/>
  <c r="FS2" i="14"/>
  <c r="GH2" i="14"/>
  <c r="GT2" i="14"/>
  <c r="IC2" i="14"/>
  <c r="HU2" i="14"/>
  <c r="FP2" i="14"/>
  <c r="IM2" i="14"/>
  <c r="ER2" i="14"/>
  <c r="FF2" i="14"/>
  <c r="ID2" i="14"/>
  <c r="HI26" i="14"/>
  <c r="HC2" i="14"/>
  <c r="FR2" i="14"/>
  <c r="IO2" i="14"/>
  <c r="EV2" i="14"/>
  <c r="FH2" i="14"/>
  <c r="FZ2" i="14"/>
  <c r="GO2" i="14"/>
  <c r="HF2" i="14"/>
  <c r="HO49" i="14"/>
  <c r="HM2" i="14"/>
  <c r="HW2" i="14"/>
  <c r="GK2" i="14"/>
  <c r="IH2" i="14"/>
  <c r="IG2" i="14"/>
  <c r="HB2" i="14"/>
  <c r="II2" i="14"/>
  <c r="EH2" i="14"/>
  <c r="EZ2" i="14"/>
  <c r="FL2" i="14"/>
  <c r="GE2" i="14"/>
  <c r="GQ2" i="14"/>
  <c r="HP2" i="14"/>
  <c r="IB2" i="14"/>
  <c r="HL2" i="14"/>
  <c r="HV2" i="14"/>
  <c r="FV2" i="14"/>
  <c r="IJ2" i="14"/>
  <c r="EL2" i="14"/>
  <c r="FA2" i="14"/>
  <c r="FM2" i="14"/>
  <c r="GF2" i="14"/>
  <c r="GR2" i="14"/>
  <c r="HZ2" i="14"/>
  <c r="HI13" i="14"/>
  <c r="HG2" i="14"/>
  <c r="HO54" i="14"/>
  <c r="HE45" i="14"/>
  <c r="HE55" i="14"/>
  <c r="HX45" i="14"/>
  <c r="HX55" i="14"/>
  <c r="HE54" i="14"/>
  <c r="HT55" i="14"/>
  <c r="HE33" i="14"/>
  <c r="HO23" i="14"/>
  <c r="HT23" i="14"/>
  <c r="HT32" i="14"/>
  <c r="HD29" i="14"/>
  <c r="HD36" i="14"/>
  <c r="HX19" i="14"/>
  <c r="HX30" i="14"/>
  <c r="HT26" i="14"/>
  <c r="GL4" i="14"/>
  <c r="FO4" i="14"/>
  <c r="FU4" i="14"/>
  <c r="EC32" i="14"/>
  <c r="HT56" i="14"/>
  <c r="FB4" i="14"/>
  <c r="FN4" i="14"/>
  <c r="EP44" i="14"/>
  <c r="EK46" i="14"/>
  <c r="EK13" i="14"/>
  <c r="HT53" i="14"/>
  <c r="EC13" i="14"/>
  <c r="EC21" i="14"/>
  <c r="EC53" i="14"/>
  <c r="EP54" i="14"/>
  <c r="EP19" i="14"/>
  <c r="EK21" i="14"/>
  <c r="EK26" i="14"/>
  <c r="EC31" i="14"/>
  <c r="EZ4" i="14"/>
  <c r="FL4" i="14"/>
  <c r="FT4" i="14"/>
  <c r="GG4" i="14"/>
  <c r="GS4" i="14"/>
  <c r="IA4" i="14"/>
  <c r="II4" i="14"/>
  <c r="EC44" i="14"/>
  <c r="EP45" i="14"/>
  <c r="EK47" i="14"/>
  <c r="EP55" i="14"/>
  <c r="EP26" i="14"/>
  <c r="EK29" i="14"/>
  <c r="EC33" i="14"/>
  <c r="GI4" i="14"/>
  <c r="GU4" i="14"/>
  <c r="IC4" i="14"/>
  <c r="IK4" i="14"/>
  <c r="EC46" i="14"/>
  <c r="HU4" i="14"/>
  <c r="HH4" i="14"/>
  <c r="EC14" i="14"/>
  <c r="EP15" i="14"/>
  <c r="EK17" i="14"/>
  <c r="EC23" i="14"/>
  <c r="EP18" i="14"/>
  <c r="EC34" i="14"/>
  <c r="ER4" i="14"/>
  <c r="FF4" i="14"/>
  <c r="FZ4" i="14"/>
  <c r="GO4" i="14"/>
  <c r="HF4" i="14"/>
  <c r="IE4" i="14"/>
  <c r="IM4" i="14"/>
  <c r="EP49" i="14"/>
  <c r="EK53" i="14"/>
  <c r="HJ14" i="14"/>
  <c r="HJ22" i="14"/>
  <c r="HJ32" i="14"/>
  <c r="HJ44" i="14"/>
  <c r="HJ54" i="14"/>
  <c r="EP21" i="14"/>
  <c r="EK27" i="14"/>
  <c r="EP33" i="14"/>
  <c r="EK34" i="14"/>
  <c r="HK4" i="14"/>
  <c r="U54" i="10" s="1"/>
  <c r="IF4" i="14"/>
  <c r="IN4" i="14"/>
  <c r="EP56" i="14"/>
  <c r="IG4" i="14"/>
  <c r="IO4" i="14"/>
  <c r="HJ16" i="14"/>
  <c r="HJ26" i="14"/>
  <c r="HJ46" i="14"/>
  <c r="HJ56" i="14"/>
  <c r="EP14" i="14"/>
  <c r="EK16" i="14"/>
  <c r="EP23" i="14"/>
  <c r="EC26" i="14"/>
  <c r="EW4" i="14"/>
  <c r="HZ4" i="14"/>
  <c r="IH4" i="14"/>
  <c r="HB4" i="14"/>
  <c r="HL4" i="14"/>
  <c r="HV4" i="14"/>
  <c r="EC15" i="14"/>
  <c r="EC18" i="14"/>
  <c r="EP30" i="14"/>
  <c r="EK31" i="14"/>
  <c r="IB4" i="14"/>
  <c r="AA51" i="10" s="1"/>
  <c r="IJ4" i="14"/>
  <c r="HJ19" i="14"/>
  <c r="HJ30" i="14"/>
  <c r="HJ49" i="14"/>
  <c r="EK15" i="14"/>
  <c r="EP22" i="14"/>
  <c r="EK18" i="14"/>
  <c r="EK36" i="14"/>
  <c r="HA4" i="14"/>
  <c r="ID4" i="14"/>
  <c r="IL4" i="14"/>
  <c r="HR4" i="14"/>
  <c r="EP13" i="14"/>
  <c r="EK14" i="14"/>
  <c r="EF16" i="14"/>
  <c r="EB16" i="14"/>
  <c r="EC20" i="14"/>
  <c r="EK23" i="14"/>
  <c r="EF27" i="14"/>
  <c r="EB27" i="14"/>
  <c r="EP31" i="14"/>
  <c r="EK33" i="14"/>
  <c r="EF34" i="14"/>
  <c r="EI34" i="14" s="1"/>
  <c r="EB34" i="14"/>
  <c r="EC38" i="14"/>
  <c r="EH4" i="14"/>
  <c r="EV4" i="14"/>
  <c r="FH4" i="14"/>
  <c r="FR4" i="14"/>
  <c r="GE4" i="14"/>
  <c r="GQ4" i="14"/>
  <c r="EK45" i="14"/>
  <c r="EF47" i="14"/>
  <c r="EB47" i="14"/>
  <c r="EC50" i="14"/>
  <c r="EP53" i="14"/>
  <c r="EK55" i="14"/>
  <c r="EK56" i="14"/>
  <c r="HD21" i="14"/>
  <c r="HD33" i="14"/>
  <c r="HD46" i="14"/>
  <c r="HE16" i="14"/>
  <c r="HE26" i="14"/>
  <c r="HE46" i="14"/>
  <c r="HE56" i="14"/>
  <c r="HJ20" i="14"/>
  <c r="HJ38" i="14"/>
  <c r="HJ50" i="14"/>
  <c r="HN16" i="14"/>
  <c r="HN26" i="14"/>
  <c r="HN46" i="14"/>
  <c r="HN56" i="14"/>
  <c r="HO20" i="14"/>
  <c r="HO38" i="14"/>
  <c r="HO50" i="14"/>
  <c r="HX16" i="14"/>
  <c r="HX26" i="14"/>
  <c r="HX46" i="14"/>
  <c r="HX56" i="14"/>
  <c r="HY20" i="14"/>
  <c r="HY38" i="14"/>
  <c r="HY50" i="14"/>
  <c r="EC16" i="14"/>
  <c r="EP17" i="14"/>
  <c r="EK20" i="14"/>
  <c r="EF22" i="14"/>
  <c r="EB22" i="14"/>
  <c r="EC27" i="14"/>
  <c r="EP29" i="14"/>
  <c r="EF32" i="14"/>
  <c r="EB32" i="14"/>
  <c r="EP36" i="14"/>
  <c r="EK38" i="14"/>
  <c r="FK4" i="14"/>
  <c r="FS4" i="14"/>
  <c r="GF4" i="14"/>
  <c r="GR4" i="14"/>
  <c r="EB44" i="14"/>
  <c r="EF44" i="14"/>
  <c r="EC47" i="14"/>
  <c r="EP48" i="14"/>
  <c r="EK50" i="14"/>
  <c r="EB54" i="14"/>
  <c r="EF54" i="14"/>
  <c r="EJ54" i="14" s="1"/>
  <c r="HD13" i="14"/>
  <c r="HD26" i="14"/>
  <c r="HD47" i="14"/>
  <c r="HD48" i="14"/>
  <c r="HE17" i="14"/>
  <c r="HE27" i="14"/>
  <c r="HE34" i="14"/>
  <c r="HE47" i="14"/>
  <c r="HJ13" i="14"/>
  <c r="HJ21" i="14"/>
  <c r="HJ31" i="14"/>
  <c r="HJ53" i="14"/>
  <c r="HN17" i="14"/>
  <c r="HN27" i="14"/>
  <c r="HN34" i="14"/>
  <c r="HN47" i="14"/>
  <c r="HO13" i="14"/>
  <c r="HO21" i="14"/>
  <c r="HO31" i="14"/>
  <c r="HO53" i="14"/>
  <c r="HS17" i="14"/>
  <c r="HS27" i="14"/>
  <c r="HX17" i="14"/>
  <c r="HX27" i="14"/>
  <c r="HX34" i="14"/>
  <c r="HX47" i="14"/>
  <c r="HY13" i="14"/>
  <c r="HY21" i="14"/>
  <c r="HY31" i="14"/>
  <c r="HY53" i="14"/>
  <c r="HW4" i="14"/>
  <c r="EB19" i="14"/>
  <c r="EF19" i="14"/>
  <c r="EC22" i="14"/>
  <c r="EF30" i="14"/>
  <c r="EB30" i="14"/>
  <c r="EL4" i="14"/>
  <c r="EB49" i="14"/>
  <c r="EF49" i="14"/>
  <c r="EC54" i="14"/>
  <c r="HD14" i="14"/>
  <c r="HD27" i="14"/>
  <c r="HD34" i="14"/>
  <c r="HD49" i="14"/>
  <c r="HD54" i="14"/>
  <c r="HE18" i="14"/>
  <c r="HE29" i="14"/>
  <c r="HE36" i="14"/>
  <c r="HE48" i="14"/>
  <c r="HN18" i="14"/>
  <c r="HN29" i="14"/>
  <c r="HN36" i="14"/>
  <c r="HN48" i="14"/>
  <c r="HO14" i="14"/>
  <c r="HO22" i="14"/>
  <c r="HO32" i="14"/>
  <c r="HO44" i="14"/>
  <c r="HS18" i="14"/>
  <c r="HS36" i="14"/>
  <c r="HS48" i="14"/>
  <c r="HT22" i="14"/>
  <c r="HT44" i="14"/>
  <c r="HX18" i="14"/>
  <c r="HX29" i="14"/>
  <c r="HX36" i="14"/>
  <c r="HX48" i="14"/>
  <c r="HY14" i="14"/>
  <c r="HY22" i="14"/>
  <c r="HY32" i="14"/>
  <c r="HY44" i="14"/>
  <c r="HY54" i="14"/>
  <c r="EF15" i="14"/>
  <c r="EB15" i="14"/>
  <c r="EC19" i="14"/>
  <c r="EP20" i="14"/>
  <c r="EK22" i="14"/>
  <c r="EB18" i="14"/>
  <c r="EF18" i="14"/>
  <c r="EF26" i="14"/>
  <c r="EB26" i="14"/>
  <c r="EC30" i="14"/>
  <c r="EK32" i="14"/>
  <c r="EP38" i="14"/>
  <c r="EM4" i="14"/>
  <c r="FA4" i="14"/>
  <c r="FM4" i="14"/>
  <c r="GH4" i="14"/>
  <c r="GT4" i="14"/>
  <c r="EK44" i="14"/>
  <c r="EF46" i="14"/>
  <c r="EB46" i="14"/>
  <c r="EC49" i="14"/>
  <c r="EP50" i="14"/>
  <c r="EK54" i="14"/>
  <c r="EO54" i="14" s="1"/>
  <c r="HD15" i="14"/>
  <c r="HD50" i="14"/>
  <c r="HD55" i="14"/>
  <c r="HE19" i="14"/>
  <c r="HE30" i="14"/>
  <c r="HE49" i="14"/>
  <c r="HJ15" i="14"/>
  <c r="HJ23" i="14"/>
  <c r="HJ33" i="14"/>
  <c r="HJ45" i="14"/>
  <c r="HJ55" i="14"/>
  <c r="HY15" i="14"/>
  <c r="HY23" i="14"/>
  <c r="HY33" i="14"/>
  <c r="HY45" i="14"/>
  <c r="HY55" i="14"/>
  <c r="HM4" i="14"/>
  <c r="GK4" i="14"/>
  <c r="EF13" i="14"/>
  <c r="EB13" i="14"/>
  <c r="EP16" i="14"/>
  <c r="EK19" i="14"/>
  <c r="EF21" i="14"/>
  <c r="EB21" i="14"/>
  <c r="EP27" i="14"/>
  <c r="EK30" i="14"/>
  <c r="EF31" i="14"/>
  <c r="EB31" i="14"/>
  <c r="EP34" i="14"/>
  <c r="EP47" i="14"/>
  <c r="EK49" i="14"/>
  <c r="EB53" i="14"/>
  <c r="EF53" i="14"/>
  <c r="HD16" i="14"/>
  <c r="HD30" i="14"/>
  <c r="HD38" i="14"/>
  <c r="HD53" i="14"/>
  <c r="HE20" i="14"/>
  <c r="HE38" i="14"/>
  <c r="HE50" i="14"/>
  <c r="HN20" i="14"/>
  <c r="HN38" i="14"/>
  <c r="HN50" i="14"/>
  <c r="HO16" i="14"/>
  <c r="HO26" i="14"/>
  <c r="HO46" i="14"/>
  <c r="HO56" i="14"/>
  <c r="HX20" i="14"/>
  <c r="HX38" i="14"/>
  <c r="HX50" i="14"/>
  <c r="HY16" i="14"/>
  <c r="HY26" i="14"/>
  <c r="HY46" i="14"/>
  <c r="HY56" i="14"/>
  <c r="HP4" i="14"/>
  <c r="EB17" i="14"/>
  <c r="EF17" i="14"/>
  <c r="EF29" i="14"/>
  <c r="EB29" i="14"/>
  <c r="EP32" i="14"/>
  <c r="EF36" i="14"/>
  <c r="EB36" i="14"/>
  <c r="EQ4" i="14"/>
  <c r="FE4" i="14"/>
  <c r="FY4" i="14"/>
  <c r="GJ4" i="14"/>
  <c r="EB48" i="14"/>
  <c r="EF48" i="14"/>
  <c r="HD17" i="14"/>
  <c r="HD56" i="14"/>
  <c r="HD18" i="14"/>
  <c r="HE13" i="14"/>
  <c r="HE21" i="14"/>
  <c r="HE31" i="14"/>
  <c r="HE53" i="14"/>
  <c r="HJ17" i="14"/>
  <c r="HJ27" i="14"/>
  <c r="HJ34" i="14"/>
  <c r="HJ47" i="14"/>
  <c r="HN13" i="14"/>
  <c r="HN21" i="14"/>
  <c r="HN31" i="14"/>
  <c r="HN53" i="14"/>
  <c r="HO17" i="14"/>
  <c r="HO27" i="14"/>
  <c r="HO34" i="14"/>
  <c r="HO47" i="14"/>
  <c r="HS21" i="14"/>
  <c r="HS31" i="14"/>
  <c r="HX13" i="14"/>
  <c r="HX21" i="14"/>
  <c r="HX31" i="14"/>
  <c r="HX53" i="14"/>
  <c r="HY17" i="14"/>
  <c r="HY27" i="14"/>
  <c r="HY34" i="14"/>
  <c r="HY47" i="14"/>
  <c r="HC4" i="14"/>
  <c r="HQ4" i="14"/>
  <c r="EF14" i="14"/>
  <c r="EB14" i="14"/>
  <c r="EC17" i="14"/>
  <c r="EB23" i="14"/>
  <c r="EF23" i="14"/>
  <c r="EC29" i="14"/>
  <c r="EF33" i="14"/>
  <c r="EB33" i="14"/>
  <c r="EC36" i="14"/>
  <c r="FP4" i="14"/>
  <c r="EF45" i="14"/>
  <c r="EB45" i="14"/>
  <c r="EC48" i="14"/>
  <c r="EF55" i="14"/>
  <c r="EJ55" i="14" s="1"/>
  <c r="EB55" i="14"/>
  <c r="EB56" i="14"/>
  <c r="EF56" i="14"/>
  <c r="EJ56" i="14" s="1"/>
  <c r="HJ18" i="14"/>
  <c r="HJ29" i="14"/>
  <c r="HJ36" i="14"/>
  <c r="HJ48" i="14"/>
  <c r="HN14" i="14"/>
  <c r="HN22" i="14"/>
  <c r="HN32" i="14"/>
  <c r="HN44" i="14"/>
  <c r="HN54" i="14"/>
  <c r="HT29" i="14"/>
  <c r="HT36" i="14"/>
  <c r="HX14" i="14"/>
  <c r="HX22" i="14"/>
  <c r="HX32" i="14"/>
  <c r="HX44" i="14"/>
  <c r="HX54" i="14"/>
  <c r="HY18" i="14"/>
  <c r="HY29" i="14"/>
  <c r="HY36" i="14"/>
  <c r="HY48" i="14"/>
  <c r="EB20" i="14"/>
  <c r="EF20" i="14"/>
  <c r="EB38" i="14"/>
  <c r="EF38" i="14"/>
  <c r="EI38" i="14" s="1"/>
  <c r="EG4" i="14"/>
  <c r="EU4" i="14"/>
  <c r="FG4" i="14"/>
  <c r="FQ4" i="14"/>
  <c r="GA4" i="14"/>
  <c r="GP4" i="14"/>
  <c r="EC45" i="14"/>
  <c r="EP46" i="14"/>
  <c r="EK48" i="14"/>
  <c r="EB50" i="14"/>
  <c r="EF50" i="14"/>
  <c r="EC55" i="14"/>
  <c r="EC56" i="14"/>
  <c r="HD20" i="14"/>
  <c r="HD45" i="14"/>
  <c r="HD23" i="14"/>
  <c r="HS45" i="14"/>
  <c r="HT49" i="14"/>
  <c r="HX15" i="14"/>
  <c r="HX23" i="14"/>
  <c r="HX33" i="14"/>
  <c r="HY19" i="14"/>
  <c r="HY30" i="14"/>
  <c r="HY49" i="14"/>
  <c r="HG4" i="14"/>
  <c r="HS53" i="14"/>
  <c r="HS13" i="14"/>
  <c r="HT17" i="14"/>
  <c r="HT27" i="14"/>
  <c r="HT47" i="14"/>
  <c r="HE22" i="14"/>
  <c r="HE32" i="14"/>
  <c r="HE44" i="14"/>
  <c r="HN15" i="14"/>
  <c r="HN19" i="14"/>
  <c r="HN23" i="14"/>
  <c r="HN30" i="14"/>
  <c r="HN33" i="14"/>
  <c r="HN45" i="14"/>
  <c r="HN49" i="14"/>
  <c r="HN55" i="14"/>
  <c r="HS19" i="14"/>
  <c r="HS32" i="14"/>
  <c r="HS54" i="14"/>
  <c r="HS15" i="14"/>
  <c r="HS23" i="14"/>
  <c r="HS33" i="14"/>
  <c r="HS16" i="14"/>
  <c r="HS26" i="14"/>
  <c r="HS46" i="14"/>
  <c r="HS56" i="14"/>
  <c r="HS30" i="14"/>
  <c r="HS55" i="14"/>
  <c r="HS34" i="14"/>
  <c r="HT13" i="14"/>
  <c r="HT21" i="14"/>
  <c r="HT14" i="14"/>
  <c r="HS20" i="14"/>
  <c r="HS38" i="14"/>
  <c r="HS50" i="14"/>
  <c r="HT16" i="14"/>
  <c r="GM55" i="14"/>
  <c r="GN54" i="14"/>
  <c r="GN50" i="14"/>
  <c r="FX56" i="14"/>
  <c r="ES56" i="14"/>
  <c r="ES55" i="14"/>
  <c r="FX54" i="14"/>
  <c r="ES54" i="14"/>
  <c r="ES53" i="14"/>
  <c r="ES50" i="14"/>
  <c r="ES48" i="14"/>
  <c r="ES44" i="14"/>
  <c r="GC56" i="14"/>
  <c r="EX56" i="14"/>
  <c r="ET56" i="14"/>
  <c r="GV55" i="14"/>
  <c r="GB54" i="14"/>
  <c r="GV53" i="14"/>
  <c r="FX38" i="14"/>
  <c r="FX36" i="14"/>
  <c r="ES33" i="14"/>
  <c r="ES31" i="14"/>
  <c r="ES30" i="14"/>
  <c r="ES29" i="14"/>
  <c r="ES27" i="14"/>
  <c r="ES26" i="14"/>
  <c r="GX38" i="14"/>
  <c r="FI38" i="14"/>
  <c r="FD38" i="14"/>
  <c r="FC38" i="14"/>
  <c r="ES36" i="14"/>
  <c r="GB34" i="14"/>
  <c r="ES34" i="14"/>
  <c r="GV33" i="14"/>
  <c r="FW33" i="14"/>
  <c r="GN31" i="14"/>
  <c r="ES22" i="14"/>
  <c r="ES21" i="14"/>
  <c r="ES20" i="14"/>
  <c r="ES19" i="14"/>
  <c r="ES18" i="14"/>
  <c r="ES17" i="14"/>
  <c r="ES16" i="14"/>
  <c r="ES15" i="14"/>
  <c r="ES14" i="14"/>
  <c r="ES23" i="14"/>
  <c r="DY4" i="14"/>
  <c r="T21" i="10" s="1"/>
  <c r="DX4" i="14"/>
  <c r="I21" i="10" s="1"/>
  <c r="DV4" i="14"/>
  <c r="Y18" i="10" s="1"/>
  <c r="C18" i="10"/>
  <c r="Z45" i="10"/>
  <c r="E45" i="10"/>
  <c r="Z44" i="10"/>
  <c r="E44" i="10"/>
  <c r="Y20" i="10"/>
  <c r="Z43" i="10"/>
  <c r="C20" i="10"/>
  <c r="E43" i="10"/>
  <c r="Z42" i="10"/>
  <c r="E42" i="10"/>
  <c r="T43" i="10"/>
  <c r="T44" i="10"/>
  <c r="T45" i="10"/>
  <c r="T46" i="10"/>
  <c r="K45" i="10"/>
  <c r="K44" i="10"/>
  <c r="C22" i="10"/>
  <c r="K46" i="10"/>
  <c r="Z40" i="10"/>
  <c r="Z39" i="10"/>
  <c r="CN4" i="14"/>
  <c r="Z38" i="10" s="1"/>
  <c r="Z35" i="10"/>
  <c r="Z34" i="10"/>
  <c r="CI4" i="14"/>
  <c r="Z33" i="10" s="1"/>
  <c r="V35" i="10"/>
  <c r="V34" i="10"/>
  <c r="V33" i="10"/>
  <c r="S35" i="10"/>
  <c r="S34" i="10"/>
  <c r="CA4" i="14"/>
  <c r="S33" i="10" s="1"/>
  <c r="S40" i="10"/>
  <c r="S39" i="10"/>
  <c r="BV4" i="14"/>
  <c r="S38" i="10" s="1"/>
  <c r="L40" i="10"/>
  <c r="L39" i="10"/>
  <c r="BQ4" i="14"/>
  <c r="L38" i="10" s="1"/>
  <c r="D35" i="10"/>
  <c r="D34" i="10"/>
  <c r="BL4" i="14"/>
  <c r="D33" i="10" s="1"/>
  <c r="I35" i="10"/>
  <c r="I34" i="10"/>
  <c r="I33" i="10"/>
  <c r="L35" i="10"/>
  <c r="L34" i="10"/>
  <c r="BD4" i="14"/>
  <c r="L33" i="10" s="1"/>
  <c r="U31" i="10"/>
  <c r="U29" i="10"/>
  <c r="U27" i="10"/>
  <c r="X29" i="10"/>
  <c r="X27" i="10"/>
  <c r="X25" i="10"/>
  <c r="U25" i="10"/>
  <c r="R30" i="10"/>
  <c r="R29" i="10"/>
  <c r="R28" i="10"/>
  <c r="R27" i="10"/>
  <c r="AN4" i="14"/>
  <c r="P24" i="10" s="1"/>
  <c r="G31" i="10"/>
  <c r="G29" i="10"/>
  <c r="G27" i="10"/>
  <c r="D29" i="10"/>
  <c r="D27" i="10"/>
  <c r="D25" i="10"/>
  <c r="G25" i="10"/>
  <c r="L30" i="10"/>
  <c r="L29" i="10"/>
  <c r="L28" i="10"/>
  <c r="L27" i="10"/>
  <c r="X4" i="14"/>
  <c r="M24" i="10" s="1"/>
  <c r="U4" i="14"/>
  <c r="T4" i="14"/>
  <c r="Q4" i="14"/>
  <c r="P4" i="14"/>
  <c r="F11" i="10" s="1"/>
  <c r="N4" i="14"/>
  <c r="P11" i="10" s="1"/>
  <c r="M4" i="14"/>
  <c r="M11" i="10" s="1"/>
  <c r="G21" i="13"/>
  <c r="H16" i="13"/>
  <c r="S11" i="13"/>
  <c r="W24" i="13"/>
  <c r="N14" i="13"/>
  <c r="M15" i="13"/>
  <c r="I11" i="13"/>
  <c r="W19" i="13"/>
  <c r="G15" i="13"/>
  <c r="S22" i="13"/>
  <c r="N11" i="13"/>
  <c r="I13" i="13"/>
  <c r="O13" i="13"/>
  <c r="N13" i="13"/>
  <c r="W18" i="13"/>
  <c r="W20" i="13"/>
  <c r="W22" i="13"/>
  <c r="M19" i="13"/>
  <c r="W12" i="13"/>
  <c r="M17" i="13"/>
  <c r="I14" i="13"/>
  <c r="W14" i="13"/>
  <c r="H17" i="13"/>
  <c r="M11" i="13"/>
  <c r="I16" i="13"/>
  <c r="I18" i="13"/>
  <c r="W13" i="13"/>
  <c r="S10" i="13"/>
  <c r="M20" i="13"/>
  <c r="W21" i="13"/>
  <c r="H15" i="13"/>
  <c r="H13" i="13"/>
  <c r="H18" i="13"/>
  <c r="S21" i="13"/>
  <c r="H14" i="13"/>
  <c r="M14" i="13"/>
  <c r="O14" i="13"/>
  <c r="W11" i="13"/>
  <c r="I12" i="13"/>
  <c r="G17" i="13"/>
  <c r="N10" i="13"/>
  <c r="N12" i="13"/>
  <c r="M10" i="13"/>
  <c r="M21" i="13"/>
  <c r="S12" i="13"/>
  <c r="W23" i="13"/>
  <c r="G18" i="13"/>
  <c r="S20" i="13"/>
  <c r="O11" i="13"/>
  <c r="S14" i="13"/>
  <c r="O12" i="13"/>
  <c r="G12" i="13"/>
  <c r="G10" i="13"/>
  <c r="G20" i="13"/>
  <c r="H12" i="13"/>
  <c r="H11" i="13"/>
  <c r="W9" i="13"/>
  <c r="I17" i="13"/>
  <c r="H10" i="13"/>
  <c r="G14" i="13"/>
  <c r="W10" i="13"/>
  <c r="W17" i="13"/>
  <c r="M13" i="13"/>
  <c r="I10" i="13"/>
  <c r="S13" i="13"/>
  <c r="G11" i="13"/>
  <c r="G16" i="13"/>
  <c r="M12" i="13"/>
  <c r="S19" i="13"/>
  <c r="M16" i="13"/>
  <c r="G13" i="13"/>
  <c r="O18" i="13"/>
  <c r="O10" i="13"/>
  <c r="I15" i="13"/>
  <c r="EB2" i="14" l="1"/>
  <c r="EC2" i="14"/>
  <c r="EF2" i="14"/>
  <c r="EK2" i="14"/>
  <c r="EP2" i="14"/>
  <c r="EF4" i="14"/>
  <c r="H48" i="10" s="1"/>
  <c r="EP4" i="14"/>
  <c r="EK4" i="14"/>
  <c r="EB4" i="14"/>
  <c r="M48" i="10" s="1"/>
  <c r="EC4" i="14"/>
  <c r="EJ53" i="14"/>
  <c r="EI33" i="14"/>
  <c r="EI36" i="14"/>
  <c r="FJ55" i="14"/>
  <c r="FJ56" i="14"/>
  <c r="EY36" i="14"/>
  <c r="EY38" i="14"/>
  <c r="FI55" i="14"/>
  <c r="FI56" i="14"/>
  <c r="GD38" i="14"/>
  <c r="EN56" i="14"/>
  <c r="EX33" i="14"/>
  <c r="GD55" i="14"/>
  <c r="FX55" i="14"/>
  <c r="GB50" i="14"/>
  <c r="GB55" i="14"/>
  <c r="GC53" i="14"/>
  <c r="EN54" i="14"/>
  <c r="GC54" i="14"/>
  <c r="GC49" i="14"/>
  <c r="GB53" i="14"/>
  <c r="FI54" i="14"/>
  <c r="GB56" i="14"/>
  <c r="GC55" i="14"/>
  <c r="GW53" i="14"/>
  <c r="GY53" i="14" s="1"/>
  <c r="FX53" i="14"/>
  <c r="GW47" i="14"/>
  <c r="GX34" i="14"/>
  <c r="GD32" i="14"/>
  <c r="FI50" i="14"/>
  <c r="EO49" i="14"/>
  <c r="GV32" i="14"/>
  <c r="EO50" i="14"/>
  <c r="EO53" i="14"/>
  <c r="FC56" i="14"/>
  <c r="E51" i="10"/>
  <c r="ET32" i="14"/>
  <c r="EN55" i="14"/>
  <c r="FJ34" i="14"/>
  <c r="FC36" i="14"/>
  <c r="EY49" i="14"/>
  <c r="EY50" i="14"/>
  <c r="EY53" i="14"/>
  <c r="EY56" i="14"/>
  <c r="EJ33" i="14"/>
  <c r="EJ38" i="14"/>
  <c r="GB38" i="14"/>
  <c r="EX47" i="14"/>
  <c r="EX54" i="14"/>
  <c r="EX55" i="14"/>
  <c r="GD34" i="14"/>
  <c r="FJ53" i="14"/>
  <c r="FJ54" i="14"/>
  <c r="GD54" i="14"/>
  <c r="GD56" i="14"/>
  <c r="AB43" i="10"/>
  <c r="GC38" i="14"/>
  <c r="EX50" i="14"/>
  <c r="EY54" i="14"/>
  <c r="EY55" i="14"/>
  <c r="GM31" i="14"/>
  <c r="K43" i="10"/>
  <c r="FW56" i="14"/>
  <c r="GV48" i="14"/>
  <c r="FW55" i="14"/>
  <c r="Y22" i="10"/>
  <c r="FI34" i="14"/>
  <c r="C43" i="10"/>
  <c r="D43" i="10" s="1"/>
  <c r="FI33" i="14"/>
  <c r="EX34" i="14"/>
  <c r="FI36" i="14"/>
  <c r="GB36" i="14"/>
  <c r="EY33" i="14"/>
  <c r="EY34" i="14"/>
  <c r="EY32" i="14"/>
  <c r="GB31" i="14"/>
  <c r="FI32" i="14"/>
  <c r="GB33" i="14"/>
  <c r="ET34" i="14"/>
  <c r="ET38" i="14"/>
  <c r="GW33" i="14"/>
  <c r="GY33" i="14" s="1"/>
  <c r="GX31" i="14"/>
  <c r="GX36" i="14"/>
  <c r="FD36" i="14"/>
  <c r="GM50" i="14"/>
  <c r="FI47" i="14"/>
  <c r="FI49" i="14"/>
  <c r="GB49" i="14"/>
  <c r="GW49" i="14"/>
  <c r="GN55" i="14"/>
  <c r="GW38" i="14"/>
  <c r="GX56" i="14"/>
  <c r="GX32" i="14"/>
  <c r="FC34" i="14"/>
  <c r="EI47" i="14"/>
  <c r="EJ49" i="14"/>
  <c r="EX53" i="14"/>
  <c r="GC32" i="14"/>
  <c r="FJ33" i="14"/>
  <c r="GC34" i="14"/>
  <c r="EN36" i="14"/>
  <c r="FJ36" i="14"/>
  <c r="GC36" i="14"/>
  <c r="EN38" i="14"/>
  <c r="FJ38" i="14"/>
  <c r="EO55" i="14"/>
  <c r="EO56" i="14"/>
  <c r="GV56" i="14"/>
  <c r="EO32" i="14"/>
  <c r="EO33" i="14"/>
  <c r="EO34" i="14"/>
  <c r="EO36" i="14"/>
  <c r="GV38" i="14"/>
  <c r="GZ38" i="14" s="1"/>
  <c r="FD50" i="14"/>
  <c r="GW50" i="14"/>
  <c r="GX54" i="14"/>
  <c r="GN36" i="14"/>
  <c r="EN32" i="14"/>
  <c r="EN33" i="14"/>
  <c r="EN34" i="14"/>
  <c r="EX49" i="14"/>
  <c r="EI53" i="14"/>
  <c r="EI55" i="14"/>
  <c r="EI56" i="14"/>
  <c r="FJ50" i="14"/>
  <c r="GC50" i="14"/>
  <c r="FI53" i="14"/>
  <c r="FC53" i="14"/>
  <c r="FC54" i="14"/>
  <c r="FC55" i="14"/>
  <c r="EJ31" i="14"/>
  <c r="EJ34" i="14"/>
  <c r="EX36" i="14"/>
  <c r="EX38" i="14"/>
  <c r="FD54" i="14"/>
  <c r="EA36" i="14"/>
  <c r="EE36" i="14" s="1"/>
  <c r="EA38" i="14"/>
  <c r="ED38" i="14" s="1"/>
  <c r="ET33" i="14"/>
  <c r="EY47" i="14"/>
  <c r="GC48" i="14"/>
  <c r="GD53" i="14"/>
  <c r="GW54" i="14"/>
  <c r="EJ50" i="14"/>
  <c r="EI54" i="14"/>
  <c r="ET31" i="14"/>
  <c r="FJ32" i="14"/>
  <c r="GB32" i="14"/>
  <c r="GC33" i="14"/>
  <c r="FC48" i="14"/>
  <c r="EN49" i="14"/>
  <c r="FC49" i="14"/>
  <c r="GD31" i="14"/>
  <c r="FC33" i="14"/>
  <c r="GD33" i="14"/>
  <c r="GD36" i="14"/>
  <c r="EO38" i="14"/>
  <c r="FD53" i="14"/>
  <c r="FD55" i="14"/>
  <c r="EA56" i="14"/>
  <c r="EE56" i="14" s="1"/>
  <c r="FD56" i="14"/>
  <c r="EA32" i="14"/>
  <c r="ED32" i="14" s="1"/>
  <c r="GW32" i="14"/>
  <c r="FD34" i="14"/>
  <c r="GW34" i="14"/>
  <c r="GW36" i="14"/>
  <c r="EI48" i="14"/>
  <c r="EI49" i="14"/>
  <c r="ET50" i="14"/>
  <c r="GX50" i="14"/>
  <c r="ET53" i="14"/>
  <c r="ET54" i="14"/>
  <c r="GV34" i="14"/>
  <c r="GW31" i="14"/>
  <c r="GW55" i="14"/>
  <c r="GY55" i="14" s="1"/>
  <c r="GX55" i="14"/>
  <c r="GZ55" i="14" s="1"/>
  <c r="FD47" i="14"/>
  <c r="ET55" i="14"/>
  <c r="FJ49" i="14"/>
  <c r="EY31" i="14"/>
  <c r="EI31" i="14"/>
  <c r="EY48" i="14"/>
  <c r="FI46" i="14"/>
  <c r="FW36" i="14"/>
  <c r="FX48" i="14"/>
  <c r="FW32" i="14"/>
  <c r="FC50" i="14"/>
  <c r="EN53" i="14"/>
  <c r="GN53" i="14"/>
  <c r="GC31" i="14"/>
  <c r="FD49" i="14"/>
  <c r="GD49" i="14"/>
  <c r="FD31" i="14"/>
  <c r="FD32" i="14"/>
  <c r="FD33" i="14"/>
  <c r="GX33" i="14"/>
  <c r="GZ33" i="14" s="1"/>
  <c r="GX49" i="14"/>
  <c r="EI32" i="14"/>
  <c r="GD50" i="14"/>
  <c r="GW48" i="14"/>
  <c r="EN30" i="14"/>
  <c r="EA53" i="14"/>
  <c r="EE53" i="14" s="1"/>
  <c r="EA33" i="14"/>
  <c r="EE33" i="14" s="1"/>
  <c r="FJ46" i="14"/>
  <c r="GC47" i="14"/>
  <c r="GW56" i="14"/>
  <c r="FX46" i="14"/>
  <c r="FX47" i="14"/>
  <c r="FC32" i="14"/>
  <c r="ET36" i="14"/>
  <c r="EJ47" i="14"/>
  <c r="EX48" i="14"/>
  <c r="FW50" i="14"/>
  <c r="FW53" i="14"/>
  <c r="EX32" i="14"/>
  <c r="FW54" i="14"/>
  <c r="EJ36" i="14"/>
  <c r="FJ31" i="14"/>
  <c r="EO46" i="14"/>
  <c r="EO47" i="14"/>
  <c r="EN50" i="14"/>
  <c r="FW34" i="14"/>
  <c r="FX32" i="14"/>
  <c r="FD48" i="14"/>
  <c r="FX33" i="14"/>
  <c r="FX49" i="14"/>
  <c r="EA31" i="14"/>
  <c r="ED31" i="14" s="1"/>
  <c r="FX50" i="14"/>
  <c r="FW38" i="14"/>
  <c r="FW49" i="14"/>
  <c r="FX34" i="14"/>
  <c r="EX31" i="14"/>
  <c r="GV31" i="14"/>
  <c r="EJ32" i="14"/>
  <c r="GD46" i="14"/>
  <c r="EA47" i="14"/>
  <c r="ED47" i="14" s="1"/>
  <c r="ET47" i="14"/>
  <c r="GX47" i="14"/>
  <c r="EA48" i="14"/>
  <c r="EE48" i="14" s="1"/>
  <c r="GD48" i="14"/>
  <c r="GX48" i="14"/>
  <c r="EA49" i="14"/>
  <c r="EE49" i="14" s="1"/>
  <c r="ET49" i="14"/>
  <c r="ES47" i="14"/>
  <c r="EJ46" i="14"/>
  <c r="EN46" i="14"/>
  <c r="FW46" i="14"/>
  <c r="EJ48" i="14"/>
  <c r="EO31" i="14"/>
  <c r="FX31" i="14"/>
  <c r="GW46" i="14"/>
  <c r="FJ48" i="14"/>
  <c r="FW48" i="14"/>
  <c r="EO48" i="14"/>
  <c r="GB47" i="14"/>
  <c r="GN47" i="14"/>
  <c r="FD30" i="14"/>
  <c r="GB30" i="14"/>
  <c r="GV30" i="14"/>
  <c r="FI31" i="14"/>
  <c r="FX30" i="14"/>
  <c r="EN31" i="14"/>
  <c r="ET46" i="14"/>
  <c r="GM46" i="14"/>
  <c r="FC47" i="14"/>
  <c r="EN48" i="14"/>
  <c r="EO30" i="14"/>
  <c r="FI30" i="14"/>
  <c r="FJ47" i="14"/>
  <c r="ES46" i="14"/>
  <c r="GD30" i="14"/>
  <c r="EA29" i="14"/>
  <c r="EE29" i="14" s="1"/>
  <c r="GD29" i="14"/>
  <c r="GX29" i="14"/>
  <c r="GB44" i="14"/>
  <c r="FC45" i="14"/>
  <c r="EJ30" i="14"/>
  <c r="FX44" i="14"/>
  <c r="EY30" i="14"/>
  <c r="EA30" i="14"/>
  <c r="EE30" i="14" s="1"/>
  <c r="GX30" i="14"/>
  <c r="FC31" i="14"/>
  <c r="FX29" i="14"/>
  <c r="EX30" i="14"/>
  <c r="GB46" i="14"/>
  <c r="EO45" i="14"/>
  <c r="GW29" i="14"/>
  <c r="EI45" i="14"/>
  <c r="FD29" i="14"/>
  <c r="EJ44" i="14"/>
  <c r="FD46" i="14"/>
  <c r="FW29" i="14"/>
  <c r="FC29" i="14"/>
  <c r="FW30" i="14"/>
  <c r="FJ45" i="14"/>
  <c r="EN47" i="14"/>
  <c r="GM30" i="14"/>
  <c r="GC46" i="14"/>
  <c r="ET27" i="14"/>
  <c r="GN27" i="14"/>
  <c r="EX45" i="14"/>
  <c r="EI46" i="14"/>
  <c r="GX46" i="14"/>
  <c r="M51" i="10"/>
  <c r="ET44" i="14"/>
  <c r="GC45" i="14"/>
  <c r="ET29" i="14"/>
  <c r="EN27" i="14"/>
  <c r="EX29" i="14"/>
  <c r="ET30" i="14"/>
  <c r="GC30" i="14"/>
  <c r="FW31" i="14"/>
  <c r="EO29" i="14"/>
  <c r="GC44" i="14"/>
  <c r="GN44" i="14"/>
  <c r="FD45" i="14"/>
  <c r="GV46" i="14"/>
  <c r="GC27" i="14"/>
  <c r="GB29" i="14"/>
  <c r="FC30" i="14"/>
  <c r="FJ30" i="14"/>
  <c r="FC44" i="14"/>
  <c r="FJ44" i="14"/>
  <c r="EJ45" i="14"/>
  <c r="GV27" i="14"/>
  <c r="FI29" i="14"/>
  <c r="EI30" i="14"/>
  <c r="GW30" i="14"/>
  <c r="EI27" i="14"/>
  <c r="GC29" i="14"/>
  <c r="GB27" i="14"/>
  <c r="EI26" i="14"/>
  <c r="FI44" i="14"/>
  <c r="GX45" i="14"/>
  <c r="EA46" i="14"/>
  <c r="EE46" i="14" s="1"/>
  <c r="EX27" i="14"/>
  <c r="GX27" i="14"/>
  <c r="EY29" i="14"/>
  <c r="GN26" i="14"/>
  <c r="FD27" i="14"/>
  <c r="FJ29" i="14"/>
  <c r="GV44" i="14"/>
  <c r="FJ27" i="14"/>
  <c r="EJ29" i="14"/>
  <c r="EI44" i="14"/>
  <c r="EY44" i="14"/>
  <c r="GD44" i="14"/>
  <c r="EA45" i="14"/>
  <c r="ED45" i="14" s="1"/>
  <c r="ET45" i="14"/>
  <c r="GB45" i="14"/>
  <c r="GV45" i="14"/>
  <c r="EN44" i="14"/>
  <c r="GD26" i="14"/>
  <c r="GB26" i="14"/>
  <c r="FC27" i="14"/>
  <c r="GC26" i="14"/>
  <c r="GX26" i="14"/>
  <c r="GW26" i="14"/>
  <c r="GV26" i="14"/>
  <c r="EO27" i="14"/>
  <c r="FX27" i="14"/>
  <c r="EN29" i="14"/>
  <c r="FD44" i="14"/>
  <c r="GW45" i="14"/>
  <c r="GD47" i="14"/>
  <c r="ET26" i="14"/>
  <c r="ES45" i="14"/>
  <c r="GW27" i="14"/>
  <c r="EJ26" i="14"/>
  <c r="EX26" i="14"/>
  <c r="FI26" i="14"/>
  <c r="EJ27" i="14"/>
  <c r="E48" i="10"/>
  <c r="E52" i="10"/>
  <c r="U48" i="10"/>
  <c r="EN26" i="14"/>
  <c r="FW26" i="14"/>
  <c r="FC26" i="14"/>
  <c r="FX26" i="14"/>
  <c r="EY27" i="14"/>
  <c r="GX44" i="14"/>
  <c r="EA26" i="14"/>
  <c r="FD26" i="14"/>
  <c r="FW27" i="14"/>
  <c r="EX44" i="14"/>
  <c r="FW44" i="14"/>
  <c r="EO26" i="14"/>
  <c r="EY26" i="14"/>
  <c r="EO44" i="14"/>
  <c r="GW44" i="14"/>
  <c r="AA50" i="10"/>
  <c r="EN45" i="14"/>
  <c r="EY45" i="14"/>
  <c r="FI45" i="14"/>
  <c r="FX45" i="14"/>
  <c r="GD45" i="14"/>
  <c r="EY46" i="14"/>
  <c r="FJ26" i="14"/>
  <c r="GD27" i="14"/>
  <c r="GN29" i="14"/>
  <c r="EA44" i="14"/>
  <c r="ED44" i="14" s="1"/>
  <c r="Q51" i="10"/>
  <c r="FW45" i="14"/>
  <c r="EX46" i="14"/>
  <c r="I54" i="10"/>
  <c r="ET48" i="14"/>
  <c r="GV49" i="14"/>
  <c r="GX53" i="14"/>
  <c r="GZ53" i="14" s="1"/>
  <c r="GM56" i="14"/>
  <c r="GN46" i="14"/>
  <c r="GM49" i="14"/>
  <c r="EA54" i="14"/>
  <c r="EE54" i="14" s="1"/>
  <c r="GV54" i="14"/>
  <c r="GN56" i="14"/>
  <c r="R48" i="10"/>
  <c r="GM44" i="14"/>
  <c r="GV47" i="14"/>
  <c r="ES49" i="14"/>
  <c r="GN49" i="14"/>
  <c r="GM54" i="14"/>
  <c r="FC46" i="14"/>
  <c r="FW47" i="14"/>
  <c r="GM47" i="14"/>
  <c r="FI48" i="14"/>
  <c r="GB48" i="14"/>
  <c r="EA50" i="14"/>
  <c r="EE50" i="14" s="1"/>
  <c r="EI50" i="14"/>
  <c r="GV50" i="14"/>
  <c r="EA55" i="14"/>
  <c r="EE55" i="14" s="1"/>
  <c r="L54" i="10"/>
  <c r="GM45" i="14"/>
  <c r="GN45" i="14"/>
  <c r="GM48" i="14"/>
  <c r="GN48" i="14"/>
  <c r="GM53" i="14"/>
  <c r="EI29" i="14"/>
  <c r="FI27" i="14"/>
  <c r="EA27" i="14"/>
  <c r="ED27" i="14" s="1"/>
  <c r="GN30" i="14"/>
  <c r="GM32" i="14"/>
  <c r="EA34" i="14"/>
  <c r="EE34" i="14" s="1"/>
  <c r="GM27" i="14"/>
  <c r="ES32" i="14"/>
  <c r="GN32" i="14"/>
  <c r="GM34" i="14"/>
  <c r="GN34" i="14"/>
  <c r="GM38" i="14"/>
  <c r="GV29" i="14"/>
  <c r="GM33" i="14"/>
  <c r="GV36" i="14"/>
  <c r="ES38" i="14"/>
  <c r="GN38" i="14"/>
  <c r="GM29" i="14"/>
  <c r="GN33" i="14"/>
  <c r="GM36" i="14"/>
  <c r="GM26" i="14"/>
  <c r="E53" i="10"/>
  <c r="V48" i="10"/>
  <c r="U51" i="10"/>
  <c r="AA53" i="10"/>
  <c r="I48" i="10"/>
  <c r="L51" i="10"/>
  <c r="E54" i="10"/>
  <c r="V51" i="10"/>
  <c r="AA54" i="10"/>
  <c r="H51" i="10"/>
  <c r="Q54" i="10"/>
  <c r="V54" i="10"/>
  <c r="AA49" i="10"/>
  <c r="I51" i="10"/>
  <c r="R54" i="10"/>
  <c r="Q48" i="10"/>
  <c r="AA48" i="10"/>
  <c r="D48" i="10"/>
  <c r="H54" i="10"/>
  <c r="R51" i="10"/>
  <c r="AA52" i="10"/>
  <c r="EA21" i="14"/>
  <c r="EE21" i="14" s="1"/>
  <c r="GW22" i="14"/>
  <c r="BO2" i="14"/>
  <c r="EA20" i="14"/>
  <c r="ED20" i="14" s="1"/>
  <c r="GD16" i="14"/>
  <c r="EO18" i="14"/>
  <c r="FX18" i="14"/>
  <c r="EY19" i="14"/>
  <c r="EN16" i="14"/>
  <c r="EX17" i="14"/>
  <c r="ET18" i="14"/>
  <c r="EA23" i="14"/>
  <c r="ED23" i="14" s="1"/>
  <c r="BG3" i="14"/>
  <c r="FW16" i="14"/>
  <c r="EN20" i="14"/>
  <c r="EN22" i="14"/>
  <c r="FW22" i="14"/>
  <c r="EX23" i="14"/>
  <c r="GD15" i="14"/>
  <c r="ET16" i="14"/>
  <c r="EN18" i="14"/>
  <c r="FW18" i="14"/>
  <c r="EX19" i="14"/>
  <c r="ET20" i="14"/>
  <c r="EO22" i="14"/>
  <c r="FX22" i="14"/>
  <c r="EY23" i="14"/>
  <c r="AO4" i="14"/>
  <c r="AU4" i="14" s="1"/>
  <c r="CM4" i="14"/>
  <c r="GX13" i="14"/>
  <c r="EA14" i="14"/>
  <c r="ED14" i="14" s="1"/>
  <c r="GB14" i="14"/>
  <c r="GM14" i="14"/>
  <c r="EO15" i="14"/>
  <c r="FC15" i="14"/>
  <c r="FX15" i="14"/>
  <c r="EY16" i="14"/>
  <c r="FI16" i="14"/>
  <c r="EI17" i="14"/>
  <c r="GB18" i="14"/>
  <c r="FC19" i="14"/>
  <c r="EY20" i="14"/>
  <c r="FI20" i="14"/>
  <c r="GW14" i="14"/>
  <c r="FD15" i="14"/>
  <c r="FJ16" i="14"/>
  <c r="EJ17" i="14"/>
  <c r="GC18" i="14"/>
  <c r="FD19" i="14"/>
  <c r="CQ4" i="14"/>
  <c r="GD22" i="14"/>
  <c r="CR4" i="14"/>
  <c r="CM2" i="14"/>
  <c r="BH3" i="14"/>
  <c r="CD3" i="14"/>
  <c r="CR3" i="14"/>
  <c r="V2" i="14"/>
  <c r="Y3" i="14"/>
  <c r="AE3" i="14" s="1"/>
  <c r="GV14" i="14"/>
  <c r="EA17" i="14"/>
  <c r="ED17" i="14" s="1"/>
  <c r="GD19" i="14"/>
  <c r="GD20" i="14"/>
  <c r="EI21" i="14"/>
  <c r="GB22" i="14"/>
  <c r="GM22" i="14"/>
  <c r="EO23" i="14"/>
  <c r="FC23" i="14"/>
  <c r="FX23" i="14"/>
  <c r="FJ20" i="14"/>
  <c r="FW20" i="14"/>
  <c r="EJ21" i="14"/>
  <c r="EX21" i="14"/>
  <c r="ET22" i="14"/>
  <c r="GC22" i="14"/>
  <c r="GN22" i="14"/>
  <c r="FD23" i="14"/>
  <c r="GD23" i="14"/>
  <c r="DS2" i="14"/>
  <c r="V3" i="14"/>
  <c r="Y4" i="14"/>
  <c r="AC4" i="14" s="1"/>
  <c r="BT4" i="14"/>
  <c r="GN18" i="14"/>
  <c r="GX18" i="14"/>
  <c r="BZ2" i="14"/>
  <c r="DZ2" i="14"/>
  <c r="EI14" i="14"/>
  <c r="GB15" i="14"/>
  <c r="EO16" i="14"/>
  <c r="FC16" i="14"/>
  <c r="FX16" i="14"/>
  <c r="EY17" i="14"/>
  <c r="FI17" i="14"/>
  <c r="GD17" i="14"/>
  <c r="EI18" i="14"/>
  <c r="GB19" i="14"/>
  <c r="GM19" i="14"/>
  <c r="EO20" i="14"/>
  <c r="FC20" i="14"/>
  <c r="FX20" i="14"/>
  <c r="EY21" i="14"/>
  <c r="FI21" i="14"/>
  <c r="EI22" i="14"/>
  <c r="GB23" i="14"/>
  <c r="GM23" i="14"/>
  <c r="GM15" i="14"/>
  <c r="EJ14" i="14"/>
  <c r="EX14" i="14"/>
  <c r="ET15" i="14"/>
  <c r="GC15" i="14"/>
  <c r="GN15" i="14"/>
  <c r="FD16" i="14"/>
  <c r="GV16" i="14"/>
  <c r="EN17" i="14"/>
  <c r="FJ17" i="14"/>
  <c r="FW17" i="14"/>
  <c r="EJ18" i="14"/>
  <c r="EX18" i="14"/>
  <c r="ET19" i="14"/>
  <c r="GC19" i="14"/>
  <c r="FD20" i="14"/>
  <c r="GV20" i="14"/>
  <c r="EN21" i="14"/>
  <c r="FJ21" i="14"/>
  <c r="FW21" i="14"/>
  <c r="GV21" i="14"/>
  <c r="EJ22" i="14"/>
  <c r="ET23" i="14"/>
  <c r="GC23" i="14"/>
  <c r="GN23" i="14"/>
  <c r="GW19" i="14"/>
  <c r="BT2" i="14"/>
  <c r="CX2" i="14"/>
  <c r="BH4" i="14"/>
  <c r="EO14" i="14"/>
  <c r="FC14" i="14"/>
  <c r="FX14" i="14"/>
  <c r="EY15" i="14"/>
  <c r="FI15" i="14"/>
  <c r="EI16" i="14"/>
  <c r="GB17" i="14"/>
  <c r="GM17" i="14"/>
  <c r="FC18" i="14"/>
  <c r="FI19" i="14"/>
  <c r="EI20" i="14"/>
  <c r="GB21" i="14"/>
  <c r="GM21" i="14"/>
  <c r="FC22" i="14"/>
  <c r="FD14" i="14"/>
  <c r="EN15" i="14"/>
  <c r="FJ15" i="14"/>
  <c r="FW15" i="14"/>
  <c r="EJ16" i="14"/>
  <c r="EX16" i="14"/>
  <c r="ET17" i="14"/>
  <c r="GC17" i="14"/>
  <c r="GN17" i="14"/>
  <c r="FD18" i="14"/>
  <c r="FJ19" i="14"/>
  <c r="EJ20" i="14"/>
  <c r="EX20" i="14"/>
  <c r="ET21" i="14"/>
  <c r="GC21" i="14"/>
  <c r="GN21" i="14"/>
  <c r="FD22" i="14"/>
  <c r="EN23" i="14"/>
  <c r="FJ23" i="14"/>
  <c r="FW23" i="14"/>
  <c r="CL3" i="14"/>
  <c r="ET13" i="14"/>
  <c r="GC13" i="14"/>
  <c r="GN13" i="14"/>
  <c r="GV15" i="14"/>
  <c r="EA18" i="14"/>
  <c r="EE18" i="14" s="1"/>
  <c r="EN19" i="14"/>
  <c r="FW19" i="14"/>
  <c r="GV19" i="14"/>
  <c r="GV22" i="14"/>
  <c r="EI13" i="14"/>
  <c r="GD13" i="14"/>
  <c r="GW18" i="14"/>
  <c r="GM18" i="14"/>
  <c r="EO19" i="14"/>
  <c r="FX19" i="14"/>
  <c r="EJ13" i="14"/>
  <c r="EX13" i="14"/>
  <c r="ET14" i="14"/>
  <c r="GC14" i="14"/>
  <c r="GN14" i="14"/>
  <c r="EY13" i="14"/>
  <c r="FI13" i="14"/>
  <c r="GD14" i="14"/>
  <c r="EA15" i="14"/>
  <c r="EE15" i="14" s="1"/>
  <c r="GD18" i="14"/>
  <c r="EN13" i="14"/>
  <c r="FJ13" i="14"/>
  <c r="FW13" i="14"/>
  <c r="GX16" i="14"/>
  <c r="GX19" i="14"/>
  <c r="GN19" i="14"/>
  <c r="EX22" i="14"/>
  <c r="EA16" i="14"/>
  <c r="EE16" i="14" s="1"/>
  <c r="EO13" i="14"/>
  <c r="FC13" i="14"/>
  <c r="FX13" i="14"/>
  <c r="EY14" i="14"/>
  <c r="FI14" i="14"/>
  <c r="EI15" i="14"/>
  <c r="GB16" i="14"/>
  <c r="GM16" i="14"/>
  <c r="EO17" i="14"/>
  <c r="FC17" i="14"/>
  <c r="FX17" i="14"/>
  <c r="EY18" i="14"/>
  <c r="FI18" i="14"/>
  <c r="EI19" i="14"/>
  <c r="GB20" i="14"/>
  <c r="GM20" i="14"/>
  <c r="EO21" i="14"/>
  <c r="FC21" i="14"/>
  <c r="FX21" i="14"/>
  <c r="EY22" i="14"/>
  <c r="FI22" i="14"/>
  <c r="EI23" i="14"/>
  <c r="EA13" i="14"/>
  <c r="FD13" i="14"/>
  <c r="GV13" i="14"/>
  <c r="EN14" i="14"/>
  <c r="FJ14" i="14"/>
  <c r="FW14" i="14"/>
  <c r="EJ15" i="14"/>
  <c r="EX15" i="14"/>
  <c r="GC16" i="14"/>
  <c r="GN16" i="14"/>
  <c r="FD17" i="14"/>
  <c r="GV17" i="14"/>
  <c r="FJ18" i="14"/>
  <c r="EJ19" i="14"/>
  <c r="GC20" i="14"/>
  <c r="GN20" i="14"/>
  <c r="FD21" i="14"/>
  <c r="FJ22" i="14"/>
  <c r="EJ23" i="14"/>
  <c r="GW13" i="14"/>
  <c r="ES13" i="14"/>
  <c r="GB13" i="14"/>
  <c r="GM13" i="14"/>
  <c r="FI23" i="14"/>
  <c r="EA19" i="14"/>
  <c r="ED19" i="14" s="1"/>
  <c r="GW15" i="14"/>
  <c r="GX14" i="14"/>
  <c r="GX21" i="14"/>
  <c r="GX22" i="14"/>
  <c r="GW16" i="14"/>
  <c r="GV18" i="14"/>
  <c r="GW20" i="14"/>
  <c r="GX20" i="14"/>
  <c r="GX15" i="14"/>
  <c r="GX17" i="14"/>
  <c r="GW17" i="14"/>
  <c r="GW21" i="14"/>
  <c r="GV23" i="14"/>
  <c r="GW23" i="14"/>
  <c r="GD21" i="14"/>
  <c r="EA22" i="14"/>
  <c r="ED22" i="14" s="1"/>
  <c r="GX23" i="14"/>
  <c r="Y2" i="14"/>
  <c r="AD2" i="14" s="1"/>
  <c r="BZ3" i="14"/>
  <c r="DU3" i="14"/>
  <c r="W4" i="14"/>
  <c r="T15" i="10" s="1"/>
  <c r="L2" i="14" a="1"/>
  <c r="L2" i="14" s="1"/>
  <c r="BH2" i="14"/>
  <c r="CR2" i="14"/>
  <c r="AO3" i="14"/>
  <c r="AU3" i="14" s="1"/>
  <c r="CM3" i="14"/>
  <c r="CX4" i="14"/>
  <c r="T42" i="10" s="1"/>
  <c r="O2" i="14"/>
  <c r="S2" i="14" s="1"/>
  <c r="CS2" i="14"/>
  <c r="L4" i="14" a="1"/>
  <c r="L4" i="14" s="1"/>
  <c r="CX3" i="14"/>
  <c r="BU4" i="14"/>
  <c r="CS4" i="14"/>
  <c r="K42" i="10" s="1"/>
  <c r="CL2" i="14"/>
  <c r="BT3" i="14"/>
  <c r="BY4" i="14"/>
  <c r="CD2" i="14"/>
  <c r="BZ4" i="14"/>
  <c r="BU3" i="14"/>
  <c r="CD4" i="14"/>
  <c r="W2" i="14"/>
  <c r="AO2" i="14"/>
  <c r="AT2" i="14" s="1"/>
  <c r="BY2" i="14"/>
  <c r="DU2" i="14"/>
  <c r="O3" i="14"/>
  <c r="R3" i="14" s="1"/>
  <c r="CE4" i="14"/>
  <c r="BO3" i="14"/>
  <c r="CS3" i="14"/>
  <c r="BO4" i="14"/>
  <c r="DU4" i="14"/>
  <c r="T18" i="10" s="1"/>
  <c r="BG2" i="14"/>
  <c r="BP2" i="14"/>
  <c r="CE2" i="14"/>
  <c r="W3" i="14"/>
  <c r="DS4" i="14"/>
  <c r="I18" i="10" s="1"/>
  <c r="BP3" i="14"/>
  <c r="CE3" i="14"/>
  <c r="DS3" i="14"/>
  <c r="DZ3" i="14"/>
  <c r="BP4" i="14"/>
  <c r="BG4" i="14"/>
  <c r="CL4" i="14"/>
  <c r="DZ4" i="14"/>
  <c r="BU2" i="14"/>
  <c r="CQ2" i="14"/>
  <c r="L3" i="14" a="1"/>
  <c r="L3" i="14" s="1"/>
  <c r="CQ3" i="14"/>
  <c r="BY3" i="14"/>
  <c r="V4" i="14"/>
  <c r="I15" i="10" s="1"/>
  <c r="O4" i="14"/>
  <c r="S4" i="14" s="1"/>
  <c r="E39" i="10"/>
  <c r="E38" i="10"/>
  <c r="GX2" i="14" l="1"/>
  <c r="GW2" i="14"/>
  <c r="GD2" i="14"/>
  <c r="GV2" i="14"/>
  <c r="ED2" i="14"/>
  <c r="GZ48" i="14"/>
  <c r="GY23" i="14"/>
  <c r="GY17" i="14"/>
  <c r="GZ23" i="14"/>
  <c r="GY21" i="14"/>
  <c r="GY14" i="14"/>
  <c r="GZ27" i="14"/>
  <c r="GZ13" i="14"/>
  <c r="GY44" i="14"/>
  <c r="GZ32" i="14"/>
  <c r="GY32" i="14"/>
  <c r="GZ56" i="14"/>
  <c r="GZ21" i="14"/>
  <c r="GY30" i="14"/>
  <c r="GZ17" i="14"/>
  <c r="GZ14" i="14"/>
  <c r="GV4" i="14"/>
  <c r="GX4" i="14"/>
  <c r="GZ30" i="14"/>
  <c r="GY15" i="14"/>
  <c r="GZ15" i="14"/>
  <c r="GY27" i="14"/>
  <c r="GY46" i="14"/>
  <c r="GZ26" i="14"/>
  <c r="GW4" i="14"/>
  <c r="GY19" i="14"/>
  <c r="GY22" i="14"/>
  <c r="GZ44" i="14"/>
  <c r="GY49" i="14"/>
  <c r="GZ31" i="14"/>
  <c r="GY31" i="14"/>
  <c r="GY36" i="14"/>
  <c r="GZ45" i="14"/>
  <c r="GY34" i="14"/>
  <c r="GY48" i="14"/>
  <c r="GZ20" i="14"/>
  <c r="GY16" i="14"/>
  <c r="GZ16" i="14"/>
  <c r="GD4" i="14"/>
  <c r="GZ46" i="14"/>
  <c r="GZ29" i="14"/>
  <c r="GY56" i="14"/>
  <c r="GZ50" i="14"/>
  <c r="GZ54" i="14"/>
  <c r="GY38" i="14"/>
  <c r="GZ34" i="14"/>
  <c r="GY20" i="14"/>
  <c r="GZ22" i="14"/>
  <c r="GY18" i="14"/>
  <c r="GZ49" i="14"/>
  <c r="GY54" i="14"/>
  <c r="GY50" i="14"/>
  <c r="GY47" i="14"/>
  <c r="GZ19" i="14"/>
  <c r="EE26" i="14"/>
  <c r="EE3" i="14"/>
  <c r="GY13" i="14"/>
  <c r="GZ18" i="14"/>
  <c r="GY45" i="14"/>
  <c r="GY26" i="14"/>
  <c r="GY29" i="14"/>
  <c r="GZ47" i="14"/>
  <c r="GZ36" i="14"/>
  <c r="EE38" i="14"/>
  <c r="S54" i="10"/>
  <c r="ED56" i="14"/>
  <c r="ED36" i="14"/>
  <c r="DW2" i="14"/>
  <c r="ED21" i="14"/>
  <c r="S51" i="10"/>
  <c r="EE32" i="14"/>
  <c r="J54" i="10"/>
  <c r="N51" i="10"/>
  <c r="J48" i="10"/>
  <c r="EE47" i="14"/>
  <c r="ED33" i="14"/>
  <c r="ED53" i="14"/>
  <c r="ED49" i="14"/>
  <c r="ED48" i="14"/>
  <c r="ED30" i="14"/>
  <c r="EE31" i="14"/>
  <c r="ED29" i="14"/>
  <c r="ED46" i="14"/>
  <c r="AE4" i="14"/>
  <c r="AD4" i="14"/>
  <c r="EE45" i="14"/>
  <c r="AS4" i="14"/>
  <c r="AT4" i="14"/>
  <c r="HI4" i="14"/>
  <c r="EE44" i="14"/>
  <c r="ED26" i="14"/>
  <c r="ED55" i="14"/>
  <c r="ED50" i="14"/>
  <c r="ED54" i="14"/>
  <c r="EE27" i="14"/>
  <c r="ED34" i="14"/>
  <c r="EO2" i="14"/>
  <c r="EN2" i="14"/>
  <c r="HS3" i="14"/>
  <c r="FX2" i="14"/>
  <c r="HY2" i="14"/>
  <c r="HJ4" i="14"/>
  <c r="EE17" i="14"/>
  <c r="HT3" i="14"/>
  <c r="FW2" i="14"/>
  <c r="FI2" i="14"/>
  <c r="HE2" i="14"/>
  <c r="AC3" i="14"/>
  <c r="AD3" i="14"/>
  <c r="EE23" i="14"/>
  <c r="EE14" i="14"/>
  <c r="HD2" i="14"/>
  <c r="EE20" i="14"/>
  <c r="AE2" i="14"/>
  <c r="EE13" i="14"/>
  <c r="EI4" i="14"/>
  <c r="GN2" i="14"/>
  <c r="HN4" i="14"/>
  <c r="HX2" i="14"/>
  <c r="EX4" i="14"/>
  <c r="EY4" i="14"/>
  <c r="GC2" i="14"/>
  <c r="EN4" i="14"/>
  <c r="EJ4" i="14"/>
  <c r="ET4" i="14"/>
  <c r="AT3" i="14"/>
  <c r="FC4" i="14"/>
  <c r="R2" i="14"/>
  <c r="GN3" i="14"/>
  <c r="HS2" i="14"/>
  <c r="FD2" i="14"/>
  <c r="GM4" i="14"/>
  <c r="HS4" i="14"/>
  <c r="HX3" i="14"/>
  <c r="ED18" i="14"/>
  <c r="HI2" i="14"/>
  <c r="EI3" i="14"/>
  <c r="GB3" i="14"/>
  <c r="FD4" i="14"/>
  <c r="GC3" i="14"/>
  <c r="ED13" i="14"/>
  <c r="EI2" i="14"/>
  <c r="EY2" i="14"/>
  <c r="EX2" i="14"/>
  <c r="GM2" i="14"/>
  <c r="EN3" i="14"/>
  <c r="FI3" i="14"/>
  <c r="HY3" i="14"/>
  <c r="HE4" i="14"/>
  <c r="FJ3" i="14"/>
  <c r="ES4" i="14"/>
  <c r="FC2" i="14"/>
  <c r="EO3" i="14"/>
  <c r="ED15" i="14"/>
  <c r="FJ2" i="14"/>
  <c r="EJ2" i="14"/>
  <c r="GC4" i="14"/>
  <c r="HT4" i="14"/>
  <c r="ES3" i="14"/>
  <c r="AC2" i="14"/>
  <c r="HD4" i="14"/>
  <c r="ET3" i="14"/>
  <c r="FX3" i="14"/>
  <c r="HJ2" i="14"/>
  <c r="HY4" i="14"/>
  <c r="GM3" i="14"/>
  <c r="HX4" i="14"/>
  <c r="GB2" i="14"/>
  <c r="GB4" i="14"/>
  <c r="FW4" i="14"/>
  <c r="FX4" i="14"/>
  <c r="GN4" i="14"/>
  <c r="FC3" i="14"/>
  <c r="FW3" i="14"/>
  <c r="FI4" i="14"/>
  <c r="HD3" i="14"/>
  <c r="EX3" i="14"/>
  <c r="EO4" i="14"/>
  <c r="EE22" i="14"/>
  <c r="EJ3" i="14"/>
  <c r="ED16" i="14"/>
  <c r="DW3" i="14"/>
  <c r="HO4" i="14"/>
  <c r="FJ4" i="14"/>
  <c r="HT2" i="14"/>
  <c r="HE3" i="14"/>
  <c r="HO2" i="14"/>
  <c r="HN2" i="14"/>
  <c r="ET2" i="14"/>
  <c r="HJ3" i="14"/>
  <c r="HO3" i="14"/>
  <c r="FD3" i="14"/>
  <c r="HN3" i="14"/>
  <c r="EY3" i="14"/>
  <c r="ES2" i="14"/>
  <c r="HI3" i="14"/>
  <c r="EE19" i="14"/>
  <c r="AS3" i="14"/>
  <c r="DW4" i="14"/>
  <c r="AS2" i="14"/>
  <c r="AU2" i="14"/>
  <c r="S3" i="14"/>
  <c r="R4" i="14"/>
  <c r="P11" i="13"/>
  <c r="P12" i="13"/>
  <c r="P13" i="13"/>
  <c r="P14" i="13"/>
  <c r="J10" i="13"/>
  <c r="J11" i="13"/>
  <c r="J12" i="13"/>
  <c r="J13" i="13"/>
  <c r="J14" i="13"/>
  <c r="J15" i="13"/>
  <c r="J16" i="13"/>
  <c r="J17" i="13"/>
  <c r="J18" i="13"/>
  <c r="P10" i="13"/>
  <c r="AA43" i="10"/>
  <c r="L26" i="10"/>
  <c r="R26" i="10"/>
  <c r="AC25" i="10" l="1"/>
  <c r="AC26" i="10"/>
  <c r="AC27" i="10"/>
  <c r="EE4" i="14"/>
  <c r="L48" i="10"/>
  <c r="GY4" i="14"/>
  <c r="GY2" i="14"/>
  <c r="ED4" i="14"/>
  <c r="EE2" i="14"/>
  <c r="GY3" i="14"/>
  <c r="GZ4" i="14"/>
  <c r="GZ3" i="14"/>
  <c r="ED3" i="14"/>
  <c r="GZ2" i="14"/>
  <c r="J51" i="10"/>
  <c r="F54" i="10"/>
  <c r="F52" i="10"/>
  <c r="W48" i="10"/>
  <c r="W51" i="10"/>
  <c r="F48" i="10"/>
  <c r="W54" i="10"/>
  <c r="F53" i="10"/>
  <c r="N48" i="10" l="1"/>
  <c r="S48" i="10"/>
  <c r="J44" i="10" l="1"/>
  <c r="J45" i="10"/>
  <c r="J43" i="10"/>
  <c r="U44" i="10" l="1"/>
  <c r="U45" i="10"/>
  <c r="U43" i="1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
    <bk>
      <extLst>
        <ext uri="{3e2802c4-a4d2-4d8b-9148-e3be6c30e623}">
          <xlrd:rvb i="0"/>
        </ext>
      </extLst>
    </bk>
    <bk>
      <extLst>
        <ext uri="{3e2802c4-a4d2-4d8b-9148-e3be6c30e623}">
          <xlrd:rvb i="1"/>
        </ext>
      </extLst>
    </bk>
  </futureMetadata>
  <futureMetadata name="XLDAPR" count="1">
    <bk>
      <extLst>
        <ext uri="{bdbb8cdc-fa1e-496e-a857-3c3f30c029c3}">
          <xda:dynamicArrayProperties fDynamic="1" fCollapsed="0"/>
        </ext>
      </extLst>
    </bk>
  </futureMetadata>
  <cellMetadata count="1">
    <bk>
      <rc t="2" v="0"/>
    </bk>
  </cellMetadata>
  <valueMetadata count="2">
    <bk>
      <rc t="1" v="0"/>
    </bk>
    <bk>
      <rc t="1" v="1"/>
    </bk>
  </valueMetadata>
</metadata>
</file>

<file path=xl/sharedStrings.xml><?xml version="1.0" encoding="utf-8"?>
<sst xmlns="http://schemas.openxmlformats.org/spreadsheetml/2006/main" count="7387" uniqueCount="796">
  <si>
    <t>Timeline</t>
  </si>
  <si>
    <t>Start time</t>
  </si>
  <si>
    <t>Duration</t>
  </si>
  <si>
    <t>Row</t>
  </si>
  <si>
    <t>Instance number</t>
  </si>
  <si>
    <t>1v1 Attack</t>
  </si>
  <si>
    <t>P'Boro Set Plays</t>
  </si>
  <si>
    <t>Ungrouped</t>
  </si>
  <si>
    <t>Notes</t>
  </si>
  <si>
    <t>Out of Possession</t>
  </si>
  <si>
    <t>Out of Play</t>
  </si>
  <si>
    <t>Opp Set Plays</t>
  </si>
  <si>
    <t>Opp Throw In</t>
  </si>
  <si>
    <t>Opp Free Kick</t>
  </si>
  <si>
    <t>Final 1/3</t>
  </si>
  <si>
    <t>Opp Corner</t>
  </si>
  <si>
    <t>Opp Goal Kick</t>
  </si>
  <si>
    <t>Opp Kick Off</t>
  </si>
  <si>
    <t>In Possession</t>
  </si>
  <si>
    <t>Ball in Play</t>
  </si>
  <si>
    <t>+</t>
  </si>
  <si>
    <t>P'Boro Throw In</t>
  </si>
  <si>
    <t>P'Boro Corner</t>
  </si>
  <si>
    <t>-</t>
  </si>
  <si>
    <t>P'Boro Free Kick</t>
  </si>
  <si>
    <t>P'Boro Goal Kick</t>
  </si>
  <si>
    <t>P'Boro Kick Off</t>
  </si>
  <si>
    <t>Transition to Attack</t>
  </si>
  <si>
    <t>Own 1/3</t>
  </si>
  <si>
    <t>Reach Opp Half</t>
  </si>
  <si>
    <t>Turnover</t>
  </si>
  <si>
    <t>Direct Play</t>
  </si>
  <si>
    <t>Create the Attack</t>
  </si>
  <si>
    <t>P'Boro 1/3 Entry</t>
  </si>
  <si>
    <t>P'Boro Cross</t>
  </si>
  <si>
    <t>Finish the Attack</t>
  </si>
  <si>
    <t>P'Boro Chance</t>
  </si>
  <si>
    <t>Blocked</t>
  </si>
  <si>
    <t>On Target</t>
  </si>
  <si>
    <t>Off Target</t>
  </si>
  <si>
    <t>Transition to Defense</t>
  </si>
  <si>
    <t>Opp 1/3 Entry</t>
  </si>
  <si>
    <t>Mid Block</t>
  </si>
  <si>
    <t>Regain Opp Half</t>
  </si>
  <si>
    <t>Low Block</t>
  </si>
  <si>
    <t>Opp Chance</t>
  </si>
  <si>
    <t>Opp Cross</t>
  </si>
  <si>
    <t>Clearance</t>
  </si>
  <si>
    <t>Aerial duel</t>
  </si>
  <si>
    <t>Interception</t>
  </si>
  <si>
    <t>Recovery</t>
  </si>
  <si>
    <t>On target</t>
  </si>
  <si>
    <t>Goal</t>
  </si>
  <si>
    <t>Cross</t>
  </si>
  <si>
    <t>Assist</t>
  </si>
  <si>
    <t>Blocked Shots</t>
  </si>
  <si>
    <t>Goal Scored</t>
  </si>
  <si>
    <t>Goal Conceded</t>
  </si>
  <si>
    <t>Ball in play %</t>
  </si>
  <si>
    <t>Out of play %</t>
  </si>
  <si>
    <t>Time spent In Possession</t>
  </si>
  <si>
    <t>Time spen Out of Possession</t>
  </si>
  <si>
    <t>In Possession %</t>
  </si>
  <si>
    <t>Out of Possession %</t>
  </si>
  <si>
    <t>Number of chances</t>
  </si>
  <si>
    <t>Number of Shots on target</t>
  </si>
  <si>
    <t>Number of Shots off target</t>
  </si>
  <si>
    <t>Number of Shots Blocked</t>
  </si>
  <si>
    <t>On target %</t>
  </si>
  <si>
    <t>Off target %</t>
  </si>
  <si>
    <t>Blocked %</t>
  </si>
  <si>
    <t>Number of Opp chances</t>
  </si>
  <si>
    <t>Number of Opp Shots on target</t>
  </si>
  <si>
    <t>Number of Opp Shots off target</t>
  </si>
  <si>
    <t>Number of Opp Shots Blocked</t>
  </si>
  <si>
    <t>Opp on target %</t>
  </si>
  <si>
    <t>Opp off target %</t>
  </si>
  <si>
    <t>Opp Blocked %</t>
  </si>
  <si>
    <t>Number of Build the Attack</t>
  </si>
  <si>
    <t>Build up +</t>
  </si>
  <si>
    <t>Build up -</t>
  </si>
  <si>
    <t>Number of Turnovers</t>
  </si>
  <si>
    <t>Number of Direct play</t>
  </si>
  <si>
    <t>Number of Reach Opp Half</t>
  </si>
  <si>
    <t>Number of Create</t>
  </si>
  <si>
    <t>Create +</t>
  </si>
  <si>
    <t>Create -</t>
  </si>
  <si>
    <t xml:space="preserve">Number of Cross </t>
  </si>
  <si>
    <t>Cross +</t>
  </si>
  <si>
    <t>Cross -</t>
  </si>
  <si>
    <t>Succ Cross %</t>
  </si>
  <si>
    <t>Number of  High pressing</t>
  </si>
  <si>
    <t>High Pressing -</t>
  </si>
  <si>
    <t>High Pressing +</t>
  </si>
  <si>
    <t>Number of Regain Opp Half</t>
  </si>
  <si>
    <t>Number of Force error</t>
  </si>
  <si>
    <t>Number of Mid Block</t>
  </si>
  <si>
    <t>Mid Block +</t>
  </si>
  <si>
    <t>Mid Block -</t>
  </si>
  <si>
    <t>Number of Low Block</t>
  </si>
  <si>
    <t>Low Block +</t>
  </si>
  <si>
    <t>Low Block -</t>
  </si>
  <si>
    <t>Number of Transition to Attack</t>
  </si>
  <si>
    <t>Number of Transition to Counterattack</t>
  </si>
  <si>
    <t>Transition to Att in Final 1/3</t>
  </si>
  <si>
    <t>Transition to Att in Middle Area</t>
  </si>
  <si>
    <t>Transition to Att in Own 1/3</t>
  </si>
  <si>
    <t xml:space="preserve">Number of Transition to Defense </t>
  </si>
  <si>
    <t>Number of Opp Transition to Counterattack</t>
  </si>
  <si>
    <t>Transition to Def in Final 1/3</t>
  </si>
  <si>
    <t>Transition to Def in Middle Area</t>
  </si>
  <si>
    <t>Transition to Def in Own 1/3</t>
  </si>
  <si>
    <t>P'Boro Throw in</t>
  </si>
  <si>
    <t>P'Boro Throw in to Final 1/3</t>
  </si>
  <si>
    <t>Opp Throw in</t>
  </si>
  <si>
    <t>Opp Throw in to Final 1/3</t>
  </si>
  <si>
    <t>P'Boro Final 1/3 Entry</t>
  </si>
  <si>
    <t>P'Boro In Play Final 1/3 Entry</t>
  </si>
  <si>
    <t>Opp Final 1/3 Entry</t>
  </si>
  <si>
    <t>Shots</t>
  </si>
  <si>
    <t>Grand Total</t>
  </si>
  <si>
    <t>Build the Attack</t>
  </si>
  <si>
    <t>Opponent</t>
  </si>
  <si>
    <t>Minutes</t>
  </si>
  <si>
    <t>Number of Opp Cross</t>
  </si>
  <si>
    <t>P'Boro Free Kick in Final 1/3</t>
  </si>
  <si>
    <t>Opp Free Kick in Final 1/3</t>
  </si>
  <si>
    <t>Opp Goal kick</t>
  </si>
  <si>
    <t>Opponent Chances</t>
  </si>
  <si>
    <t>Build up</t>
  </si>
  <si>
    <t>Successful</t>
  </si>
  <si>
    <t>Unsuccessful</t>
  </si>
  <si>
    <t>Turnovers</t>
  </si>
  <si>
    <t>Force error</t>
  </si>
  <si>
    <t>Total</t>
  </si>
  <si>
    <t>P'Boro Touches in Box</t>
  </si>
  <si>
    <t>Opp Touches in Box</t>
  </si>
  <si>
    <t>P'Boro Touches in the Box</t>
  </si>
  <si>
    <t>Opponent Touches in the Box</t>
  </si>
  <si>
    <t>2nd Ball</t>
  </si>
  <si>
    <t>Player</t>
  </si>
  <si>
    <t>Sum of Blocked</t>
  </si>
  <si>
    <t>Sum of Clearance</t>
  </si>
  <si>
    <t>Sum of Interception</t>
  </si>
  <si>
    <t>%</t>
  </si>
  <si>
    <t>Defensive Position</t>
  </si>
  <si>
    <t>Sum of Recovery</t>
  </si>
  <si>
    <t>Sum of Goal</t>
  </si>
  <si>
    <t>Sum of Assist</t>
  </si>
  <si>
    <t>(All)</t>
  </si>
  <si>
    <t>Total Shots</t>
  </si>
  <si>
    <t>Position</t>
  </si>
  <si>
    <t>GK</t>
  </si>
  <si>
    <t>CB</t>
  </si>
  <si>
    <t>Competition</t>
  </si>
  <si>
    <t>Opposition</t>
  </si>
  <si>
    <t>Formation</t>
  </si>
  <si>
    <t>Venue</t>
  </si>
  <si>
    <t>Result</t>
  </si>
  <si>
    <t>Build up + %</t>
  </si>
  <si>
    <t>Build up - %</t>
  </si>
  <si>
    <t>Create + %</t>
  </si>
  <si>
    <t>Create - %</t>
  </si>
  <si>
    <t>Unsucc Cross %</t>
  </si>
  <si>
    <t>Succ High Pressing %</t>
  </si>
  <si>
    <t>Unsucc High Pressing %</t>
  </si>
  <si>
    <t>Succ Mid Block %</t>
  </si>
  <si>
    <t>Unsucc Mid Block %</t>
  </si>
  <si>
    <t>Succ Low Block %</t>
  </si>
  <si>
    <t>Unsucc Low Block %</t>
  </si>
  <si>
    <t>Total Number of Shots</t>
  </si>
  <si>
    <t>Total Number of Opp Shots</t>
  </si>
  <si>
    <t>Opp Cross +</t>
  </si>
  <si>
    <t>Opp Cross -</t>
  </si>
  <si>
    <t>Opp Cross + %</t>
  </si>
  <si>
    <t>Opp Cross - %</t>
  </si>
  <si>
    <t>Final 1/3 Entry</t>
  </si>
  <si>
    <t>Touches in the Box</t>
  </si>
  <si>
    <t>Opp in play Final 1/3 Entry</t>
  </si>
  <si>
    <t>Conceded</t>
  </si>
  <si>
    <t>In play Final 1/3</t>
  </si>
  <si>
    <t>Throw in Final 1/3</t>
  </si>
  <si>
    <t>Transition in Final 1/3</t>
  </si>
  <si>
    <t>Opponent Final 1/3</t>
  </si>
  <si>
    <t>Team-Build the Attack Details</t>
  </si>
  <si>
    <t>Team-Chance Details(Shots)</t>
  </si>
  <si>
    <t>Team-Grade</t>
  </si>
  <si>
    <t>Team-Pressing Details</t>
  </si>
  <si>
    <t>Team-Transition Details</t>
  </si>
  <si>
    <t>Team-Set Play Details</t>
  </si>
  <si>
    <t>Transition to Att Counter, Own 1/3</t>
  </si>
  <si>
    <t>Transition to Def Counter, Final 1/3</t>
  </si>
  <si>
    <t>Opp Goal</t>
  </si>
  <si>
    <t>Shot Map X</t>
  </si>
  <si>
    <t>Shot Map Y</t>
  </si>
  <si>
    <t>Middle 1/3</t>
  </si>
  <si>
    <t>SUB(EVENT)</t>
  </si>
  <si>
    <t>H</t>
  </si>
  <si>
    <t>Numer of Shots in the Box</t>
  </si>
  <si>
    <t>Number of Shots by Cross</t>
  </si>
  <si>
    <t>Number of Shots by Counterattack</t>
  </si>
  <si>
    <t>Number of Shots by Through Pass</t>
  </si>
  <si>
    <t>Numer of Opp Shots in the Box</t>
  </si>
  <si>
    <t>Number of Opp Shots by Cross</t>
  </si>
  <si>
    <t>Number of Opp Shots by Counterattack</t>
  </si>
  <si>
    <t>Number of Opp Shots by Through Pass</t>
  </si>
  <si>
    <t>Counterattack to Shots</t>
  </si>
  <si>
    <t>Crossing to Shots</t>
  </si>
  <si>
    <t>Through pass to Shots</t>
  </si>
  <si>
    <t>Crossing to Opp Shots</t>
  </si>
  <si>
    <t>Counterattack to Opp Shots</t>
  </si>
  <si>
    <t>Through pass to Opp Shots</t>
  </si>
  <si>
    <t>Chance Type</t>
  </si>
  <si>
    <t>Details</t>
  </si>
  <si>
    <t xml:space="preserve"> Chance Type</t>
  </si>
  <si>
    <t>Counterattack</t>
  </si>
  <si>
    <t>Middle Third</t>
  </si>
  <si>
    <t>Final Third</t>
  </si>
  <si>
    <t>Own Third</t>
  </si>
  <si>
    <t>Shots in the box</t>
  </si>
  <si>
    <t>Offside</t>
  </si>
  <si>
    <t>P'Boro</t>
  </si>
  <si>
    <t>Won Fouls</t>
  </si>
  <si>
    <t>Fouls</t>
  </si>
  <si>
    <t>Number of Shots from Restart</t>
  </si>
  <si>
    <t>Number of Shots from Set play</t>
  </si>
  <si>
    <t>Number of Shots from Transition</t>
  </si>
  <si>
    <t>Number of Shots from Open Play</t>
  </si>
  <si>
    <t>Number of Opp Shots from Restart</t>
  </si>
  <si>
    <t>Number of Opp Shots from Set play</t>
  </si>
  <si>
    <t>Number of Opp Shots from Transition</t>
  </si>
  <si>
    <t>Number of Opp Shots from Open Play</t>
  </si>
  <si>
    <t>Opp Transition to Attack</t>
  </si>
  <si>
    <t>Total Passes</t>
  </si>
  <si>
    <t>Completed Passes</t>
  </si>
  <si>
    <t>Uncompleted Passes</t>
  </si>
  <si>
    <t>Total Forward Passes</t>
  </si>
  <si>
    <t>Completed Forward Passes</t>
  </si>
  <si>
    <t>Uncompleted Forward Passes</t>
  </si>
  <si>
    <t>Total Lateral Passes</t>
  </si>
  <si>
    <t>Completed Lateral Passes</t>
  </si>
  <si>
    <t>Uncompleted Lateral Passes</t>
  </si>
  <si>
    <t>Total Backward Passes</t>
  </si>
  <si>
    <t>Completed Backward Passes</t>
  </si>
  <si>
    <t>Uncompleted Backward Passes</t>
  </si>
  <si>
    <t>Ball Kept</t>
  </si>
  <si>
    <t>Ball Lost</t>
  </si>
  <si>
    <t>Ball Lost in Final 1/3</t>
  </si>
  <si>
    <t>Ball Lost in Middle 1/3</t>
  </si>
  <si>
    <t>Ball Lost in Own 1/3</t>
  </si>
  <si>
    <t>Total 1v1</t>
  </si>
  <si>
    <t>Total Long Passes</t>
  </si>
  <si>
    <t>Completed Long Passes</t>
  </si>
  <si>
    <t>Uncompleted Long Passes</t>
  </si>
  <si>
    <t>Total Cross</t>
  </si>
  <si>
    <t>Completed Cross</t>
  </si>
  <si>
    <t>Uncompleted Cross</t>
  </si>
  <si>
    <t>Total Balls in Behind</t>
  </si>
  <si>
    <t>Completed Balls in Behind</t>
  </si>
  <si>
    <t>Uncompleted Balls in Behind</t>
  </si>
  <si>
    <t>Total Through Passes</t>
  </si>
  <si>
    <t>Total Diagonal Passes</t>
  </si>
  <si>
    <t>Completed Diagonal Passes</t>
  </si>
  <si>
    <t>Uncompleted Diagonal Passes</t>
  </si>
  <si>
    <t>Total Aerial Duel</t>
  </si>
  <si>
    <t>Unsuccessful Aerial Duel</t>
  </si>
  <si>
    <t>Succesful Aerial Duel</t>
  </si>
  <si>
    <t>Total 1v1 Defence</t>
  </si>
  <si>
    <t>Successful 1v1 Defence</t>
  </si>
  <si>
    <t>Unsuccessful 1v1 Defence</t>
  </si>
  <si>
    <t>Total Tackles</t>
  </si>
  <si>
    <t>Successful Tackles</t>
  </si>
  <si>
    <t>Unsuccessful Tackles</t>
  </si>
  <si>
    <t>Total 2nd Ball</t>
  </si>
  <si>
    <t>Successful 2nd Ball</t>
  </si>
  <si>
    <t>Unsuccessful 2nd Ball</t>
  </si>
  <si>
    <t>Missed Man-marking</t>
  </si>
  <si>
    <t>GK 1v1</t>
  </si>
  <si>
    <t>GK On target</t>
  </si>
  <si>
    <t>GK Off Target</t>
  </si>
  <si>
    <t>Defence the Space</t>
  </si>
  <si>
    <t>Save</t>
  </si>
  <si>
    <t>Team</t>
  </si>
  <si>
    <t>Total Completed Passes</t>
  </si>
  <si>
    <t>Total Uncompleted Passes</t>
  </si>
  <si>
    <t>Total Forward Pases</t>
  </si>
  <si>
    <t>Total Completed Forward Passes</t>
  </si>
  <si>
    <t>Total Uncompleted Forward Passes</t>
  </si>
  <si>
    <t>Total Completed Lateral Passes</t>
  </si>
  <si>
    <t>Total Uncompleted Lateral Passes</t>
  </si>
  <si>
    <t>Total Completed Backward Passes</t>
  </si>
  <si>
    <t>Total Uncompleted Backward Passes</t>
  </si>
  <si>
    <t>Total Uncompleted Long Passes</t>
  </si>
  <si>
    <t>Total Completed Long Passes</t>
  </si>
  <si>
    <t xml:space="preserve">Total Completed Balls in Behind </t>
  </si>
  <si>
    <t>Total Uncompleted Balls in Behind</t>
  </si>
  <si>
    <t>Total Completed Diagonal Passes</t>
  </si>
  <si>
    <t>Total Uncompleted Diagonal Passes</t>
  </si>
  <si>
    <t>Total Ball Lost</t>
  </si>
  <si>
    <t>Total Ball Kept</t>
  </si>
  <si>
    <t>Total Lost balls in Final 1/3</t>
  </si>
  <si>
    <t>Total Lost balls in Middle 1/3</t>
  </si>
  <si>
    <t>Total Lost balls in Own 1/3</t>
  </si>
  <si>
    <t>Total Touches in the Box</t>
  </si>
  <si>
    <t>Total cross</t>
  </si>
  <si>
    <t>Total Completed Cross</t>
  </si>
  <si>
    <t>Total Uncompleted Cross</t>
  </si>
  <si>
    <t>Total On Target</t>
  </si>
  <si>
    <t>Total Off Target</t>
  </si>
  <si>
    <t>Total Blocked</t>
  </si>
  <si>
    <t>Total Goal</t>
  </si>
  <si>
    <t>Total Assist</t>
  </si>
  <si>
    <t>Total Aerial duel</t>
  </si>
  <si>
    <t>Total Succ Aerial duel</t>
  </si>
  <si>
    <t>Total Unsuc Aerial duel</t>
  </si>
  <si>
    <t>Total Succ 1v1 Defence</t>
  </si>
  <si>
    <t>Total Unsuc 1v1 Defence</t>
  </si>
  <si>
    <t>Total Succ Tackles</t>
  </si>
  <si>
    <t>Total Unsuc Tackles</t>
  </si>
  <si>
    <t>Total Succ 2nd Ball</t>
  </si>
  <si>
    <t>Total Unsuc 2nd Ball</t>
  </si>
  <si>
    <t>Total Clearance</t>
  </si>
  <si>
    <t>Total Interception</t>
  </si>
  <si>
    <t>Total Recovery</t>
  </si>
  <si>
    <t>Total Blockd Shots</t>
  </si>
  <si>
    <t>Total Missed Man-marking</t>
  </si>
  <si>
    <t>Total Fouls</t>
  </si>
  <si>
    <t>Total Won Fouls</t>
  </si>
  <si>
    <t>Opp Offside</t>
  </si>
  <si>
    <t>P'Boro Throw in to Middle 1/3</t>
  </si>
  <si>
    <t>P'Boro Throw in to Own 1/3</t>
  </si>
  <si>
    <t>Opp Throw in to Middle 1/3</t>
  </si>
  <si>
    <t>Opp Throw in to Own 1/3</t>
  </si>
  <si>
    <t>Throw in Succ %</t>
  </si>
  <si>
    <t>SUBSITITUTE</t>
  </si>
  <si>
    <t>Tackles</t>
  </si>
  <si>
    <t>Offensive duel</t>
  </si>
  <si>
    <t>Event</t>
  </si>
  <si>
    <t>Total Offensive Duel</t>
  </si>
  <si>
    <t>Successful Offensive Duel</t>
  </si>
  <si>
    <t>Unsuccessful Offensive Duel</t>
  </si>
  <si>
    <t>Total Succ Offensive duel</t>
  </si>
  <si>
    <t>Total Unsuc Offensive duel</t>
  </si>
  <si>
    <t>Passes</t>
  </si>
  <si>
    <t>Forward Passes</t>
  </si>
  <si>
    <t>Backward Passes</t>
  </si>
  <si>
    <t>Lateral Passes</t>
  </si>
  <si>
    <t>Long Passes</t>
  </si>
  <si>
    <t>Defensive duel</t>
  </si>
  <si>
    <t>1v1 Defence</t>
  </si>
  <si>
    <t>Clearnace</t>
  </si>
  <si>
    <t>Total Duel</t>
  </si>
  <si>
    <t>Succ Duel</t>
  </si>
  <si>
    <t>Unsucc Duel</t>
  </si>
  <si>
    <t>Sum of Total Passes</t>
  </si>
  <si>
    <t>Sum of Completed Passes</t>
  </si>
  <si>
    <t>Sum of Uncompleted Passes</t>
  </si>
  <si>
    <t>Sum of Total Forward Passes</t>
  </si>
  <si>
    <t>Sum of Completed Forward Passes</t>
  </si>
  <si>
    <t>Sum of Uncompleted Forward Passes</t>
  </si>
  <si>
    <t>Sum of Total Lateral Passes</t>
  </si>
  <si>
    <t>Sum of Completed Lateral Passes</t>
  </si>
  <si>
    <t>Sum of Uncompleted Lateral Passes</t>
  </si>
  <si>
    <t>Sum of Total Backward Passes</t>
  </si>
  <si>
    <t>Sum of Completed Backward Passes</t>
  </si>
  <si>
    <t>Sum of Uncompleted Backward Passes</t>
  </si>
  <si>
    <t>Sum of Total Long Passes</t>
  </si>
  <si>
    <t>Sum of Completed Long Passes</t>
  </si>
  <si>
    <t>Sum of Uncompleted Long Passes</t>
  </si>
  <si>
    <t>Sum of Total Balls in Behind</t>
  </si>
  <si>
    <t>Sum of Completed Balls in Behind</t>
  </si>
  <si>
    <t>Sum of Uncompleted Balls in Behind</t>
  </si>
  <si>
    <t>Sum of Total Through Passes</t>
  </si>
  <si>
    <t>Sum of Total Diagonal Passes</t>
  </si>
  <si>
    <t>Sum of Completed Diagonal Passes</t>
  </si>
  <si>
    <t>Sum of Uncompleted Diagonal Passes</t>
  </si>
  <si>
    <t>Sum of Ball Kept</t>
  </si>
  <si>
    <t>Sum of Ball Lost</t>
  </si>
  <si>
    <t>Sum of Ball Lost in Final 1/3</t>
  </si>
  <si>
    <t>Sum of Ball Lost in Middle 1/3</t>
  </si>
  <si>
    <t>Sum of Ball Lost in Own 1/3</t>
  </si>
  <si>
    <t>Sum of Touches in the Box</t>
  </si>
  <si>
    <t>Sum of Total 1v1</t>
  </si>
  <si>
    <t>Sum of Total Cross</t>
  </si>
  <si>
    <t>Sum of Completed Cross</t>
  </si>
  <si>
    <t>Sum of Uncompleted Cross</t>
  </si>
  <si>
    <t>Sum of Total Shots</t>
  </si>
  <si>
    <t>Sum of Off Target</t>
  </si>
  <si>
    <t>Sum of On Target</t>
  </si>
  <si>
    <t>Sum of Total Offensive Duel</t>
  </si>
  <si>
    <t>Sum of Successful Offensive Duel</t>
  </si>
  <si>
    <t>Sum of Unsuccessful Offensive Duel</t>
  </si>
  <si>
    <t>Sum of Total Aerial Duel</t>
  </si>
  <si>
    <t>Sum of Succesful Aerial Duel</t>
  </si>
  <si>
    <t>Sum of Unsuccessful Aerial Duel</t>
  </si>
  <si>
    <t>Sum of Total 1v1 Defence</t>
  </si>
  <si>
    <t>Sum of Successful 1v1 Defence</t>
  </si>
  <si>
    <t>Sum of Unsuccessful 1v1 Defence</t>
  </si>
  <si>
    <t>Sum of Total Tackles</t>
  </si>
  <si>
    <t>Sum of Successful Tackles</t>
  </si>
  <si>
    <t>Sum of Unsuccessful Tackles</t>
  </si>
  <si>
    <t>Sum of Total 2nd Ball</t>
  </si>
  <si>
    <t>Sum of Successful 2nd Ball</t>
  </si>
  <si>
    <t>Sum of Unsuccessful 2nd Ball</t>
  </si>
  <si>
    <t>Sum of Blocked Shots</t>
  </si>
  <si>
    <t>Sum of Missed Man-marking</t>
  </si>
  <si>
    <t>Sum of Won Fouls</t>
  </si>
  <si>
    <t>Sum of Fouls</t>
  </si>
  <si>
    <t>Sum of GK 1v1</t>
  </si>
  <si>
    <t>Sum of GK On target</t>
  </si>
  <si>
    <t>Sum of GK Off Target</t>
  </si>
  <si>
    <t>Sum of Defence the Space</t>
  </si>
  <si>
    <t>Sum of Goal Conceded</t>
  </si>
  <si>
    <t>Sum of Save</t>
  </si>
  <si>
    <t>Player 2</t>
  </si>
  <si>
    <t>LOST</t>
  </si>
  <si>
    <t>SCORED</t>
  </si>
  <si>
    <t>Passes in Behind</t>
  </si>
  <si>
    <t>1v1</t>
  </si>
  <si>
    <t>Offensive Duel</t>
  </si>
  <si>
    <t>DEFENCE</t>
  </si>
  <si>
    <t>ATTACK</t>
  </si>
  <si>
    <t>Ball LOST</t>
  </si>
  <si>
    <t>GK STATS</t>
  </si>
  <si>
    <t>OUT OF POSSESSION</t>
  </si>
  <si>
    <t>IN POSSESSION</t>
  </si>
  <si>
    <t>Touches in box</t>
  </si>
  <si>
    <t>High Block</t>
  </si>
  <si>
    <t>Player-GK Details</t>
  </si>
  <si>
    <t>Player-In Possession Details</t>
  </si>
  <si>
    <t>Player-Out of Possession Details</t>
  </si>
  <si>
    <t>Player-Stats</t>
  </si>
  <si>
    <t>1v1 Defense</t>
  </si>
  <si>
    <t>Lost Possession, Lost Final 1/3</t>
  </si>
  <si>
    <t>Kept Possession</t>
  </si>
  <si>
    <t>Touches in the box</t>
  </si>
  <si>
    <t>Lost Possession, Lost Middle 1/3</t>
  </si>
  <si>
    <t>Back to goal</t>
  </si>
  <si>
    <t>Pass Completed</t>
  </si>
  <si>
    <t>Forward Pass</t>
  </si>
  <si>
    <t>Backward Pass</t>
  </si>
  <si>
    <t>Ground duel</t>
  </si>
  <si>
    <t>Lateral Pass</t>
  </si>
  <si>
    <t>Pass Uncompleted</t>
  </si>
  <si>
    <t>2nd Balls</t>
  </si>
  <si>
    <t>Move into Pocket</t>
  </si>
  <si>
    <t>Corner Kick</t>
  </si>
  <si>
    <t>Forward Pass, Long Kick</t>
  </si>
  <si>
    <t>Off target</t>
  </si>
  <si>
    <t>Defend the Space</t>
  </si>
  <si>
    <t>Acceleration</t>
  </si>
  <si>
    <t>Total Acceleration</t>
  </si>
  <si>
    <t>RB</t>
  </si>
  <si>
    <t>P'Boro Goal</t>
  </si>
  <si>
    <t>Force Error</t>
  </si>
  <si>
    <t>Forward Pass, Long Kick, Balls in Behind</t>
  </si>
  <si>
    <t>Opp Direct Play</t>
  </si>
  <si>
    <t>Number of Opp Direct Play</t>
  </si>
  <si>
    <t>Defend the line (Cross)</t>
  </si>
  <si>
    <t>Counter Kick</t>
  </si>
  <si>
    <t>Runs in Behind</t>
  </si>
  <si>
    <t>2nd Half</t>
  </si>
  <si>
    <t>1st Half</t>
  </si>
  <si>
    <t>Half</t>
  </si>
  <si>
    <t>Time</t>
  </si>
  <si>
    <t>Total Completed Passes %</t>
  </si>
  <si>
    <t>Total Uncompleted Passes %</t>
  </si>
  <si>
    <t>Total Completed Forward Passes %</t>
  </si>
  <si>
    <t>Total Uncompleted Forward Passes %</t>
  </si>
  <si>
    <t>Total Completed Lateral Passes %</t>
  </si>
  <si>
    <t>Total Uncompleted Lateral Passes %</t>
  </si>
  <si>
    <t>Total Completed Backward Passes %</t>
  </si>
  <si>
    <t>Total Uncompleted Backward Passes %</t>
  </si>
  <si>
    <t>Total Completed Long Passes %</t>
  </si>
  <si>
    <t>Total Uncompleted Long Passes %</t>
  </si>
  <si>
    <t>Total Completed Balls in Behind %</t>
  </si>
  <si>
    <t>Total Uncompleted Balls in Behind %</t>
  </si>
  <si>
    <t>Total Completed Diagonal Passes %</t>
  </si>
  <si>
    <t>Total Uncompleted Diagonal Passes %</t>
  </si>
  <si>
    <t>Total Completed 1v1 %</t>
  </si>
  <si>
    <t>Total Uncompleted 1v1 %</t>
  </si>
  <si>
    <t>Total Completed Cross %</t>
  </si>
  <si>
    <t>Total Uncompleted Cross %</t>
  </si>
  <si>
    <t>Total Succ Offensive duel %</t>
  </si>
  <si>
    <t>Total Unsuc Offensive duel %</t>
  </si>
  <si>
    <t>Succ Duel %</t>
  </si>
  <si>
    <t>Unsucc Duel %</t>
  </si>
  <si>
    <t>Total Defensive Duel</t>
  </si>
  <si>
    <t>Total Succ Defensive duel</t>
  </si>
  <si>
    <t>Total Unsuc Defensive duel</t>
  </si>
  <si>
    <t>Total Succ Defensive duel %</t>
  </si>
  <si>
    <t>Total Unsuc Defensive duel %</t>
  </si>
  <si>
    <t>Total Succ Aerial duel %</t>
  </si>
  <si>
    <t>Total Unsuc Aerial duel %</t>
  </si>
  <si>
    <t>Total Succ 1v1 Defence %</t>
  </si>
  <si>
    <t>Total Unsuc 1v1 Defence %</t>
  </si>
  <si>
    <t>Total Succ Tackles %</t>
  </si>
  <si>
    <t>Total Unsuc Tackles %</t>
  </si>
  <si>
    <t>Total Succ 2nd Ball %</t>
  </si>
  <si>
    <t>Total Unsuc 2nd Ball %</t>
  </si>
  <si>
    <t>Full time</t>
  </si>
  <si>
    <t>Completed Passes %</t>
  </si>
  <si>
    <t>Uncompleted Passes %</t>
  </si>
  <si>
    <t>Completed Forward Passes %</t>
  </si>
  <si>
    <t>Uncompleted Forward Passes %</t>
  </si>
  <si>
    <t>Completed Lateral Passes %</t>
  </si>
  <si>
    <t>Uncompleted Lateral Passes %</t>
  </si>
  <si>
    <t>Completed Backward Passes %</t>
  </si>
  <si>
    <t>Uncompleted Backward Passes %</t>
  </si>
  <si>
    <t>Completed Long Passes %</t>
  </si>
  <si>
    <t>Uncompleted Long Passes %</t>
  </si>
  <si>
    <t>Completed Balls in Behind %</t>
  </si>
  <si>
    <t>Uncompleted Balls in Behind %</t>
  </si>
  <si>
    <t>Completed Diagonal Passes %</t>
  </si>
  <si>
    <t>Uncompleted Diagonal Passes %</t>
  </si>
  <si>
    <t>Completed 1v1 %</t>
  </si>
  <si>
    <t>Uncompleted 1v1 %</t>
  </si>
  <si>
    <t>Completed Cross %</t>
  </si>
  <si>
    <t>Uncompleted Cross %</t>
  </si>
  <si>
    <t>Successful Offensive Duel %</t>
  </si>
  <si>
    <t>Unsuccessful Offensive Duel %</t>
  </si>
  <si>
    <t>Successful Duel</t>
  </si>
  <si>
    <t>Unsuccesful Duel</t>
  </si>
  <si>
    <t>Successful Duel %</t>
  </si>
  <si>
    <t>Unsuccesful Duel %</t>
  </si>
  <si>
    <t>Successful Defensive Duel</t>
  </si>
  <si>
    <t>Unsuccesful Defensive Duel</t>
  </si>
  <si>
    <t>Successful Defensive Duel %</t>
  </si>
  <si>
    <t>Unsuccesful Defensive Duel %</t>
  </si>
  <si>
    <t>Succesful Aerial Duel %</t>
  </si>
  <si>
    <t>Unsuccessful Aerial Duel %</t>
  </si>
  <si>
    <t>Successful 1v1 Defence %</t>
  </si>
  <si>
    <t>Unsuccessful 1v1 Defence %</t>
  </si>
  <si>
    <t>Successful Tackles %</t>
  </si>
  <si>
    <t>Unsuccessful Tackles %</t>
  </si>
  <si>
    <t>Successful 2nd Ball %</t>
  </si>
  <si>
    <t>Unsuccessful 2nd Ball %</t>
  </si>
  <si>
    <t>LB</t>
  </si>
  <si>
    <t>CM</t>
  </si>
  <si>
    <t>RW</t>
  </si>
  <si>
    <t>LW</t>
  </si>
  <si>
    <t>Duration (mins)</t>
  </si>
  <si>
    <t>Forward Pass, Balls in Behind</t>
  </si>
  <si>
    <t>Pass Received</t>
  </si>
  <si>
    <t>1st</t>
  </si>
  <si>
    <t>2nd</t>
  </si>
  <si>
    <t>Total Pass Received</t>
  </si>
  <si>
    <t>Successful 1v1</t>
  </si>
  <si>
    <t>Unsuccessful 1v1</t>
  </si>
  <si>
    <t>Total Successful 1v1</t>
  </si>
  <si>
    <t>Total Unsuccessful 1v1</t>
  </si>
  <si>
    <t>Wide Area</t>
  </si>
  <si>
    <t>Total Into Pocket</t>
  </si>
  <si>
    <t>Total Wide Area</t>
  </si>
  <si>
    <t>Total Back to Goal</t>
  </si>
  <si>
    <t>Total Over/Underlaps</t>
  </si>
  <si>
    <t>Total Runs in Behind</t>
  </si>
  <si>
    <t>Total into Pocket</t>
  </si>
  <si>
    <t>Total Play time (mins)</t>
  </si>
  <si>
    <t>Ball in play time (mins)</t>
  </si>
  <si>
    <t>Out of play time (mins)</t>
  </si>
  <si>
    <t>DATE</t>
  </si>
  <si>
    <t>Chance from Open Play</t>
  </si>
  <si>
    <t>Chance from Transition</t>
  </si>
  <si>
    <t>Chance from Set Play</t>
  </si>
  <si>
    <t>Chance from Restart</t>
  </si>
  <si>
    <t>Opp Chance from Open Play</t>
  </si>
  <si>
    <t>Opp Chance from Transition</t>
  </si>
  <si>
    <t>Opp Chance from Set Play</t>
  </si>
  <si>
    <t>Opp Chance from Restart</t>
  </si>
  <si>
    <t>Loose Ball duel</t>
  </si>
  <si>
    <t>Sum of Total Pass Received</t>
  </si>
  <si>
    <t>Sum of Duration (mins)</t>
  </si>
  <si>
    <t>Sum of Counter Kick</t>
  </si>
  <si>
    <t>Sum of Defend the line (Cross)</t>
  </si>
  <si>
    <t>Ball Received</t>
  </si>
  <si>
    <t>Defence Line (Cross)</t>
  </si>
  <si>
    <t>POSITION</t>
  </si>
  <si>
    <t>Back to Goal</t>
  </si>
  <si>
    <t>Over/Underlaps</t>
  </si>
  <si>
    <t>RECEIVING</t>
  </si>
  <si>
    <t>Total Offensive duel</t>
  </si>
  <si>
    <t>Sum of Successful 1v1</t>
  </si>
  <si>
    <t>Sum of Unsuccessful 1v1</t>
  </si>
  <si>
    <t>Sum of Unsuccesful Defensive Duel</t>
  </si>
  <si>
    <t>Sum of Successful Defensive Duel</t>
  </si>
  <si>
    <t>Sum of Total Defensive Duel</t>
  </si>
  <si>
    <t>Sum of Total Acceleration</t>
  </si>
  <si>
    <t>Sum of Total Into Pocket</t>
  </si>
  <si>
    <t>Sum of Total Wide Area</t>
  </si>
  <si>
    <t>Sum of Total Back to Goal</t>
  </si>
  <si>
    <t>Sum of Total Over/Underlaps</t>
  </si>
  <si>
    <t>Sum of Total Runs in Behind</t>
  </si>
  <si>
    <t>MINUTES PLAYED</t>
  </si>
  <si>
    <t>Villa Set Plays</t>
  </si>
  <si>
    <t>POSITIONING</t>
  </si>
  <si>
    <t>Player-In Possession Pass Details</t>
  </si>
  <si>
    <t>Player-Out of Possession Duel Details</t>
  </si>
  <si>
    <t>Player-Shot Details</t>
  </si>
  <si>
    <t>Flags</t>
  </si>
  <si>
    <t>Middle 1/3, Counterpressing</t>
  </si>
  <si>
    <t>Shots from Transition, Off Target</t>
  </si>
  <si>
    <t>Shots from Transition, Blocked</t>
  </si>
  <si>
    <t>P'Boro Offside</t>
  </si>
  <si>
    <t>Pass Received, Pass Completed</t>
  </si>
  <si>
    <t>Pass Received, Pass Uncompleted</t>
  </si>
  <si>
    <t>Runs in Behind, Touches in the box</t>
  </si>
  <si>
    <t>Pass Received, Pass Completed, Critical (Positive)</t>
  </si>
  <si>
    <t>Turnover Won</t>
  </si>
  <si>
    <t>Forward Pass, Key/Through pass</t>
  </si>
  <si>
    <t>Pass Received, Kept Possession, Pass Completed, Critical (Positive)</t>
  </si>
  <si>
    <t>Pass Received, Kept Possession, Pass Uncompleted</t>
  </si>
  <si>
    <t>Kept Possession, Pass Uncompleted</t>
  </si>
  <si>
    <t>Duel Unsucceeded</t>
  </si>
  <si>
    <t>Duel Succeeded, Pass Uncompleted</t>
  </si>
  <si>
    <t>Duel Succeeded</t>
  </si>
  <si>
    <t>Forward Pass, Balls in Behind, Key/Through pass</t>
  </si>
  <si>
    <t>Wide area, 1v1 Attack</t>
  </si>
  <si>
    <t>Duel Succeeded, Pass Completed</t>
  </si>
  <si>
    <t>Pass Received, Goal, Critical (Positive)</t>
  </si>
  <si>
    <t>Recovery Run</t>
  </si>
  <si>
    <t>Wide area</t>
  </si>
  <si>
    <t>Pass Received, Kept Possession, Pass Completed</t>
  </si>
  <si>
    <t>Duel Succeeded, Critical (Positive)</t>
  </si>
  <si>
    <t>Pass Received, Kept Possession</t>
  </si>
  <si>
    <t>Pass Received, Lost Possession, Lost Own 1/3</t>
  </si>
  <si>
    <t>Pass Completed, Pass Completed</t>
  </si>
  <si>
    <t>Critical (Positive)</t>
  </si>
  <si>
    <t>Pass Completed, Pass Received</t>
  </si>
  <si>
    <t>Interception, Turnover Won</t>
  </si>
  <si>
    <t>Wide area, Offensive duel</t>
  </si>
  <si>
    <t>Pass Received, Lost Possession, Lost Middle 1/3</t>
  </si>
  <si>
    <t>Pass Completed, Critical (Positive)</t>
  </si>
  <si>
    <t>Lateral Pass, Forward Pass</t>
  </si>
  <si>
    <t>Forward Pass, Balls in Behind, Long Kick</t>
  </si>
  <si>
    <t>Kept Possession, Pass Completed</t>
  </si>
  <si>
    <t>Joshua Laotan</t>
  </si>
  <si>
    <t>Levi Ampofo</t>
  </si>
  <si>
    <t>Joshua Harrup</t>
  </si>
  <si>
    <t>1-4-3-3</t>
  </si>
  <si>
    <t>P'Boro Final 1/3</t>
  </si>
  <si>
    <t>P'Boro Chances</t>
  </si>
  <si>
    <t>Melvin Brandford</t>
  </si>
  <si>
    <t>ST</t>
  </si>
  <si>
    <t>Key pass</t>
  </si>
  <si>
    <t>Pass Received &amp; Pass completed</t>
  </si>
  <si>
    <t>Total Pass Received &amp; Pass completed</t>
  </si>
  <si>
    <t>Pass Received &amp; Pass Uncompleted</t>
  </si>
  <si>
    <t>Total Pass Received &amp; Pass Uncompleted</t>
  </si>
  <si>
    <t>Total Half-space Runs</t>
  </si>
  <si>
    <t>Total 2nd Balls</t>
  </si>
  <si>
    <t>Key Pass</t>
  </si>
  <si>
    <t>Half-space Runs</t>
  </si>
  <si>
    <t>Preseason</t>
  </si>
  <si>
    <t>Peterborough</t>
  </si>
  <si>
    <t>Sum of Total Half-space Runs</t>
  </si>
  <si>
    <t>Sum of Turnover Won</t>
  </si>
  <si>
    <t>STATS</t>
  </si>
  <si>
    <t>Transition to Att Counter, Middle 1/3</t>
  </si>
  <si>
    <t>Pass Received, Lost Possession, Lost Final 1/3</t>
  </si>
  <si>
    <t>Lateral Pass, Backward Pass</t>
  </si>
  <si>
    <t>Pass Received, Pass Completed, Pass Completed</t>
  </si>
  <si>
    <t>Lateral Pass, Long Kick</t>
  </si>
  <si>
    <t>Pass Received, Lost Possession, Lost Own 1/3, Critical (Negative)</t>
  </si>
  <si>
    <t>Recovery Run, Turnover Won</t>
  </si>
  <si>
    <t>Turnover Won, Won Fouls</t>
  </si>
  <si>
    <t>Counterpressing, Middle 1/3</t>
  </si>
  <si>
    <t>Direct Play, Reach Opp Half</t>
  </si>
  <si>
    <t>Off Target, Shots from Transition</t>
  </si>
  <si>
    <t>Shots from Transition, On Target</t>
  </si>
  <si>
    <t>Move into Pocket, Offensive duel</t>
  </si>
  <si>
    <t>Backward Pass, Lateral Pass</t>
  </si>
  <si>
    <t>Lost Possession, Lost Own 1/3</t>
  </si>
  <si>
    <t>Acceleration, 1v1 Attack</t>
  </si>
  <si>
    <t>Wide area, Touches in the box</t>
  </si>
  <si>
    <t>1v1 Attack, Touches in the box</t>
  </si>
  <si>
    <t>Tackles, Turnover Won</t>
  </si>
  <si>
    <t>Goal, Critical (Positive)</t>
  </si>
  <si>
    <t>Backward Pass, Forward Pass</t>
  </si>
  <si>
    <t>Forward Pass, Lateral Pass</t>
  </si>
  <si>
    <t>Pass Received, Pass Completed, Pass Uncompleted</t>
  </si>
  <si>
    <t>Pass Received, Pass Completed, Kept Possession, Pass Completed</t>
  </si>
  <si>
    <t>Lateral Pass, Forward Pass, Long Kick</t>
  </si>
  <si>
    <t>Forward Pass, Forward Pass</t>
  </si>
  <si>
    <t>Pass Completed, Pass Uncompleted</t>
  </si>
  <si>
    <t>Harley Moyes</t>
  </si>
  <si>
    <t>Pass Received, Pass Completed, Critical (Positive), Assist</t>
  </si>
  <si>
    <t>Sebastian Bixby-Gutierrez</t>
  </si>
  <si>
    <t>Pass Completed, Assist, Critical (Positive)</t>
  </si>
  <si>
    <t>Pass Received, Pass Uncompleted, Critical (Negative)</t>
  </si>
  <si>
    <t>Conceded, On target</t>
  </si>
  <si>
    <t>Backward Pass, Forward Pass, Long Kick</t>
  </si>
  <si>
    <t>Forward Pass, Backward Pass</t>
  </si>
  <si>
    <t>U15s vs Onside Academy (H) 29.07.26 (1)</t>
  </si>
  <si>
    <t>Middle 1/3, Transition to Att Counter</t>
  </si>
  <si>
    <t>Own 1/3, Own 1/3</t>
  </si>
  <si>
    <t>Counterpressing, Transition to Att Counter, Middle 1/3</t>
  </si>
  <si>
    <t>Turnover, Direct Play</t>
  </si>
  <si>
    <t>Direct Play, Turnover</t>
  </si>
  <si>
    <t>Blocked, Shots in the box, Shots from Open Play</t>
  </si>
  <si>
    <t>Shots from Open Play, Through pass to Shots, Shots in the box, Off Target</t>
  </si>
  <si>
    <t>Shots from Transition, On Target, P'Boro Goal</t>
  </si>
  <si>
    <t>Blocked, Shots in the box, Shots from Open Play, Cross to Shots</t>
  </si>
  <si>
    <t>Shots in the box, Blocked, Counterattack to Shots, Shots from Transition</t>
  </si>
  <si>
    <t>Shots from Transition, Counterattack to Shots, Through pass to Shots, On Target, P'Boro Goal</t>
  </si>
  <si>
    <t>Shots from Open Play, Shots in the box, Off Target</t>
  </si>
  <si>
    <t>Through pass to Shots, Shots from Restart, On Target, P'Boro Goal, Shots in the box</t>
  </si>
  <si>
    <t>Shots from Restart, On Target, Shots in the box, P'Boro Goal</t>
  </si>
  <si>
    <t>Shots from Set play, Shots in the box, On Target</t>
  </si>
  <si>
    <t>Shots from Transition, Counterattack to Shots, Cross to Shots</t>
  </si>
  <si>
    <t>Transition to Def Counter, Middle 1/3</t>
  </si>
  <si>
    <t>P Rest Defence</t>
  </si>
  <si>
    <t>Transition to Def Counter, Own 1/3</t>
  </si>
  <si>
    <t>Shots from Transition, Off Target, Shots in the box</t>
  </si>
  <si>
    <t>Shots from Transition, Counterattack to Shots, On Target, Shots in the box</t>
  </si>
  <si>
    <t>Shots from Set play, Blocked</t>
  </si>
  <si>
    <t>Shots from Transition, Through pass to Shots</t>
  </si>
  <si>
    <t>Shots from Restart, Cross to Shots, Shots in the box, Off Target</t>
  </si>
  <si>
    <t>Shots from Transition, Through pass to Shots, Off Target</t>
  </si>
  <si>
    <t>Opp Goal, Shots from Transition, On Target</t>
  </si>
  <si>
    <t>On Target, Shots from Transition</t>
  </si>
  <si>
    <t>Shots from Restart, Opp Goal, Shots in the box, On Target</t>
  </si>
  <si>
    <t>Shots from Open Play, Cross to Shots, Blocked, Shots in the box</t>
  </si>
  <si>
    <t>Shots from Transition, Cross to Shots</t>
  </si>
  <si>
    <t>Shots from Transition, Shots in the box, On Target, Opp Goal</t>
  </si>
  <si>
    <t>Shots from Transition, Shots in the box, On Target</t>
  </si>
  <si>
    <t>Shots from Set play, Off Target, Shots in the box</t>
  </si>
  <si>
    <t>Shots from Open Play, Through pass to Shots, On Target, Shots in the box</t>
  </si>
  <si>
    <t>Shots from Open Play, Shots in the box, On Target, Opp Goal</t>
  </si>
  <si>
    <t>Shots from Open Play, Cross to Shots, Off Target, Shots in the box</t>
  </si>
  <si>
    <t>Shots in the box, Off Target, Shots from Transition, Counterattack to Shots</t>
  </si>
  <si>
    <t>Dylan -&gt; Kai / Kairo -&gt; Reyes White / Harley -&gt; Hugo / Josh -&gt; Melvin</t>
  </si>
  <si>
    <t>Jeffery -&gt; Dylan / William -&gt; Kairo / Harry -&gt; J.Laotan</t>
  </si>
  <si>
    <t>Kept Possession, Pass Uncompleted, Duel Succeeded</t>
  </si>
  <si>
    <t>Pass Received, Kept Possession, Goal, Critical (Positive)</t>
  </si>
  <si>
    <t>Pass Received, Pass Uncompleted, Critical (Positive)</t>
  </si>
  <si>
    <t>Pass Uncompleted, Critical (Negative)</t>
  </si>
  <si>
    <t>Runs in Behind, Touches in the box, Offensive duel</t>
  </si>
  <si>
    <t>Back to goal, Offensive duel</t>
  </si>
  <si>
    <t>Lost Possession, Lost Middle 1/3, Pass Received</t>
  </si>
  <si>
    <t>Pass Completed, Kept Possession, Pass Completed</t>
  </si>
  <si>
    <t>Offensive duel, 1v1 Attack, Touches in the box</t>
  </si>
  <si>
    <t>Runs in Behind, Offensive duel, Touches in the box</t>
  </si>
  <si>
    <t>Harry Meadwell-Ludlow</t>
  </si>
  <si>
    <t>Duel Succeeded, Pass Completed, Critical (Positive)</t>
  </si>
  <si>
    <t>Pass Received, Pass Completed, Pass Uncompleted, Critical (Negative)</t>
  </si>
  <si>
    <t>Wide area, Acceleration, Offensive duel</t>
  </si>
  <si>
    <t>Pass Received, Pass Completed, Kept Possession</t>
  </si>
  <si>
    <t>Wide area, Acceleration</t>
  </si>
  <si>
    <t>Pass Received, Lost Possession, Lost Middle 1/3, Critical (Negative)</t>
  </si>
  <si>
    <t>Long Kick, Balls in Behind</t>
  </si>
  <si>
    <t>Turnover Won, Recovery Run</t>
  </si>
  <si>
    <t>Duel Succeeded, Critical (Positive), Kept Possession, Pass Completed</t>
  </si>
  <si>
    <t>Man-marking</t>
  </si>
  <si>
    <t>Move into Pocket, 1v1 Attack</t>
  </si>
  <si>
    <t>1v1 Defense, Ground duel</t>
  </si>
  <si>
    <t>Interception, Won Fouls</t>
  </si>
  <si>
    <t>Pass Uncompleted, Critical (Positive)</t>
  </si>
  <si>
    <t>Runs in Behind, Over/Underlaps</t>
  </si>
  <si>
    <t>Pass Received, Pass Uncompleted, Lost Own 1/3</t>
  </si>
  <si>
    <t>Forward Pass, Balls in Behind, Long Kick, Key/Through pass</t>
  </si>
  <si>
    <t>Pass Completed, Critical (Positive), Assist</t>
  </si>
  <si>
    <t>2nd Balls, Ground duel</t>
  </si>
  <si>
    <t>1v1, Off target</t>
  </si>
  <si>
    <t>On target, Save</t>
  </si>
  <si>
    <t>Defend the line (Cross), Counter Kick</t>
  </si>
  <si>
    <t>Critical (Positive), Pass Completed</t>
  </si>
  <si>
    <t>Lateral Pass, Forward Pass, Balls in Behind</t>
  </si>
  <si>
    <t>On target, Conceded</t>
  </si>
  <si>
    <t>1v1, On target, Save</t>
  </si>
  <si>
    <t>William Swannell</t>
  </si>
  <si>
    <t>Lateral Pass, Lateral Pass</t>
  </si>
  <si>
    <t>Lateral Pass, Forward Pass, Balls in Behind, Key/Through pass</t>
  </si>
  <si>
    <t>Pass Completed, Pass Completed, Critical (Positive), Assist</t>
  </si>
  <si>
    <t>Kairo Smith</t>
  </si>
  <si>
    <t>Duel Unsucceeded, Pass Uncompleted</t>
  </si>
  <si>
    <t>Pass Received, Pass Completed, Critical (Negative)</t>
  </si>
  <si>
    <t>Diyar Sonzamanci</t>
  </si>
  <si>
    <t>Recovery Run, Clearance</t>
  </si>
  <si>
    <t>Wide area, Acceleration, 1v1 Attack</t>
  </si>
  <si>
    <t>Wide area, Touches in the box, Touches in the box</t>
  </si>
  <si>
    <t>Pass Received, Pass Uncompleted, Lost Possession, Lost Final 1/3, Duel Unsucceeded</t>
  </si>
  <si>
    <t>Duel Unsucceeded, Duel Unsucceeded</t>
  </si>
  <si>
    <t>Dylan Tambe</t>
  </si>
  <si>
    <t>Touches in the box, 1v1 Attack</t>
  </si>
  <si>
    <t>Duel Succeeded, Pass Completed, Assist, Critical (Positive)</t>
  </si>
  <si>
    <t>Recovery Run, Tackles</t>
  </si>
  <si>
    <t>Duel Succeeded, Kept Possession, Pass Completed, Critical (Positive)</t>
  </si>
  <si>
    <t>Kaii Charles</t>
  </si>
  <si>
    <t>Wide area, 1v1 Attack, Touches in the box</t>
  </si>
  <si>
    <t>Pass Received, Kept Possession, Pass Uncompleted, Critical (Positive)</t>
  </si>
  <si>
    <t>Hugo McLarnon</t>
  </si>
  <si>
    <t>Kept Possession, Pass Received, Pass Uncompleted</t>
  </si>
  <si>
    <t>Reyes White</t>
  </si>
  <si>
    <t>Onside Academy</t>
  </si>
  <si>
    <t>Jeffrey Sam-Deekue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</si>
</sst>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DIN Alternate Bold"/>
    </font>
    <font>
      <sz val="15"/>
      <color theme="1"/>
      <name val="DIN Alternate Bold"/>
    </font>
    <font>
      <sz val="13"/>
      <color theme="1"/>
      <name val="DIN Alternate Bold"/>
    </font>
    <font>
      <sz val="18"/>
      <color rgb="FF0070C0"/>
      <name val="DIN Alternate Bold"/>
    </font>
    <font>
      <sz val="12"/>
      <color theme="0"/>
      <name val="DIN Alternate Bold"/>
    </font>
    <font>
      <sz val="15"/>
      <color theme="0"/>
      <name val="DIN Alternate Bold"/>
    </font>
    <font>
      <sz val="16"/>
      <color theme="0"/>
      <name val="DIN Alternate Bold"/>
    </font>
    <font>
      <sz val="12"/>
      <color rgb="FFFF0000"/>
      <name val="DIN Alternate Bold"/>
    </font>
    <font>
      <sz val="12"/>
      <color theme="9"/>
      <name val="DIN Alternate Bold"/>
    </font>
    <font>
      <sz val="14"/>
      <color theme="1"/>
      <name val="DIN Alternate Bold"/>
    </font>
    <font>
      <sz val="14"/>
      <color theme="0"/>
      <name val="DIN Alternate Bold"/>
    </font>
    <font>
      <sz val="25"/>
      <color theme="1"/>
      <name val="DIN Alternate Bold"/>
    </font>
    <font>
      <sz val="12"/>
      <color theme="1"/>
      <name val="Aptos Narrow"/>
      <family val="2"/>
    </font>
    <font>
      <sz val="13.5"/>
      <color theme="0"/>
      <name val="DIN Alternate Bold"/>
    </font>
    <font>
      <sz val="27"/>
      <color theme="1"/>
      <name val="DIN Alternate Bold"/>
    </font>
    <font>
      <sz val="12"/>
      <color rgb="FF000000"/>
      <name val="Aptos Narrow"/>
      <family val="2"/>
      <scheme val="minor"/>
    </font>
    <font>
      <sz val="12"/>
      <color rgb="FF000000"/>
      <name val="DIN Alternate Bold"/>
    </font>
    <font>
      <sz val="18"/>
      <color theme="0"/>
      <name val="DIN Alternate Bold"/>
    </font>
    <font>
      <sz val="35"/>
      <color theme="0"/>
      <name val="DIN Alternate Bold"/>
    </font>
    <font>
      <sz val="13"/>
      <color theme="0"/>
      <name val="DIN Alternate Bold"/>
    </font>
    <font>
      <sz val="8"/>
      <name val="Aptos Narrow"/>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
      <patternFill patternType="solid">
        <fgColor rgb="FFC00000"/>
        <bgColor indexed="64"/>
      </patternFill>
    </fill>
    <fill>
      <patternFill patternType="solid">
        <fgColor theme="3" tint="0.249977111117893"/>
        <bgColor indexed="64"/>
      </patternFill>
    </fill>
    <fill>
      <patternFill patternType="solid">
        <fgColor rgb="FFFF0000"/>
        <bgColor indexed="64"/>
      </patternFill>
    </fill>
    <fill>
      <patternFill patternType="solid">
        <fgColor rgb="FF92D050"/>
        <bgColor indexed="64"/>
      </patternFill>
    </fill>
    <fill>
      <patternFill patternType="solid">
        <fgColor theme="1"/>
        <bgColor indexed="64"/>
      </patternFill>
    </fill>
    <fill>
      <patternFill patternType="solid">
        <fgColor theme="9"/>
        <bgColor indexed="64"/>
      </patternFill>
    </fill>
    <fill>
      <patternFill patternType="solid">
        <fgColor theme="3" tint="9.9978637043366805E-2"/>
        <bgColor indexed="64"/>
      </patternFill>
    </fill>
  </fills>
  <borders count="9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style="dashDot">
        <color theme="1"/>
      </right>
      <top style="medium">
        <color theme="0" tint="-0.499984740745262"/>
      </top>
      <bottom style="medium">
        <color theme="0" tint="-0.499984740745262"/>
      </bottom>
      <diagonal/>
    </border>
    <border>
      <left style="dashDot">
        <color theme="1"/>
      </left>
      <right style="medium">
        <color theme="0" tint="-0.499984740745262"/>
      </right>
      <top style="medium">
        <color theme="0" tint="-0.499984740745262"/>
      </top>
      <bottom style="medium">
        <color theme="0" tint="-0.499984740745262"/>
      </bottom>
      <diagonal/>
    </border>
    <border>
      <left style="medium">
        <color theme="3" tint="0.249977111117893"/>
      </left>
      <right style="medium">
        <color theme="0" tint="-0.499984740745262"/>
      </right>
      <top/>
      <bottom/>
      <diagonal/>
    </border>
    <border>
      <left style="medium">
        <color theme="0" tint="-0.499984740745262"/>
      </left>
      <right style="dashDot">
        <color theme="1"/>
      </right>
      <top style="medium">
        <color theme="0" tint="-0.499984740745262"/>
      </top>
      <bottom style="medium">
        <color theme="0" tint="-0.499984740745262"/>
      </bottom>
      <diagonal/>
    </border>
    <border>
      <left style="medium">
        <color theme="8" tint="-0.499984740745262"/>
      </left>
      <right/>
      <top/>
      <bottom/>
      <diagonal/>
    </border>
    <border>
      <left/>
      <right/>
      <top/>
      <bottom style="medium">
        <color theme="8" tint="-0.499984740745262"/>
      </bottom>
      <diagonal/>
    </border>
    <border>
      <left/>
      <right style="medium">
        <color theme="8" tint="-0.499984740745262"/>
      </right>
      <top/>
      <bottom style="medium">
        <color theme="8" tint="-0.499984740745262"/>
      </bottom>
      <diagonal/>
    </border>
    <border>
      <left/>
      <right style="medium">
        <color theme="8" tint="-0.499984740745262"/>
      </right>
      <top/>
      <bottom/>
      <diagonal/>
    </border>
    <border>
      <left/>
      <right/>
      <top style="medium">
        <color theme="8" tint="-0.499984740745262"/>
      </top>
      <bottom style="medium">
        <color theme="8" tint="-0.499984740745262"/>
      </bottom>
      <diagonal/>
    </border>
    <border>
      <left/>
      <right/>
      <top style="medium">
        <color theme="8" tint="-0.499984740745262"/>
      </top>
      <bottom/>
      <diagonal/>
    </border>
    <border>
      <left/>
      <right style="medium">
        <color theme="8" tint="-0.499984740745262"/>
      </right>
      <top style="medium">
        <color theme="8" tint="-0.499984740745262"/>
      </top>
      <bottom/>
      <diagonal/>
    </border>
    <border>
      <left style="medium">
        <color theme="8" tint="-0.499984740745262"/>
      </left>
      <right/>
      <top style="medium">
        <color theme="8" tint="-0.499984740745262"/>
      </top>
      <bottom style="medium">
        <color theme="8" tint="-0.499984740745262"/>
      </bottom>
      <diagonal/>
    </border>
    <border>
      <left/>
      <right style="medium">
        <color theme="8" tint="-0.499984740745262"/>
      </right>
      <top style="medium">
        <color theme="8" tint="-0.499984740745262"/>
      </top>
      <bottom style="medium">
        <color theme="8" tint="-0.499984740745262"/>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right style="mediumDashed">
        <color theme="0" tint="-0.499984740745262"/>
      </right>
      <top style="medium">
        <color theme="0" tint="-0.499984740745262"/>
      </top>
      <bottom/>
      <diagonal/>
    </border>
    <border>
      <left/>
      <right style="mediumDashed">
        <color theme="0" tint="-0.499984740745262"/>
      </right>
      <top/>
      <bottom style="medium">
        <color theme="0" tint="-0.499984740745262"/>
      </bottom>
      <diagonal/>
    </border>
    <border>
      <left style="medium">
        <color theme="0" tint="-0.499984740745262"/>
      </left>
      <right style="medium">
        <color theme="0" tint="-0.499984740745262"/>
      </right>
      <top/>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top style="mediumDashed">
        <color theme="0" tint="-0.499984740745262"/>
      </top>
      <bottom style="medium">
        <color theme="0" tint="-0.499984740745262"/>
      </bottom>
      <diagonal/>
    </border>
    <border>
      <left/>
      <right/>
      <top style="mediumDashed">
        <color theme="0" tint="-0.499984740745262"/>
      </top>
      <bottom style="medium">
        <color theme="0" tint="-0.499984740745262"/>
      </bottom>
      <diagonal/>
    </border>
    <border>
      <left/>
      <right style="medium">
        <color theme="0" tint="-0.499984740745262"/>
      </right>
      <top style="mediumDashed">
        <color theme="0" tint="-0.499984740745262"/>
      </top>
      <bottom style="medium">
        <color theme="0" tint="-0.499984740745262"/>
      </bottom>
      <diagonal/>
    </border>
    <border>
      <left style="medium">
        <color theme="0" tint="-0.499984740745262"/>
      </left>
      <right/>
      <top style="medium">
        <color theme="0" tint="-0.499984740745262"/>
      </top>
      <bottom style="mediumDashed">
        <color theme="0" tint="-0.499984740745262"/>
      </bottom>
      <diagonal/>
    </border>
    <border>
      <left/>
      <right/>
      <top style="medium">
        <color theme="0" tint="-0.499984740745262"/>
      </top>
      <bottom style="mediumDashed">
        <color theme="0" tint="-0.499984740745262"/>
      </bottom>
      <diagonal/>
    </border>
    <border>
      <left/>
      <right style="medium">
        <color theme="0" tint="-0.499984740745262"/>
      </right>
      <top style="medium">
        <color theme="0" tint="-0.499984740745262"/>
      </top>
      <bottom style="mediumDashed">
        <color theme="0" tint="-0.499984740745262"/>
      </bottom>
      <diagonal/>
    </border>
    <border>
      <left style="medium">
        <color theme="0" tint="-0.499984740745262"/>
      </left>
      <right style="mediumDashed">
        <color theme="0" tint="-0.499984740745262"/>
      </right>
      <top style="medium">
        <color theme="0" tint="-0.499984740745262"/>
      </top>
      <bottom style="medium">
        <color theme="0" tint="-0.499984740745262"/>
      </bottom>
      <diagonal/>
    </border>
    <border>
      <left/>
      <right style="mediumDashed">
        <color theme="0" tint="-0.499984740745262"/>
      </right>
      <top style="medium">
        <color theme="0" tint="-0.499984740745262"/>
      </top>
      <bottom style="medium">
        <color theme="0" tint="-0.499984740745262"/>
      </bottom>
      <diagonal/>
    </border>
    <border>
      <left style="mediumDashed">
        <color theme="0" tint="-0.499984740745262"/>
      </left>
      <right style="mediumDashed">
        <color theme="0" tint="-0.499984740745262"/>
      </right>
      <top style="medium">
        <color theme="0" tint="-0.499984740745262"/>
      </top>
      <bottom style="medium">
        <color theme="0" tint="-0.499984740745262"/>
      </bottom>
      <diagonal/>
    </border>
    <border>
      <left style="mediumDashed">
        <color theme="0" tint="-0.499984740745262"/>
      </left>
      <right style="medium">
        <color theme="0" tint="-0.499984740745262"/>
      </right>
      <top style="medium">
        <color theme="0" tint="-0.499984740745262"/>
      </top>
      <bottom style="medium">
        <color theme="0" tint="-0.499984740745262"/>
      </bottom>
      <diagonal/>
    </border>
    <border>
      <left style="mediumDashed">
        <color theme="0" tint="-0.499984740745262"/>
      </left>
      <right/>
      <top style="medium">
        <color theme="0" tint="-0.499984740745262"/>
      </top>
      <bottom style="medium">
        <color theme="0" tint="-0.499984740745262"/>
      </bottom>
      <diagonal/>
    </border>
    <border>
      <left/>
      <right/>
      <top/>
      <bottom style="thin">
        <color theme="3" tint="9.9978637043366805E-2"/>
      </bottom>
      <diagonal/>
    </border>
    <border>
      <left/>
      <right style="medium">
        <color theme="3"/>
      </right>
      <top/>
      <bottom/>
      <diagonal/>
    </border>
    <border>
      <left/>
      <right style="thin">
        <color theme="3" tint="9.9978637043366805E-2"/>
      </right>
      <top/>
      <bottom style="medium">
        <color theme="3"/>
      </bottom>
      <diagonal/>
    </border>
    <border>
      <left/>
      <right/>
      <top/>
      <bottom style="medium">
        <color theme="3"/>
      </bottom>
      <diagonal/>
    </border>
    <border>
      <left style="medium">
        <color theme="3"/>
      </left>
      <right/>
      <top/>
      <bottom/>
      <diagonal/>
    </border>
    <border>
      <left style="medium">
        <color theme="3"/>
      </left>
      <right/>
      <top/>
      <bottom style="medium">
        <color theme="8" tint="-0.499984740745262"/>
      </bottom>
      <diagonal/>
    </border>
    <border>
      <left style="medium">
        <color theme="3"/>
      </left>
      <right/>
      <top/>
      <bottom style="medium">
        <color theme="3"/>
      </bottom>
      <diagonal/>
    </border>
    <border>
      <left/>
      <right style="medium">
        <color theme="3"/>
      </right>
      <top/>
      <bottom style="medium">
        <color theme="3"/>
      </bottom>
      <diagonal/>
    </border>
    <border>
      <left/>
      <right style="medium">
        <color theme="8" tint="-0.499984740745262"/>
      </right>
      <top/>
      <bottom style="medium">
        <color theme="3"/>
      </bottom>
      <diagonal/>
    </border>
    <border>
      <left style="medium">
        <color theme="8" tint="-0.499984740745262"/>
      </left>
      <right/>
      <top style="medium">
        <color theme="3"/>
      </top>
      <bottom/>
      <diagonal/>
    </border>
    <border>
      <left/>
      <right style="medium">
        <color theme="8" tint="-0.499984740745262"/>
      </right>
      <top style="medium">
        <color theme="3"/>
      </top>
      <bottom/>
      <diagonal/>
    </border>
    <border>
      <left style="medium">
        <color theme="8" tint="-0.499984740745262"/>
      </left>
      <right/>
      <top/>
      <bottom style="medium">
        <color theme="3"/>
      </bottom>
      <diagonal/>
    </border>
    <border>
      <left/>
      <right style="medium">
        <color theme="3"/>
      </right>
      <top style="medium">
        <color theme="3"/>
      </top>
      <bottom style="medium">
        <color theme="3"/>
      </bottom>
      <diagonal/>
    </border>
    <border>
      <left/>
      <right/>
      <top style="medium">
        <color theme="3"/>
      </top>
      <bottom/>
      <diagonal/>
    </border>
    <border>
      <left/>
      <right style="medium">
        <color theme="3"/>
      </right>
      <top style="medium">
        <color theme="3"/>
      </top>
      <bottom/>
      <diagonal/>
    </border>
    <border>
      <left style="thin">
        <color theme="3" tint="9.9978637043366805E-2"/>
      </left>
      <right/>
      <top style="medium">
        <color theme="3"/>
      </top>
      <bottom/>
      <diagonal/>
    </border>
    <border>
      <left style="medium">
        <color theme="3"/>
      </left>
      <right/>
      <top style="medium">
        <color theme="3"/>
      </top>
      <bottom/>
      <diagonal/>
    </border>
    <border>
      <left/>
      <right style="thin">
        <color theme="3" tint="9.9978637043366805E-2"/>
      </right>
      <top style="medium">
        <color theme="3"/>
      </top>
      <bottom/>
      <diagonal/>
    </border>
    <border>
      <left style="thin">
        <color theme="3" tint="9.9978637043366805E-2"/>
      </left>
      <right/>
      <top/>
      <bottom style="medium">
        <color theme="3"/>
      </bottom>
      <diagonal/>
    </border>
    <border>
      <left/>
      <right style="medium">
        <color theme="3"/>
      </right>
      <top style="medium">
        <color theme="8" tint="-0.499984740745262"/>
      </top>
      <bottom/>
      <diagonal/>
    </border>
    <border>
      <left style="medium">
        <color theme="3"/>
      </left>
      <right/>
      <top style="medium">
        <color theme="3"/>
      </top>
      <bottom style="medium">
        <color theme="3"/>
      </bottom>
      <diagonal/>
    </border>
    <border>
      <left/>
      <right/>
      <top style="medium">
        <color theme="3"/>
      </top>
      <bottom style="medium">
        <color theme="3"/>
      </bottom>
      <diagonal/>
    </border>
    <border>
      <left style="medium">
        <color theme="3"/>
      </left>
      <right style="medium">
        <color theme="8" tint="-0.499984740745262"/>
      </right>
      <top style="medium">
        <color theme="3"/>
      </top>
      <bottom/>
      <diagonal/>
    </border>
    <border>
      <left style="medium">
        <color theme="3"/>
      </left>
      <right style="medium">
        <color theme="8" tint="-0.499984740745262"/>
      </right>
      <top style="medium">
        <color theme="3"/>
      </top>
      <bottom style="medium">
        <color theme="3"/>
      </bottom>
      <diagonal/>
    </border>
    <border>
      <left style="medium">
        <color theme="3"/>
      </left>
      <right/>
      <top style="medium">
        <color theme="0" tint="-0.499984740745262"/>
      </top>
      <bottom style="medium">
        <color theme="0" tint="-0.499984740745262"/>
      </bottom>
      <diagonal/>
    </border>
    <border>
      <left style="medium">
        <color theme="3"/>
      </left>
      <right/>
      <top style="medium">
        <color theme="0" tint="-0.499984740745262"/>
      </top>
      <bottom/>
      <diagonal/>
    </border>
    <border>
      <left style="medium">
        <color theme="3"/>
      </left>
      <right/>
      <top/>
      <bottom style="medium">
        <color theme="0" tint="-0.499984740745262"/>
      </bottom>
      <diagonal/>
    </border>
    <border>
      <left style="medium">
        <color theme="8" tint="-0.499984740745262"/>
      </left>
      <right/>
      <top style="medium">
        <color theme="3"/>
      </top>
      <bottom style="medium">
        <color theme="3"/>
      </bottom>
      <diagonal/>
    </border>
    <border>
      <left style="medium">
        <color theme="3"/>
      </left>
      <right/>
      <top style="mediumDashed">
        <color theme="3"/>
      </top>
      <bottom style="medium">
        <color theme="3"/>
      </bottom>
      <diagonal/>
    </border>
    <border>
      <left/>
      <right/>
      <top style="mediumDashed">
        <color theme="3"/>
      </top>
      <bottom style="medium">
        <color theme="3"/>
      </bottom>
      <diagonal/>
    </border>
    <border>
      <left/>
      <right style="medium">
        <color theme="3"/>
      </right>
      <top style="mediumDashed">
        <color theme="3"/>
      </top>
      <bottom style="medium">
        <color theme="3"/>
      </bottom>
      <diagonal/>
    </border>
    <border>
      <left style="medium">
        <color theme="3"/>
      </left>
      <right/>
      <top style="thin">
        <color theme="3" tint="9.9978637043366805E-2"/>
      </top>
      <bottom style="mediumDashed">
        <color theme="3"/>
      </bottom>
      <diagonal/>
    </border>
    <border>
      <left/>
      <right/>
      <top style="thin">
        <color theme="3" tint="9.9978637043366805E-2"/>
      </top>
      <bottom style="mediumDashed">
        <color theme="3"/>
      </bottom>
      <diagonal/>
    </border>
    <border>
      <left/>
      <right style="medium">
        <color theme="3"/>
      </right>
      <top style="thin">
        <color theme="3" tint="9.9978637043366805E-2"/>
      </top>
      <bottom style="mediumDashed">
        <color theme="3"/>
      </bottom>
      <diagonal/>
    </border>
    <border>
      <left style="medium">
        <color theme="3"/>
      </left>
      <right/>
      <top style="medium">
        <color theme="3"/>
      </top>
      <bottom style="mediumDashed">
        <color theme="3"/>
      </bottom>
      <diagonal/>
    </border>
    <border>
      <left/>
      <right/>
      <top style="medium">
        <color theme="3"/>
      </top>
      <bottom style="mediumDashed">
        <color theme="3"/>
      </bottom>
      <diagonal/>
    </border>
    <border>
      <left/>
      <right style="medium">
        <color theme="3"/>
      </right>
      <top style="medium">
        <color theme="3"/>
      </top>
      <bottom style="mediumDashed">
        <color theme="3"/>
      </bottom>
      <diagonal/>
    </border>
    <border>
      <left style="medium">
        <color theme="3"/>
      </left>
      <right style="mediumDashed">
        <color theme="3"/>
      </right>
      <top style="medium">
        <color theme="3"/>
      </top>
      <bottom style="medium">
        <color theme="3"/>
      </bottom>
      <diagonal/>
    </border>
    <border>
      <left/>
      <right style="mediumDashed">
        <color theme="3"/>
      </right>
      <top style="medium">
        <color theme="3"/>
      </top>
      <bottom style="medium">
        <color theme="3"/>
      </bottom>
      <diagonal/>
    </border>
    <border>
      <left style="medium">
        <color theme="8" tint="-0.499984740745262"/>
      </left>
      <right style="mediumDashed">
        <color theme="3"/>
      </right>
      <top style="medium">
        <color theme="8" tint="-0.499984740745262"/>
      </top>
      <bottom style="medium">
        <color theme="8" tint="-0.499984740745262"/>
      </bottom>
      <diagonal/>
    </border>
    <border>
      <left style="medium">
        <color theme="8" tint="-0.499984740745262"/>
      </left>
      <right style="mediumDashed">
        <color theme="3"/>
      </right>
      <top/>
      <bottom/>
      <diagonal/>
    </border>
    <border>
      <left style="medium">
        <color theme="8" tint="-0.499984740745262"/>
      </left>
      <right style="mediumDashed">
        <color theme="3"/>
      </right>
      <top style="medium">
        <color theme="8" tint="-0.499984740745262"/>
      </top>
      <bottom/>
      <diagonal/>
    </border>
    <border>
      <left style="medium">
        <color theme="3"/>
      </left>
      <right style="mediumDashed">
        <color theme="3"/>
      </right>
      <top style="medium">
        <color theme="3"/>
      </top>
      <bottom/>
      <diagonal/>
    </border>
    <border>
      <left style="mediumDashed">
        <color theme="3"/>
      </left>
      <right style="mediumDashed">
        <color theme="3"/>
      </right>
      <top style="medium">
        <color theme="3"/>
      </top>
      <bottom style="medium">
        <color theme="3"/>
      </bottom>
      <diagonal/>
    </border>
    <border>
      <left/>
      <right style="mediumDashed">
        <color theme="3"/>
      </right>
      <top style="medium">
        <color theme="8" tint="-0.499984740745262"/>
      </top>
      <bottom style="medium">
        <color theme="8" tint="-0.499984740745262"/>
      </bottom>
      <diagonal/>
    </border>
    <border>
      <left style="mediumDashed">
        <color theme="3"/>
      </left>
      <right style="mediumDashed">
        <color theme="3"/>
      </right>
      <top style="medium">
        <color theme="8" tint="-0.499984740745262"/>
      </top>
      <bottom style="medium">
        <color theme="8" tint="-0.499984740745262"/>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6">
    <xf numFmtId="0" fontId="0" fillId="0" borderId="0" xfId="0"/>
    <xf numFmtId="0" fontId="17" fillId="34" borderId="0" xfId="0" applyFont="1" applyFill="1"/>
    <xf numFmtId="0" fontId="17" fillId="35" borderId="0" xfId="0" applyFont="1" applyFill="1"/>
    <xf numFmtId="0" fontId="0" fillId="0" borderId="0" xfId="0" pivotButton="1"/>
    <xf numFmtId="0" fontId="0" fillId="0" borderId="0" xfId="0" applyAlignment="1">
      <alignment horizontal="left"/>
    </xf>
    <xf numFmtId="0" fontId="18" fillId="0" borderId="0" xfId="0" applyFont="1" applyAlignment="1">
      <alignment horizontal="center" vertical="center"/>
    </xf>
    <xf numFmtId="0" fontId="18" fillId="0" borderId="0" xfId="0" applyFont="1" applyAlignment="1">
      <alignment vertical="center"/>
    </xf>
    <xf numFmtId="9" fontId="0" fillId="0" borderId="0" xfId="1" applyFont="1"/>
    <xf numFmtId="1" fontId="0" fillId="0" borderId="0" xfId="0" applyNumberFormat="1"/>
    <xf numFmtId="0" fontId="27" fillId="0" borderId="0" xfId="0" applyFont="1" applyAlignment="1">
      <alignment horizontal="center" vertical="center"/>
    </xf>
    <xf numFmtId="0" fontId="22" fillId="33" borderId="0" xfId="0" applyFont="1" applyFill="1" applyAlignment="1">
      <alignment horizontal="center" vertical="center"/>
    </xf>
    <xf numFmtId="164" fontId="0" fillId="0" borderId="0" xfId="1" applyNumberFormat="1" applyFont="1"/>
    <xf numFmtId="0" fontId="0" fillId="0" borderId="0" xfId="0" applyAlignment="1">
      <alignment vertical="center"/>
    </xf>
    <xf numFmtId="9" fontId="18" fillId="0" borderId="0" xfId="1" applyFont="1" applyAlignment="1">
      <alignment horizontal="center" vertical="center"/>
    </xf>
    <xf numFmtId="0" fontId="28" fillId="36" borderId="0" xfId="0" applyFont="1" applyFill="1" applyAlignment="1">
      <alignment horizontal="center" vertical="center"/>
    </xf>
    <xf numFmtId="0" fontId="27" fillId="37" borderId="0" xfId="0" applyFont="1" applyFill="1" applyAlignment="1">
      <alignment horizontal="center" vertical="center"/>
    </xf>
    <xf numFmtId="0" fontId="28" fillId="33" borderId="0" xfId="0" applyFont="1" applyFill="1" applyAlignment="1">
      <alignment horizontal="center" vertical="center"/>
    </xf>
    <xf numFmtId="0" fontId="19" fillId="0" borderId="0" xfId="0" applyFont="1" applyAlignment="1">
      <alignment horizontal="center" vertical="center"/>
    </xf>
    <xf numFmtId="0" fontId="18" fillId="0" borderId="0" xfId="0" applyFont="1" applyAlignment="1">
      <alignment horizontal="left" vertical="center"/>
    </xf>
    <xf numFmtId="0" fontId="0" fillId="0" borderId="0" xfId="0" applyAlignment="1">
      <alignment horizontal="center"/>
    </xf>
    <xf numFmtId="0" fontId="23" fillId="0" borderId="0" xfId="0" applyFont="1" applyAlignment="1">
      <alignment vertical="center"/>
    </xf>
    <xf numFmtId="0" fontId="23" fillId="0" borderId="0" xfId="0" applyFont="1" applyAlignment="1">
      <alignment horizontal="center" vertical="center"/>
    </xf>
    <xf numFmtId="0" fontId="28" fillId="0" borderId="0" xfId="0" applyFont="1" applyAlignment="1">
      <alignment horizontal="center" vertical="center"/>
    </xf>
    <xf numFmtId="9" fontId="18" fillId="0" borderId="0" xfId="1" applyFont="1" applyFill="1" applyAlignment="1">
      <alignment horizontal="center" vertical="center"/>
    </xf>
    <xf numFmtId="0" fontId="22" fillId="0" borderId="0" xfId="0" applyFont="1" applyAlignment="1">
      <alignment vertical="center"/>
    </xf>
    <xf numFmtId="0" fontId="22" fillId="0" borderId="0" xfId="0" applyFont="1" applyAlignment="1">
      <alignment horizontal="center" vertical="center"/>
    </xf>
    <xf numFmtId="0" fontId="18" fillId="0" borderId="0" xfId="0" applyFont="1"/>
    <xf numFmtId="9" fontId="19" fillId="0" borderId="0" xfId="0" applyNumberFormat="1" applyFont="1" applyAlignment="1">
      <alignment horizontal="center" vertical="center"/>
    </xf>
    <xf numFmtId="14" fontId="0" fillId="0" borderId="0" xfId="0" applyNumberFormat="1"/>
    <xf numFmtId="0" fontId="18" fillId="0" borderId="14" xfId="0" applyFont="1" applyBorder="1" applyAlignment="1">
      <alignment horizontal="center" vertical="center"/>
    </xf>
    <xf numFmtId="0" fontId="30" fillId="0" borderId="0" xfId="0" applyFont="1"/>
    <xf numFmtId="0" fontId="25" fillId="0" borderId="0" xfId="0" applyFont="1" applyAlignment="1">
      <alignment vertical="center"/>
    </xf>
    <xf numFmtId="0" fontId="18" fillId="0" borderId="17" xfId="0" applyFont="1" applyBorder="1" applyAlignment="1">
      <alignment horizontal="center" vertical="center"/>
    </xf>
    <xf numFmtId="0" fontId="18" fillId="0" borderId="11" xfId="0" applyFont="1" applyBorder="1" applyAlignment="1">
      <alignment horizontal="center" vertical="center"/>
    </xf>
    <xf numFmtId="0" fontId="23" fillId="35" borderId="0" xfId="0" applyFont="1" applyFill="1" applyAlignment="1">
      <alignment vertical="center"/>
    </xf>
    <xf numFmtId="9" fontId="17" fillId="35" borderId="0" xfId="1" applyFont="1" applyFill="1"/>
    <xf numFmtId="0" fontId="17" fillId="39" borderId="0" xfId="0" applyFont="1" applyFill="1"/>
    <xf numFmtId="0" fontId="21" fillId="0" borderId="0" xfId="0" applyFont="1" applyAlignment="1">
      <alignment vertical="center"/>
    </xf>
    <xf numFmtId="9" fontId="33" fillId="0" borderId="0" xfId="0" applyNumberFormat="1" applyFont="1"/>
    <xf numFmtId="2" fontId="18" fillId="0" borderId="0" xfId="1" applyNumberFormat="1" applyFont="1" applyAlignment="1">
      <alignment horizontal="center" vertical="center"/>
    </xf>
    <xf numFmtId="0" fontId="19" fillId="0" borderId="0" xfId="0" applyFont="1" applyAlignment="1">
      <alignment vertical="center"/>
    </xf>
    <xf numFmtId="0" fontId="29" fillId="0" borderId="0" xfId="0" applyFont="1" applyAlignment="1">
      <alignment vertical="center"/>
    </xf>
    <xf numFmtId="0" fontId="18" fillId="0" borderId="13" xfId="0" applyFont="1" applyBorder="1" applyAlignment="1">
      <alignment horizontal="center" vertical="center"/>
    </xf>
    <xf numFmtId="0" fontId="18" fillId="0" borderId="15" xfId="0" applyFont="1" applyBorder="1" applyAlignment="1">
      <alignment horizontal="center" vertical="center"/>
    </xf>
    <xf numFmtId="0" fontId="18" fillId="0" borderId="10" xfId="0" applyFont="1" applyBorder="1" applyAlignment="1">
      <alignment horizontal="center" vertical="center"/>
    </xf>
    <xf numFmtId="0" fontId="18" fillId="0" borderId="19" xfId="0" applyFont="1" applyBorder="1" applyAlignment="1">
      <alignment horizontal="center" vertical="center"/>
    </xf>
    <xf numFmtId="0" fontId="18" fillId="0" borderId="22" xfId="0" applyFont="1" applyBorder="1" applyAlignment="1">
      <alignment horizontal="center" vertical="center"/>
    </xf>
    <xf numFmtId="0" fontId="18" fillId="0" borderId="14" xfId="0" applyFont="1" applyBorder="1" applyAlignment="1">
      <alignment vertical="center"/>
    </xf>
    <xf numFmtId="0" fontId="26" fillId="0" borderId="14" xfId="0" applyFont="1" applyBorder="1" applyAlignment="1">
      <alignment vertical="center"/>
    </xf>
    <xf numFmtId="0" fontId="18" fillId="0" borderId="23" xfId="0" applyFont="1" applyBorder="1" applyAlignment="1">
      <alignment horizontal="center" vertical="center"/>
    </xf>
    <xf numFmtId="0" fontId="26" fillId="0" borderId="23" xfId="0" applyFont="1" applyBorder="1" applyAlignment="1">
      <alignment vertical="center"/>
    </xf>
    <xf numFmtId="9" fontId="18" fillId="0" borderId="19" xfId="1" applyFont="1" applyBorder="1" applyAlignment="1">
      <alignment horizontal="center" vertical="center"/>
    </xf>
    <xf numFmtId="1" fontId="18" fillId="0" borderId="20" xfId="0" applyNumberFormat="1" applyFont="1" applyBorder="1" applyAlignment="1">
      <alignment horizontal="center" vertical="center"/>
    </xf>
    <xf numFmtId="9" fontId="18" fillId="0" borderId="19" xfId="0" applyNumberFormat="1" applyFont="1" applyBorder="1" applyAlignment="1">
      <alignment horizontal="center" vertical="center"/>
    </xf>
    <xf numFmtId="9" fontId="0" fillId="0" borderId="0" xfId="1" applyFont="1" applyAlignment="1">
      <alignment horizontal="right"/>
    </xf>
    <xf numFmtId="9" fontId="0" fillId="0" borderId="0" xfId="1" applyFont="1" applyFill="1"/>
    <xf numFmtId="0" fontId="17" fillId="0" borderId="0" xfId="0" applyFont="1"/>
    <xf numFmtId="9" fontId="17" fillId="0" borderId="0" xfId="1" applyFont="1" applyFill="1"/>
    <xf numFmtId="9" fontId="17" fillId="39" borderId="0" xfId="1" applyFont="1" applyFill="1"/>
    <xf numFmtId="9" fontId="0" fillId="0" borderId="0" xfId="1" applyFont="1" applyFill="1" applyAlignment="1">
      <alignment horizontal="right"/>
    </xf>
    <xf numFmtId="0" fontId="37" fillId="33" borderId="0" xfId="0" applyFont="1" applyFill="1" applyAlignment="1">
      <alignment horizontal="center" vertical="center"/>
    </xf>
    <xf numFmtId="0" fontId="18" fillId="0" borderId="30" xfId="0" applyFont="1" applyBorder="1" applyAlignment="1">
      <alignment horizontal="center" vertical="center"/>
    </xf>
    <xf numFmtId="0" fontId="18" fillId="0" borderId="26" xfId="0" applyFont="1" applyBorder="1" applyAlignment="1">
      <alignment horizontal="center" vertical="center"/>
    </xf>
    <xf numFmtId="0" fontId="18" fillId="0" borderId="28" xfId="0" applyFont="1" applyBorder="1" applyAlignment="1">
      <alignment horizontal="center" vertical="center"/>
    </xf>
    <xf numFmtId="0" fontId="18" fillId="0" borderId="33" xfId="0" applyFont="1" applyBorder="1" applyAlignment="1">
      <alignment horizontal="center" vertical="center"/>
    </xf>
    <xf numFmtId="0" fontId="18" fillId="0" borderId="27" xfId="0" applyFont="1" applyBorder="1" applyAlignment="1">
      <alignment horizontal="center" vertical="center"/>
    </xf>
    <xf numFmtId="0" fontId="23" fillId="0" borderId="28" xfId="0" applyFont="1" applyBorder="1" applyAlignment="1">
      <alignment vertical="center"/>
    </xf>
    <xf numFmtId="1" fontId="18" fillId="0" borderId="29" xfId="0" applyNumberFormat="1" applyFont="1" applyBorder="1" applyAlignment="1">
      <alignment horizontal="center" vertical="center"/>
    </xf>
    <xf numFmtId="9" fontId="18" fillId="0" borderId="33" xfId="1" applyFont="1" applyBorder="1" applyAlignment="1">
      <alignment horizontal="center" vertical="center"/>
    </xf>
    <xf numFmtId="0" fontId="18" fillId="0" borderId="34" xfId="0" applyFont="1" applyBorder="1" applyAlignment="1">
      <alignment horizontal="center" vertical="center"/>
    </xf>
    <xf numFmtId="0" fontId="18" fillId="0" borderId="37" xfId="0" applyFont="1" applyBorder="1" applyAlignment="1">
      <alignment horizontal="center" vertical="center"/>
    </xf>
    <xf numFmtId="0" fontId="18" fillId="0" borderId="38" xfId="0" applyFont="1" applyBorder="1" applyAlignment="1">
      <alignment horizontal="center" vertical="center"/>
    </xf>
    <xf numFmtId="0" fontId="23" fillId="0" borderId="10" xfId="0" applyFont="1" applyBorder="1" applyAlignment="1">
      <alignment vertical="center"/>
    </xf>
    <xf numFmtId="0" fontId="23" fillId="0" borderId="11" xfId="0" applyFont="1" applyBorder="1" applyAlignment="1">
      <alignment vertical="center"/>
    </xf>
    <xf numFmtId="0" fontId="23" fillId="0" borderId="12" xfId="0" applyFont="1" applyBorder="1" applyAlignment="1">
      <alignment vertical="center"/>
    </xf>
    <xf numFmtId="9" fontId="18" fillId="0" borderId="24" xfId="1" applyFont="1" applyBorder="1" applyAlignment="1">
      <alignment horizontal="center" vertical="center"/>
    </xf>
    <xf numFmtId="1" fontId="18" fillId="0" borderId="19" xfId="0" applyNumberFormat="1" applyFont="1" applyBorder="1" applyAlignment="1">
      <alignment horizontal="center" vertical="center"/>
    </xf>
    <xf numFmtId="0" fontId="18" fillId="0" borderId="47" xfId="0" applyFont="1" applyBorder="1" applyAlignment="1">
      <alignment horizontal="center" vertical="center"/>
    </xf>
    <xf numFmtId="1" fontId="18" fillId="0" borderId="49" xfId="0" applyNumberFormat="1" applyFont="1" applyBorder="1" applyAlignment="1">
      <alignment horizontal="center" vertical="center"/>
    </xf>
    <xf numFmtId="9" fontId="18" fillId="0" borderId="48" xfId="1" applyFont="1" applyBorder="1" applyAlignment="1">
      <alignment horizontal="center" vertical="center"/>
    </xf>
    <xf numFmtId="9" fontId="18" fillId="0" borderId="48" xfId="0" applyNumberFormat="1" applyFont="1" applyBorder="1" applyAlignment="1">
      <alignment horizontal="center" vertical="center"/>
    </xf>
    <xf numFmtId="1" fontId="18" fillId="0" borderId="47" xfId="0" applyNumberFormat="1" applyFont="1" applyBorder="1" applyAlignment="1">
      <alignment horizontal="center" vertical="center"/>
    </xf>
    <xf numFmtId="1" fontId="18" fillId="0" borderId="45" xfId="0" applyNumberFormat="1" applyFont="1" applyBorder="1" applyAlignment="1">
      <alignment horizontal="center" vertical="center"/>
    </xf>
    <xf numFmtId="1" fontId="17" fillId="39" borderId="0" xfId="0" applyNumberFormat="1" applyFont="1" applyFill="1"/>
    <xf numFmtId="9" fontId="18" fillId="0" borderId="0" xfId="1" applyFont="1" applyAlignment="1">
      <alignment vertical="center"/>
    </xf>
    <xf numFmtId="0" fontId="28" fillId="40" borderId="0" xfId="0" applyFont="1" applyFill="1" applyAlignment="1">
      <alignment horizontal="center" vertical="center"/>
    </xf>
    <xf numFmtId="0" fontId="18" fillId="0" borderId="51" xfId="0" applyFont="1" applyBorder="1" applyAlignment="1">
      <alignment horizontal="center" vertical="center"/>
    </xf>
    <xf numFmtId="0" fontId="18" fillId="0" borderId="53" xfId="0" applyFont="1" applyBorder="1" applyAlignment="1">
      <alignment horizontal="center" vertical="center"/>
    </xf>
    <xf numFmtId="0" fontId="18" fillId="0" borderId="54" xfId="0" applyFont="1" applyBorder="1" applyAlignment="1">
      <alignment horizontal="center" vertical="center"/>
    </xf>
    <xf numFmtId="0" fontId="18" fillId="0" borderId="56" xfId="0" applyFont="1" applyBorder="1" applyAlignment="1">
      <alignment horizontal="center" vertical="center"/>
    </xf>
    <xf numFmtId="0" fontId="18" fillId="0" borderId="57" xfId="0" applyFont="1" applyBorder="1" applyAlignment="1">
      <alignment horizontal="center" vertical="center"/>
    </xf>
    <xf numFmtId="0" fontId="19" fillId="0" borderId="56" xfId="0" applyFont="1" applyBorder="1" applyAlignment="1">
      <alignment horizontal="center" vertical="center"/>
    </xf>
    <xf numFmtId="0" fontId="19" fillId="0" borderId="53" xfId="0" applyFont="1" applyBorder="1" applyAlignment="1">
      <alignment horizontal="center" vertical="center"/>
    </xf>
    <xf numFmtId="9" fontId="19" fillId="0" borderId="53" xfId="1" applyFont="1" applyBorder="1" applyAlignment="1">
      <alignment horizontal="center" vertical="center"/>
    </xf>
    <xf numFmtId="0" fontId="18" fillId="0" borderId="69" xfId="0" applyFont="1" applyBorder="1" applyAlignment="1">
      <alignment horizontal="center" vertical="center"/>
    </xf>
    <xf numFmtId="0" fontId="18" fillId="0" borderId="63" xfId="0" applyFont="1" applyBorder="1" applyAlignment="1">
      <alignment vertical="center"/>
    </xf>
    <xf numFmtId="0" fontId="18" fillId="0" borderId="64" xfId="0" applyFont="1" applyBorder="1" applyAlignment="1">
      <alignment vertical="center"/>
    </xf>
    <xf numFmtId="0" fontId="18" fillId="0" borderId="51" xfId="0" applyFont="1" applyBorder="1" applyAlignment="1">
      <alignment vertical="center"/>
    </xf>
    <xf numFmtId="0" fontId="18" fillId="0" borderId="58" xfId="0" applyFont="1" applyBorder="1" applyAlignment="1">
      <alignment horizontal="center" vertical="center"/>
    </xf>
    <xf numFmtId="0" fontId="18" fillId="0" borderId="72" xfId="0" applyFont="1" applyBorder="1" applyAlignment="1">
      <alignment horizontal="center" vertical="center"/>
    </xf>
    <xf numFmtId="0" fontId="18" fillId="0" borderId="73" xfId="0" applyFont="1" applyBorder="1" applyAlignment="1">
      <alignment horizontal="center" vertical="center"/>
    </xf>
    <xf numFmtId="0" fontId="18" fillId="0" borderId="71" xfId="0" applyFont="1" applyBorder="1" applyAlignment="1">
      <alignment horizontal="center" vertical="center"/>
    </xf>
    <xf numFmtId="0" fontId="23" fillId="35" borderId="33" xfId="0" applyFont="1" applyFill="1" applyBorder="1" applyAlignment="1">
      <alignment vertical="center"/>
    </xf>
    <xf numFmtId="9" fontId="18" fillId="0" borderId="62" xfId="0" applyNumberFormat="1" applyFont="1" applyBorder="1" applyAlignment="1">
      <alignment horizontal="center" vertical="center"/>
    </xf>
    <xf numFmtId="0" fontId="18" fillId="0" borderId="88" xfId="0" applyFont="1" applyBorder="1" applyAlignment="1">
      <alignment horizontal="center" vertical="center"/>
    </xf>
    <xf numFmtId="0" fontId="18" fillId="0" borderId="87" xfId="0" applyFont="1" applyBorder="1" applyAlignment="1">
      <alignment horizontal="center" vertical="center"/>
    </xf>
    <xf numFmtId="0" fontId="18" fillId="0" borderId="89" xfId="0" applyFont="1" applyBorder="1" applyAlignment="1">
      <alignment horizontal="center" vertical="center"/>
    </xf>
    <xf numFmtId="0" fontId="18" fillId="0" borderId="90" xfId="0" applyFont="1" applyBorder="1" applyAlignment="1">
      <alignment horizontal="center" vertical="center"/>
    </xf>
    <xf numFmtId="0" fontId="18" fillId="0" borderId="91" xfId="0" applyFont="1" applyBorder="1" applyAlignment="1">
      <alignment horizontal="center" vertical="center"/>
    </xf>
    <xf numFmtId="9" fontId="18" fillId="0" borderId="87" xfId="1" applyFont="1" applyBorder="1" applyAlignment="1">
      <alignment horizontal="center" vertical="center"/>
    </xf>
    <xf numFmtId="0" fontId="18" fillId="0" borderId="92" xfId="0" applyFont="1" applyBorder="1" applyAlignment="1">
      <alignment horizontal="center" vertical="center"/>
    </xf>
    <xf numFmtId="1" fontId="18" fillId="0" borderId="87" xfId="0" applyNumberFormat="1" applyFont="1" applyBorder="1" applyAlignment="1">
      <alignment horizontal="center" vertical="center"/>
    </xf>
    <xf numFmtId="1" fontId="18" fillId="0" borderId="93" xfId="0" applyNumberFormat="1" applyFont="1" applyBorder="1" applyAlignment="1">
      <alignment horizontal="center" vertical="center"/>
    </xf>
    <xf numFmtId="0" fontId="18" fillId="0" borderId="93" xfId="0" applyFont="1" applyBorder="1" applyAlignment="1">
      <alignment horizontal="center" vertical="center"/>
    </xf>
    <xf numFmtId="1" fontId="18" fillId="0" borderId="95" xfId="0" applyNumberFormat="1" applyFont="1" applyBorder="1" applyAlignment="1">
      <alignment horizontal="center" vertical="center"/>
    </xf>
    <xf numFmtId="9" fontId="0" fillId="0" borderId="0" xfId="0" applyNumberFormat="1"/>
    <xf numFmtId="9" fontId="17" fillId="34" borderId="0" xfId="0" applyNumberFormat="1" applyFont="1" applyFill="1"/>
    <xf numFmtId="0" fontId="22" fillId="40" borderId="0" xfId="0" applyFont="1" applyFill="1" applyAlignment="1">
      <alignment vertical="center"/>
    </xf>
    <xf numFmtId="9" fontId="18" fillId="0" borderId="0" xfId="1" applyFont="1" applyFill="1" applyBorder="1" applyAlignment="1">
      <alignment horizontal="center" vertical="center"/>
    </xf>
    <xf numFmtId="0" fontId="34" fillId="0" borderId="20" xfId="0" applyFont="1" applyBorder="1" applyAlignment="1">
      <alignment horizontal="center" vertical="center"/>
    </xf>
    <xf numFmtId="0" fontId="34" fillId="0" borderId="46" xfId="0" applyFont="1" applyBorder="1" applyAlignment="1">
      <alignment horizontal="center" vertical="center"/>
    </xf>
    <xf numFmtId="0" fontId="23" fillId="40" borderId="70" xfId="0" applyFont="1" applyFill="1" applyBorder="1" applyAlignment="1">
      <alignment horizontal="center" vertical="center"/>
    </xf>
    <xf numFmtId="0" fontId="23" fillId="40" borderId="71" xfId="0" applyFont="1" applyFill="1" applyBorder="1" applyAlignment="1">
      <alignment horizontal="center" vertical="center"/>
    </xf>
    <xf numFmtId="0" fontId="23" fillId="40" borderId="62" xfId="0" applyFont="1" applyFill="1" applyBorder="1" applyAlignment="1">
      <alignment horizontal="center" vertical="center"/>
    </xf>
    <xf numFmtId="0" fontId="23" fillId="40" borderId="32" xfId="0" applyFont="1" applyFill="1" applyBorder="1" applyAlignment="1">
      <alignment horizontal="center" vertical="center"/>
    </xf>
    <xf numFmtId="0" fontId="23" fillId="40" borderId="29" xfId="0" applyFont="1" applyFill="1" applyBorder="1" applyAlignment="1">
      <alignment horizontal="center" vertical="center"/>
    </xf>
    <xf numFmtId="0" fontId="23" fillId="40" borderId="33" xfId="0" applyFont="1" applyFill="1" applyBorder="1" applyAlignment="1">
      <alignment horizontal="center" vertical="center"/>
    </xf>
    <xf numFmtId="0" fontId="18" fillId="0" borderId="32" xfId="0" applyFont="1" applyBorder="1" applyAlignment="1">
      <alignment horizontal="center" vertical="center"/>
    </xf>
    <xf numFmtId="0" fontId="18" fillId="0" borderId="94" xfId="0" applyFont="1" applyBorder="1" applyAlignment="1">
      <alignment horizontal="center" vertical="center"/>
    </xf>
    <xf numFmtId="0" fontId="34" fillId="0" borderId="32" xfId="0" applyFont="1" applyBorder="1" applyAlignment="1">
      <alignment horizontal="center" vertical="center"/>
    </xf>
    <xf numFmtId="0" fontId="34" fillId="0" borderId="94" xfId="0" applyFont="1" applyBorder="1" applyAlignment="1">
      <alignment horizontal="center" vertical="center"/>
    </xf>
    <xf numFmtId="0" fontId="23" fillId="33" borderId="20" xfId="0" applyFont="1" applyFill="1" applyBorder="1" applyAlignment="1">
      <alignment horizontal="center" vertical="center"/>
    </xf>
    <xf numFmtId="0" fontId="23" fillId="33" borderId="18" xfId="0" applyFont="1" applyFill="1" applyBorder="1" applyAlignment="1">
      <alignment horizontal="center" vertical="center"/>
    </xf>
    <xf numFmtId="0" fontId="23" fillId="33" borderId="19" xfId="0" applyFont="1" applyFill="1" applyBorder="1" applyAlignment="1">
      <alignment horizontal="center" vertical="center"/>
    </xf>
    <xf numFmtId="0" fontId="18" fillId="0" borderId="20" xfId="0" applyFont="1" applyBorder="1" applyAlignment="1">
      <alignment horizontal="center" vertical="center"/>
    </xf>
    <xf numFmtId="0" fontId="18" fillId="0" borderId="46" xfId="0" applyFont="1" applyBorder="1" applyAlignment="1">
      <alignment horizontal="center" vertical="center"/>
    </xf>
    <xf numFmtId="0" fontId="22" fillId="33" borderId="20" xfId="0" applyFont="1" applyFill="1" applyBorder="1" applyAlignment="1">
      <alignment horizontal="center" vertical="center"/>
    </xf>
    <xf numFmtId="0" fontId="22" fillId="33" borderId="19" xfId="0" applyFont="1" applyFill="1" applyBorder="1" applyAlignment="1">
      <alignment horizontal="center" vertical="center"/>
    </xf>
    <xf numFmtId="0" fontId="18" fillId="0" borderId="18" xfId="0" applyFont="1" applyBorder="1" applyAlignment="1">
      <alignment horizontal="center" vertical="center"/>
    </xf>
    <xf numFmtId="0" fontId="18" fillId="0" borderId="21" xfId="0" applyFont="1" applyBorder="1" applyAlignment="1">
      <alignment horizontal="center" vertical="center"/>
    </xf>
    <xf numFmtId="0" fontId="28" fillId="40" borderId="66" xfId="0" applyFont="1" applyFill="1" applyBorder="1" applyAlignment="1">
      <alignment horizontal="center" vertical="center"/>
    </xf>
    <xf numFmtId="0" fontId="23" fillId="40" borderId="63" xfId="0" applyFont="1" applyFill="1" applyBorder="1" applyAlignment="1">
      <alignment horizontal="center" vertical="center"/>
    </xf>
    <xf numFmtId="0" fontId="23" fillId="40" borderId="67" xfId="0" applyFont="1" applyFill="1" applyBorder="1" applyAlignment="1">
      <alignment horizontal="center" vertical="center"/>
    </xf>
    <xf numFmtId="0" fontId="23" fillId="40" borderId="56" xfId="0" applyFont="1" applyFill="1" applyBorder="1" applyAlignment="1">
      <alignment horizontal="center" vertical="center"/>
    </xf>
    <xf numFmtId="0" fontId="23" fillId="40" borderId="53" xfId="0" applyFont="1" applyFill="1" applyBorder="1" applyAlignment="1">
      <alignment horizontal="center" vertical="center"/>
    </xf>
    <xf numFmtId="0" fontId="23" fillId="40" borderId="52" xfId="0" applyFont="1" applyFill="1" applyBorder="1" applyAlignment="1">
      <alignment horizontal="center" vertical="center"/>
    </xf>
    <xf numFmtId="164" fontId="23" fillId="40" borderId="63" xfId="1" applyNumberFormat="1" applyFont="1" applyFill="1" applyBorder="1" applyAlignment="1">
      <alignment horizontal="center" vertical="center"/>
    </xf>
    <xf numFmtId="164" fontId="23" fillId="40" borderId="64" xfId="1" applyNumberFormat="1" applyFont="1" applyFill="1" applyBorder="1" applyAlignment="1">
      <alignment horizontal="center" vertical="center"/>
    </xf>
    <xf numFmtId="164" fontId="23" fillId="40" borderId="53" xfId="1" applyNumberFormat="1" applyFont="1" applyFill="1" applyBorder="1" applyAlignment="1">
      <alignment horizontal="center" vertical="center"/>
    </xf>
    <xf numFmtId="164" fontId="23" fillId="40" borderId="57" xfId="1" applyNumberFormat="1" applyFont="1" applyFill="1" applyBorder="1" applyAlignment="1">
      <alignment horizontal="center" vertical="center"/>
    </xf>
    <xf numFmtId="164" fontId="23" fillId="33" borderId="10" xfId="0" applyNumberFormat="1" applyFont="1" applyFill="1" applyBorder="1" applyAlignment="1">
      <alignment horizontal="center" vertical="center"/>
    </xf>
    <xf numFmtId="164" fontId="23" fillId="33" borderId="35" xfId="0" applyNumberFormat="1" applyFont="1" applyFill="1" applyBorder="1" applyAlignment="1">
      <alignment horizontal="center" vertical="center"/>
    </xf>
    <xf numFmtId="164" fontId="23" fillId="33" borderId="15" xfId="0" applyNumberFormat="1" applyFont="1" applyFill="1" applyBorder="1" applyAlignment="1">
      <alignment horizontal="center" vertical="center"/>
    </xf>
    <xf numFmtId="164" fontId="23" fillId="33" borderId="36" xfId="0" applyNumberFormat="1" applyFont="1" applyFill="1" applyBorder="1" applyAlignment="1">
      <alignment horizontal="center" vertical="center"/>
    </xf>
    <xf numFmtId="0" fontId="28" fillId="33" borderId="11" xfId="0" applyFont="1" applyFill="1" applyBorder="1" applyAlignment="1">
      <alignment horizontal="center" vertical="center"/>
    </xf>
    <xf numFmtId="0" fontId="28" fillId="33" borderId="12" xfId="0" applyFont="1" applyFill="1" applyBorder="1" applyAlignment="1">
      <alignment horizontal="center" vertical="center"/>
    </xf>
    <xf numFmtId="0" fontId="28" fillId="33" borderId="16" xfId="0" applyFont="1" applyFill="1" applyBorder="1" applyAlignment="1">
      <alignment horizontal="center" vertical="center"/>
    </xf>
    <xf numFmtId="0" fontId="28" fillId="33" borderId="17" xfId="0" applyFont="1" applyFill="1" applyBorder="1" applyAlignment="1">
      <alignment horizontal="center" vertical="center"/>
    </xf>
    <xf numFmtId="0" fontId="22" fillId="33" borderId="18" xfId="0" applyFont="1" applyFill="1" applyBorder="1" applyAlignment="1">
      <alignment horizontal="center" vertical="center"/>
    </xf>
    <xf numFmtId="0" fontId="18" fillId="0" borderId="10" xfId="0" applyFont="1" applyBorder="1" applyAlignment="1">
      <alignment horizontal="center" vertical="center"/>
    </xf>
    <xf numFmtId="0" fontId="18" fillId="0" borderId="11" xfId="0" applyFont="1" applyBorder="1" applyAlignment="1">
      <alignment horizontal="center" vertical="center"/>
    </xf>
    <xf numFmtId="0" fontId="18" fillId="0" borderId="12" xfId="0" applyFont="1" applyBorder="1" applyAlignment="1">
      <alignment horizontal="center" vertical="center"/>
    </xf>
    <xf numFmtId="0" fontId="18" fillId="0" borderId="56" xfId="0" applyFont="1" applyBorder="1" applyAlignment="1">
      <alignment horizontal="center" vertical="center"/>
    </xf>
    <xf numFmtId="0" fontId="18" fillId="0" borderId="53" xfId="0" applyFont="1" applyBorder="1" applyAlignment="1">
      <alignment horizontal="center" vertical="center"/>
    </xf>
    <xf numFmtId="0" fontId="18" fillId="0" borderId="57" xfId="0" applyFont="1" applyBorder="1" applyAlignment="1">
      <alignment horizontal="center" vertical="center"/>
    </xf>
    <xf numFmtId="0" fontId="22" fillId="40" borderId="25" xfId="0" applyFont="1" applyFill="1" applyBorder="1" applyAlignment="1">
      <alignment horizontal="center" vertical="center"/>
    </xf>
    <xf numFmtId="0" fontId="22" fillId="40" borderId="51" xfId="0" applyFont="1" applyFill="1" applyBorder="1" applyAlignment="1">
      <alignment horizontal="center" vertical="center"/>
    </xf>
    <xf numFmtId="0" fontId="22" fillId="33" borderId="0" xfId="0" applyFont="1" applyFill="1" applyAlignment="1">
      <alignment horizontal="center" vertical="center"/>
    </xf>
    <xf numFmtId="0" fontId="18" fillId="0" borderId="39" xfId="0" applyFont="1" applyBorder="1" applyAlignment="1">
      <alignment horizontal="center" vertical="center"/>
    </xf>
    <xf numFmtId="0" fontId="18" fillId="0" borderId="40" xfId="0" applyFont="1" applyBorder="1" applyAlignment="1">
      <alignment horizontal="center" vertical="center"/>
    </xf>
    <xf numFmtId="0" fontId="18" fillId="0" borderId="41" xfId="0" applyFont="1" applyBorder="1" applyAlignment="1">
      <alignment horizontal="center" vertical="center"/>
    </xf>
    <xf numFmtId="0" fontId="31" fillId="40" borderId="71" xfId="0" applyFont="1" applyFill="1" applyBorder="1" applyAlignment="1">
      <alignment horizontal="center" vertical="center"/>
    </xf>
    <xf numFmtId="0" fontId="31" fillId="40" borderId="62" xfId="0" applyFont="1" applyFill="1" applyBorder="1" applyAlignment="1">
      <alignment horizontal="center" vertical="center"/>
    </xf>
    <xf numFmtId="0" fontId="18" fillId="0" borderId="84" xfId="0" applyFont="1" applyBorder="1" applyAlignment="1">
      <alignment horizontal="center" vertical="center"/>
    </xf>
    <xf numFmtId="0" fontId="18" fillId="0" borderId="85" xfId="0" applyFont="1" applyBorder="1" applyAlignment="1">
      <alignment horizontal="center" vertical="center"/>
    </xf>
    <xf numFmtId="0" fontId="18" fillId="0" borderId="86" xfId="0" applyFont="1" applyBorder="1" applyAlignment="1">
      <alignment horizontal="center" vertical="center"/>
    </xf>
    <xf numFmtId="0" fontId="35" fillId="40" borderId="59" xfId="0" applyFont="1" applyFill="1" applyBorder="1" applyAlignment="1">
      <alignment horizontal="center" vertical="center"/>
    </xf>
    <xf numFmtId="0" fontId="35" fillId="40" borderId="60" xfId="0" applyFont="1" applyFill="1" applyBorder="1" applyAlignment="1">
      <alignment horizontal="center" vertical="center"/>
    </xf>
    <xf numFmtId="0" fontId="35" fillId="40" borderId="61" xfId="0" applyFont="1" applyFill="1" applyBorder="1" applyAlignment="1">
      <alignment horizontal="center" vertical="center"/>
    </xf>
    <xf numFmtId="0" fontId="35" fillId="40" borderId="58" xfId="0" applyFont="1" applyFill="1" applyBorder="1" applyAlignment="1">
      <alignment horizontal="center" vertical="center"/>
    </xf>
    <xf numFmtId="0" fontId="35" fillId="33" borderId="75" xfId="0" applyFont="1" applyFill="1" applyBorder="1" applyAlignment="1">
      <alignment horizontal="center" vertical="center"/>
    </xf>
    <xf numFmtId="0" fontId="35" fillId="33" borderId="12" xfId="0" applyFont="1" applyFill="1" applyBorder="1" applyAlignment="1">
      <alignment horizontal="center" vertical="center"/>
    </xf>
    <xf numFmtId="0" fontId="35" fillId="33" borderId="76" xfId="0" applyFont="1" applyFill="1" applyBorder="1" applyAlignment="1">
      <alignment horizontal="center" vertical="center"/>
    </xf>
    <xf numFmtId="0" fontId="35" fillId="33" borderId="17" xfId="0" applyFont="1" applyFill="1" applyBorder="1" applyAlignment="1">
      <alignment horizontal="center" vertical="center"/>
    </xf>
    <xf numFmtId="0" fontId="18" fillId="0" borderId="42" xfId="0" applyFont="1" applyBorder="1" applyAlignment="1">
      <alignment horizontal="center" vertical="center"/>
    </xf>
    <xf numFmtId="0" fontId="18" fillId="0" borderId="43" xfId="0" applyFont="1" applyBorder="1" applyAlignment="1">
      <alignment horizontal="center" vertical="center"/>
    </xf>
    <xf numFmtId="0" fontId="18" fillId="0" borderId="44" xfId="0" applyFont="1" applyBorder="1" applyAlignment="1">
      <alignment horizontal="center" vertical="center"/>
    </xf>
    <xf numFmtId="0" fontId="23" fillId="40" borderId="77" xfId="0" applyFont="1" applyFill="1" applyBorder="1" applyAlignment="1">
      <alignment horizontal="center" vertical="center"/>
    </xf>
    <xf numFmtId="0" fontId="18" fillId="0" borderId="70" xfId="0" applyFont="1" applyBorder="1" applyAlignment="1">
      <alignment horizontal="center" vertical="center"/>
    </xf>
    <xf numFmtId="0" fontId="18" fillId="0" borderId="88" xfId="0" applyFont="1" applyBorder="1" applyAlignment="1">
      <alignment horizontal="center" vertical="center"/>
    </xf>
    <xf numFmtId="0" fontId="18" fillId="0" borderId="0" xfId="0" applyFont="1" applyAlignment="1">
      <alignment horizontal="center" vertical="center"/>
    </xf>
    <xf numFmtId="0" fontId="37" fillId="33" borderId="0" xfId="0" applyFont="1" applyFill="1" applyAlignment="1">
      <alignment horizontal="center" vertical="center"/>
    </xf>
    <xf numFmtId="0" fontId="37" fillId="0" borderId="0" xfId="0" applyFont="1" applyAlignment="1">
      <alignment horizontal="center" vertical="center"/>
    </xf>
    <xf numFmtId="0" fontId="20" fillId="0" borderId="0" xfId="0" applyFont="1" applyAlignment="1">
      <alignment horizontal="center" vertical="center"/>
    </xf>
    <xf numFmtId="1" fontId="32" fillId="0" borderId="0" xfId="0" applyNumberFormat="1" applyFont="1" applyAlignment="1">
      <alignment horizontal="center" vertical="center"/>
    </xf>
    <xf numFmtId="0" fontId="23" fillId="40" borderId="0" xfId="0" applyFont="1" applyFill="1" applyAlignment="1">
      <alignment horizontal="center" vertical="center"/>
    </xf>
    <xf numFmtId="0" fontId="36" fillId="40" borderId="0" xfId="0" applyFont="1" applyFill="1" applyAlignment="1">
      <alignment horizontal="center" vertical="center"/>
    </xf>
    <xf numFmtId="0" fontId="36" fillId="33" borderId="0" xfId="0" applyFont="1" applyFill="1" applyAlignment="1">
      <alignment horizontal="center" vertical="center"/>
    </xf>
    <xf numFmtId="0" fontId="31" fillId="40" borderId="70" xfId="0" applyFont="1" applyFill="1" applyBorder="1" applyAlignment="1">
      <alignment horizontal="center" vertical="center"/>
    </xf>
    <xf numFmtId="0" fontId="18" fillId="0" borderId="54" xfId="0" applyFont="1" applyBorder="1" applyAlignment="1">
      <alignment horizontal="center" vertical="center"/>
    </xf>
    <xf numFmtId="0" fontId="18" fillId="0" borderId="51" xfId="0" applyFont="1" applyBorder="1" applyAlignment="1">
      <alignment horizontal="center" vertical="center"/>
    </xf>
    <xf numFmtId="0" fontId="22" fillId="40" borderId="28" xfId="0" applyFont="1" applyFill="1" applyBorder="1" applyAlignment="1">
      <alignment horizontal="center" vertical="center"/>
    </xf>
    <xf numFmtId="0" fontId="22" fillId="33" borderId="75" xfId="0" applyFont="1" applyFill="1" applyBorder="1" applyAlignment="1">
      <alignment horizontal="center" vertical="center"/>
    </xf>
    <xf numFmtId="0" fontId="22" fillId="33" borderId="12" xfId="0" applyFont="1" applyFill="1" applyBorder="1" applyAlignment="1">
      <alignment horizontal="center" vertical="center"/>
    </xf>
    <xf numFmtId="0" fontId="18" fillId="0" borderId="15" xfId="0" applyFont="1" applyBorder="1" applyAlignment="1">
      <alignment horizontal="center" vertical="center"/>
    </xf>
    <xf numFmtId="0" fontId="18" fillId="0" borderId="16" xfId="0" applyFont="1" applyBorder="1" applyAlignment="1">
      <alignment horizontal="center" vertical="center"/>
    </xf>
    <xf numFmtId="0" fontId="18" fillId="0" borderId="17" xfId="0" applyFont="1" applyBorder="1" applyAlignment="1">
      <alignment horizontal="center" vertical="center"/>
    </xf>
    <xf numFmtId="0" fontId="18" fillId="0" borderId="25" xfId="0" applyFont="1" applyBorder="1" applyAlignment="1">
      <alignment horizontal="center" vertical="center"/>
    </xf>
    <xf numFmtId="0" fontId="23" fillId="40" borderId="63" xfId="1" applyNumberFormat="1" applyFont="1" applyFill="1" applyBorder="1" applyAlignment="1">
      <alignment horizontal="center" vertical="center"/>
    </xf>
    <xf numFmtId="0" fontId="23" fillId="40" borderId="64" xfId="1" applyNumberFormat="1" applyFont="1" applyFill="1" applyBorder="1" applyAlignment="1">
      <alignment horizontal="center" vertical="center"/>
    </xf>
    <xf numFmtId="0" fontId="23" fillId="40" borderId="53" xfId="1" applyNumberFormat="1" applyFont="1" applyFill="1" applyBorder="1" applyAlignment="1">
      <alignment horizontal="center" vertical="center"/>
    </xf>
    <xf numFmtId="0" fontId="23" fillId="40" borderId="57" xfId="1" applyNumberFormat="1" applyFont="1" applyFill="1" applyBorder="1" applyAlignment="1">
      <alignment horizontal="center" vertical="center"/>
    </xf>
    <xf numFmtId="0" fontId="23" fillId="33" borderId="10" xfId="0" applyFont="1" applyFill="1" applyBorder="1" applyAlignment="1">
      <alignment horizontal="center" vertical="center"/>
    </xf>
    <xf numFmtId="0" fontId="23" fillId="33" borderId="11" xfId="0" applyFont="1" applyFill="1" applyBorder="1" applyAlignment="1">
      <alignment horizontal="center" vertical="center"/>
    </xf>
    <xf numFmtId="0" fontId="23" fillId="33" borderId="15" xfId="0" applyFont="1" applyFill="1" applyBorder="1" applyAlignment="1">
      <alignment horizontal="center" vertical="center"/>
    </xf>
    <xf numFmtId="0" fontId="23" fillId="33" borderId="16" xfId="0" applyFont="1" applyFill="1" applyBorder="1" applyAlignment="1">
      <alignment horizontal="center" vertical="center"/>
    </xf>
    <xf numFmtId="0" fontId="18" fillId="0" borderId="55" xfId="0" applyFont="1" applyBorder="1" applyAlignment="1">
      <alignment horizontal="center" vertical="center"/>
    </xf>
    <xf numFmtId="0" fontId="18" fillId="0" borderId="81" xfId="0" applyFont="1" applyBorder="1" applyAlignment="1">
      <alignment horizontal="center" vertical="center"/>
    </xf>
    <xf numFmtId="0" fontId="18" fillId="0" borderId="82" xfId="0" applyFont="1" applyBorder="1" applyAlignment="1">
      <alignment horizontal="center" vertical="center"/>
    </xf>
    <xf numFmtId="0" fontId="18" fillId="0" borderId="83" xfId="0" applyFont="1" applyBorder="1" applyAlignment="1">
      <alignment horizontal="center" vertical="center"/>
    </xf>
    <xf numFmtId="0" fontId="18" fillId="0" borderId="78" xfId="0" applyFont="1" applyBorder="1" applyAlignment="1">
      <alignment horizontal="center" vertical="center"/>
    </xf>
    <xf numFmtId="0" fontId="18" fillId="0" borderId="79" xfId="0" applyFont="1" applyBorder="1" applyAlignment="1">
      <alignment horizontal="center" vertical="center"/>
    </xf>
    <xf numFmtId="0" fontId="18" fillId="0" borderId="80" xfId="0" applyFont="1" applyBorder="1" applyAlignment="1">
      <alignment horizontal="center" vertical="center"/>
    </xf>
    <xf numFmtId="0" fontId="23" fillId="40" borderId="65" xfId="1" applyNumberFormat="1" applyFont="1" applyFill="1" applyBorder="1" applyAlignment="1">
      <alignment horizontal="center" vertical="center"/>
    </xf>
    <xf numFmtId="0" fontId="23" fillId="40" borderId="68" xfId="1" applyNumberFormat="1" applyFont="1" applyFill="1" applyBorder="1" applyAlignment="1">
      <alignment horizontal="center" vertical="center"/>
    </xf>
    <xf numFmtId="0" fontId="25" fillId="0" borderId="71" xfId="0" applyFont="1" applyBorder="1" applyAlignment="1">
      <alignment horizontal="center" vertical="center"/>
    </xf>
    <xf numFmtId="0" fontId="25" fillId="0" borderId="62" xfId="0" applyFont="1" applyBorder="1" applyAlignment="1">
      <alignment horizontal="center" vertical="center"/>
    </xf>
    <xf numFmtId="0" fontId="25" fillId="0" borderId="20" xfId="0" applyFont="1" applyBorder="1" applyAlignment="1">
      <alignment horizontal="center" vertical="center"/>
    </xf>
    <xf numFmtId="0" fontId="25" fillId="0" borderId="46" xfId="0" applyFont="1" applyBorder="1" applyAlignment="1">
      <alignment horizontal="center" vertical="center"/>
    </xf>
    <xf numFmtId="0" fontId="22" fillId="40" borderId="61" xfId="0" applyFont="1" applyFill="1" applyBorder="1" applyAlignment="1">
      <alignment horizontal="center" vertical="center"/>
    </xf>
    <xf numFmtId="0" fontId="22" fillId="40" borderId="57" xfId="0" applyFont="1" applyFill="1" applyBorder="1" applyAlignment="1">
      <alignment horizontal="center" vertical="center"/>
    </xf>
    <xf numFmtId="0" fontId="26" fillId="0" borderId="71" xfId="0" applyFont="1" applyBorder="1" applyAlignment="1">
      <alignment horizontal="center" vertical="center"/>
    </xf>
    <xf numFmtId="0" fontId="26" fillId="0" borderId="62" xfId="0" applyFont="1" applyBorder="1" applyAlignment="1">
      <alignment horizontal="center" vertical="center"/>
    </xf>
    <xf numFmtId="0" fontId="26" fillId="0" borderId="20" xfId="0" applyFont="1" applyBorder="1" applyAlignment="1">
      <alignment horizontal="center" vertical="center"/>
    </xf>
    <xf numFmtId="0" fontId="26" fillId="0" borderId="46" xfId="0" applyFont="1" applyBorder="1" applyAlignment="1">
      <alignment horizontal="center" vertical="center"/>
    </xf>
    <xf numFmtId="0" fontId="18" fillId="0" borderId="71" xfId="0" applyFont="1" applyBorder="1" applyAlignment="1">
      <alignment horizontal="center" vertical="center"/>
    </xf>
    <xf numFmtId="0" fontId="18" fillId="0" borderId="62" xfId="0" applyFont="1" applyBorder="1" applyAlignment="1">
      <alignment horizontal="center" vertical="center"/>
    </xf>
    <xf numFmtId="0" fontId="22" fillId="40" borderId="32" xfId="0" applyFont="1" applyFill="1" applyBorder="1" applyAlignment="1">
      <alignment horizontal="center" vertical="center"/>
    </xf>
    <xf numFmtId="0" fontId="22" fillId="40" borderId="33" xfId="0" applyFont="1" applyFill="1" applyBorder="1" applyAlignment="1">
      <alignment horizontal="center" vertical="center"/>
    </xf>
    <xf numFmtId="0" fontId="25" fillId="0" borderId="63" xfId="0" applyFont="1" applyBorder="1" applyAlignment="1">
      <alignment horizontal="center" vertical="center"/>
    </xf>
    <xf numFmtId="0" fontId="25" fillId="0" borderId="64" xfId="0" applyFont="1" applyBorder="1" applyAlignment="1">
      <alignment horizontal="center" vertical="center"/>
    </xf>
    <xf numFmtId="0" fontId="18" fillId="0" borderId="63" xfId="0" applyFont="1" applyBorder="1" applyAlignment="1">
      <alignment horizontal="center" vertical="center"/>
    </xf>
    <xf numFmtId="0" fontId="18" fillId="0" borderId="64" xfId="0" applyFont="1" applyBorder="1" applyAlignment="1">
      <alignment horizontal="center" vertical="center"/>
    </xf>
    <xf numFmtId="0" fontId="25" fillId="0" borderId="0" xfId="0" applyFont="1" applyAlignment="1">
      <alignment horizontal="center" vertical="center"/>
    </xf>
    <xf numFmtId="0" fontId="18" fillId="0" borderId="29" xfId="0" applyFont="1" applyBorder="1" applyAlignment="1">
      <alignment horizontal="center" vertical="center"/>
    </xf>
    <xf numFmtId="0" fontId="18" fillId="0" borderId="33" xfId="0" applyFont="1" applyBorder="1" applyAlignment="1">
      <alignment horizontal="center" vertical="center"/>
    </xf>
    <xf numFmtId="0" fontId="26" fillId="0" borderId="0" xfId="0" applyFont="1" applyAlignment="1">
      <alignment horizontal="center" vertical="center"/>
    </xf>
    <xf numFmtId="0" fontId="18" fillId="0" borderId="30" xfId="0" applyFont="1" applyBorder="1" applyAlignment="1">
      <alignment horizontal="center" vertical="center"/>
    </xf>
    <xf numFmtId="0" fontId="18" fillId="0" borderId="31" xfId="0" applyFont="1" applyBorder="1" applyAlignment="1">
      <alignment horizontal="center" vertical="center"/>
    </xf>
    <xf numFmtId="1" fontId="20" fillId="0" borderId="70" xfId="0" applyNumberFormat="1" applyFont="1" applyBorder="1" applyAlignment="1">
      <alignment horizontal="center" vertical="center"/>
    </xf>
    <xf numFmtId="1" fontId="20" fillId="0" borderId="71" xfId="0" applyNumberFormat="1" applyFont="1" applyBorder="1" applyAlignment="1">
      <alignment horizontal="center" vertical="center"/>
    </xf>
    <xf numFmtId="1" fontId="20" fillId="0" borderId="62" xfId="0" applyNumberFormat="1" applyFont="1" applyBorder="1" applyAlignment="1">
      <alignment horizontal="center" vertical="center"/>
    </xf>
    <xf numFmtId="0" fontId="23" fillId="40" borderId="58" xfId="0" applyFont="1" applyFill="1" applyBorder="1" applyAlignment="1">
      <alignment horizontal="center" vertical="center"/>
    </xf>
    <xf numFmtId="0" fontId="22" fillId="40" borderId="50" xfId="0" applyFont="1" applyFill="1" applyBorder="1" applyAlignment="1">
      <alignment horizontal="center" vertical="center"/>
    </xf>
    <xf numFmtId="0" fontId="23" fillId="33" borderId="74" xfId="0" applyFont="1" applyFill="1" applyBorder="1" applyAlignment="1">
      <alignment horizontal="center" vertical="center"/>
    </xf>
    <xf numFmtId="0" fontId="18" fillId="0" borderId="28" xfId="0" applyFont="1" applyBorder="1" applyAlignment="1">
      <alignment horizontal="center" vertical="center"/>
    </xf>
    <xf numFmtId="0" fontId="24" fillId="40" borderId="70" xfId="0" applyFont="1" applyFill="1" applyBorder="1" applyAlignment="1">
      <alignment horizontal="center" vertical="center"/>
    </xf>
    <xf numFmtId="0" fontId="24" fillId="40" borderId="71" xfId="0" applyFont="1" applyFill="1" applyBorder="1" applyAlignment="1">
      <alignment horizontal="center" vertical="center"/>
    </xf>
    <xf numFmtId="0" fontId="24" fillId="40" borderId="62" xfId="0" applyFont="1" applyFill="1" applyBorder="1" applyAlignment="1">
      <alignment horizontal="center" vertical="center"/>
    </xf>
    <xf numFmtId="0" fontId="34" fillId="0" borderId="0" xfId="0" applyFont="1" applyAlignment="1">
      <alignment horizontal="left" vertical="center"/>
    </xf>
    <xf numFmtId="0" fontId="23" fillId="38" borderId="0" xfId="0" applyFont="1" applyFill="1" applyAlignment="1">
      <alignment horizontal="center" vertical="center"/>
    </xf>
    <xf numFmtId="0" fontId="18" fillId="0" borderId="0" xfId="0" applyFont="1" applyAlignment="1">
      <alignment vertical="center"/>
    </xf>
    <xf numFmtId="0" fontId="18" fillId="0" borderId="0" xfId="0" applyFont="1" applyAlignment="1">
      <alignment horizontal="left" vertical="center"/>
    </xf>
    <xf numFmtId="0" fontId="22" fillId="40" borderId="0" xfId="0" applyFont="1" applyFill="1" applyAlignment="1">
      <alignment horizontal="center" vertical="center"/>
    </xf>
    <xf numFmtId="0" fontId="19" fillId="0" borderId="0" xfId="0" applyFont="1" applyAlignment="1">
      <alignment horizontal="center" vertical="center"/>
    </xf>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 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colors>
    <mruColors>
      <color rgb="FF929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DIN Alternate" panose="020B0500000000000000" pitchFamily="34" charset="77"/>
                <a:ea typeface="+mn-ea"/>
                <a:cs typeface="+mn-cs"/>
              </a:defRPr>
            </a:pPr>
            <a:r>
              <a:rPr lang="en-GB" sz="2000" b="1">
                <a:latin typeface="DIN Alternate" panose="020B0500000000000000" pitchFamily="34" charset="77"/>
              </a:rPr>
              <a:t>Ball</a:t>
            </a:r>
            <a:r>
              <a:rPr lang="en-GB" sz="2000" b="1" baseline="0">
                <a:latin typeface="DIN Alternate" panose="020B0500000000000000" pitchFamily="34" charset="77"/>
              </a:rPr>
              <a:t> in play</a:t>
            </a:r>
          </a:p>
        </c:rich>
      </c:tx>
      <c:layout>
        <c:manualLayout>
          <c:xMode val="edge"/>
          <c:yMode val="edge"/>
          <c:x val="6.261615145148855E-2"/>
          <c:y val="8.6905025070706868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DIN Alternate" panose="020B0500000000000000" pitchFamily="34" charset="77"/>
              <a:ea typeface="+mn-ea"/>
              <a:cs typeface="+mn-cs"/>
            </a:defRPr>
          </a:pPr>
          <a:endParaRPr lang="en-US"/>
        </a:p>
      </c:txPr>
    </c:title>
    <c:autoTitleDeleted val="0"/>
    <c:plotArea>
      <c:layout>
        <c:manualLayout>
          <c:layoutTarget val="inner"/>
          <c:xMode val="edge"/>
          <c:yMode val="edge"/>
          <c:x val="1.8845553583961665E-2"/>
          <c:y val="0.26333915474522135"/>
          <c:w val="0.76946008105098418"/>
          <c:h val="0.69304658744619319"/>
        </c:manualLayout>
      </c:layout>
      <c:doughnutChart>
        <c:varyColors val="1"/>
        <c:ser>
          <c:idx val="0"/>
          <c:order val="0"/>
          <c:tx>
            <c:strRef>
              <c:f>Dashboard!$P$1:$Q$1</c:f>
              <c:strCache>
                <c:ptCount val="2"/>
                <c:pt idx="0">
                  <c:v>Ball in play time (mins)</c:v>
                </c:pt>
                <c:pt idx="1">
                  <c:v>Out of play time (mins)</c:v>
                </c:pt>
              </c:strCache>
            </c:strRef>
          </c:tx>
          <c:spPr>
            <a:solidFill>
              <a:schemeClr val="accent5">
                <a:lumMod val="50000"/>
              </a:schemeClr>
            </a:solidFill>
          </c:spPr>
          <c:dPt>
            <c:idx val="0"/>
            <c:bubble3D val="0"/>
            <c:spPr>
              <a:solidFill>
                <a:schemeClr val="tx2"/>
              </a:solidFill>
              <a:ln w="19050">
                <a:solidFill>
                  <a:schemeClr val="lt1"/>
                </a:solidFill>
              </a:ln>
              <a:effectLst/>
            </c:spPr>
            <c:extLst>
              <c:ext xmlns:c16="http://schemas.microsoft.com/office/drawing/2014/chart" uri="{C3380CC4-5D6E-409C-BE32-E72D297353CC}">
                <c16:uniqueId val="{00000001-27D8-FF4C-9049-B6B38AABA6A0}"/>
              </c:ext>
            </c:extLst>
          </c:dPt>
          <c:dPt>
            <c:idx val="1"/>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3-27D8-FF4C-9049-B6B38AABA6A0}"/>
              </c:ext>
            </c:extLst>
          </c:dPt>
          <c:dLbls>
            <c:dLbl>
              <c:idx val="0"/>
              <c:layout>
                <c:manualLayout>
                  <c:x val="4.2474977269437081E-2"/>
                  <c:y val="7.2714780567404311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D8-FF4C-9049-B6B38AABA6A0}"/>
                </c:ext>
              </c:extLst>
            </c:dLbl>
            <c:dLbl>
              <c:idx val="1"/>
              <c:layout>
                <c:manualLayout>
                  <c:x val="-9.002397970770161E-2"/>
                  <c:y val="-0.15936487106141398"/>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D8-FF4C-9049-B6B38AABA6A0}"/>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DIN Alternate" panose="020B0500000000000000" pitchFamily="34" charset="77"/>
                    <a:ea typeface="+mn-ea"/>
                    <a:cs typeface="+mn-cs"/>
                  </a:defRPr>
                </a:pPr>
                <a:endParaRPr lang="en-US"/>
              </a:p>
            </c:txPr>
            <c:showLegendKey val="1"/>
            <c:showVal val="0"/>
            <c:showCatName val="0"/>
            <c:showSerName val="0"/>
            <c:showPercent val="0"/>
            <c:showBubbleSize val="0"/>
            <c:extLst>
              <c:ext xmlns:c15="http://schemas.microsoft.com/office/drawing/2012/chart" uri="{CE6537A1-D6FC-4f65-9D91-7224C49458BB}"/>
            </c:extLst>
          </c:dLbls>
          <c:val>
            <c:numRef>
              <c:f>Dashboard!$P$4:$Q$4</c:f>
              <c:numCache>
                <c:formatCode>0</c:formatCode>
                <c:ptCount val="2"/>
                <c:pt idx="0">
                  <c:v>51.342595639765065</c:v>
                </c:pt>
                <c:pt idx="1">
                  <c:v>34.700667998362533</c:v>
                </c:pt>
              </c:numCache>
            </c:numRef>
          </c:val>
          <c:extLst>
            <c:ext xmlns:c16="http://schemas.microsoft.com/office/drawing/2014/chart" uri="{C3380CC4-5D6E-409C-BE32-E72D297353CC}">
              <c16:uniqueId val="{00000004-27D8-FF4C-9049-B6B38AABA6A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chemeClr val="tx1">
                    <a:lumMod val="65000"/>
                    <a:lumOff val="35000"/>
                  </a:schemeClr>
                </a:solidFill>
                <a:latin typeface="DIN Alternate" panose="020B0500000000000000" pitchFamily="34" charset="77"/>
                <a:ea typeface="+mn-ea"/>
                <a:cs typeface="+mn-cs"/>
              </a:defRPr>
            </a:pPr>
            <a:r>
              <a:rPr lang="en-GB" sz="1500" b="1">
                <a:latin typeface="DIN Alternate" panose="020B0500000000000000" pitchFamily="34" charset="77"/>
              </a:rPr>
              <a:t>Possession</a:t>
            </a:r>
          </a:p>
        </c:rich>
      </c:tx>
      <c:layout>
        <c:manualLayout>
          <c:xMode val="edge"/>
          <c:yMode val="edge"/>
          <c:x val="0.31001214677493583"/>
          <c:y val="0.3397038999493513"/>
        </c:manualLayout>
      </c:layout>
      <c:overlay val="0"/>
      <c:spPr>
        <a:solidFill>
          <a:schemeClr val="bg1"/>
        </a:solidFill>
        <a:ln>
          <a:noFill/>
        </a:ln>
        <a:effectLst/>
      </c:spPr>
      <c:txPr>
        <a:bodyPr rot="0" spcFirstLastPara="1" vertOverflow="ellipsis" vert="horz" wrap="square" anchor="ctr" anchorCtr="1"/>
        <a:lstStyle/>
        <a:p>
          <a:pPr>
            <a:defRPr sz="1500" b="1" i="0" u="none" strike="noStrike" kern="1200" spc="0" baseline="0">
              <a:solidFill>
                <a:schemeClr val="tx1">
                  <a:lumMod val="65000"/>
                  <a:lumOff val="35000"/>
                </a:schemeClr>
              </a:solidFill>
              <a:latin typeface="DIN Alternate" panose="020B0500000000000000" pitchFamily="34" charset="77"/>
              <a:ea typeface="+mn-ea"/>
              <a:cs typeface="+mn-cs"/>
            </a:defRPr>
          </a:pPr>
          <a:endParaRPr lang="en-US"/>
        </a:p>
      </c:txPr>
    </c:title>
    <c:autoTitleDeleted val="0"/>
    <c:plotArea>
      <c:layout>
        <c:manualLayout>
          <c:layoutTarget val="inner"/>
          <c:xMode val="edge"/>
          <c:yMode val="edge"/>
          <c:x val="2.2321511939702037E-2"/>
          <c:y val="0.50401105619532793"/>
          <c:w val="0.95256678712813314"/>
          <c:h val="0.47856631436747948"/>
        </c:manualLayout>
      </c:layout>
      <c:barChart>
        <c:barDir val="bar"/>
        <c:grouping val="stacked"/>
        <c:varyColors val="0"/>
        <c:ser>
          <c:idx val="0"/>
          <c:order val="0"/>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Dashboard!$V$4</c:f>
              <c:numCache>
                <c:formatCode>0.0%</c:formatCode>
                <c:ptCount val="1"/>
                <c:pt idx="0">
                  <c:v>0.60437950879095792</c:v>
                </c:pt>
              </c:numCache>
            </c:numRef>
          </c:val>
          <c:extLst>
            <c:ext xmlns:c16="http://schemas.microsoft.com/office/drawing/2014/chart" uri="{C3380CC4-5D6E-409C-BE32-E72D297353CC}">
              <c16:uniqueId val="{00000000-E7DF-BB4A-B89F-CECA744E11B6}"/>
            </c:ext>
          </c:extLst>
        </c:ser>
        <c:ser>
          <c:idx val="1"/>
          <c:order val="1"/>
          <c:spPr>
            <a:solidFill>
              <a:schemeClr val="bg1">
                <a:lumMod val="50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5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760752606831442"/>
                      <c:h val="0.33769248979408623"/>
                    </c:manualLayout>
                  </c15:layout>
                </c:ext>
                <c:ext xmlns:c16="http://schemas.microsoft.com/office/drawing/2014/chart" uri="{C3380CC4-5D6E-409C-BE32-E72D297353CC}">
                  <c16:uniqueId val="{00000001-E7DF-BB4A-B89F-CECA744E11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Dashboard!$W$4</c:f>
              <c:numCache>
                <c:formatCode>0.0%</c:formatCode>
                <c:ptCount val="1"/>
                <c:pt idx="0">
                  <c:v>0.39562049120904202</c:v>
                </c:pt>
              </c:numCache>
            </c:numRef>
          </c:val>
          <c:extLst>
            <c:ext xmlns:c16="http://schemas.microsoft.com/office/drawing/2014/chart" uri="{C3380CC4-5D6E-409C-BE32-E72D297353CC}">
              <c16:uniqueId val="{00000002-E7DF-BB4A-B89F-CECA744E11B6}"/>
            </c:ext>
          </c:extLst>
        </c:ser>
        <c:dLbls>
          <c:showLegendKey val="0"/>
          <c:showVal val="0"/>
          <c:showCatName val="0"/>
          <c:showSerName val="0"/>
          <c:showPercent val="0"/>
          <c:showBubbleSize val="0"/>
        </c:dLbls>
        <c:gapWidth val="200"/>
        <c:overlap val="100"/>
        <c:axId val="1693344768"/>
        <c:axId val="1814587664"/>
      </c:barChart>
      <c:catAx>
        <c:axId val="1693344768"/>
        <c:scaling>
          <c:orientation val="minMax"/>
        </c:scaling>
        <c:delete val="1"/>
        <c:axPos val="l"/>
        <c:numFmt formatCode="General" sourceLinked="1"/>
        <c:majorTickMark val="none"/>
        <c:minorTickMark val="none"/>
        <c:tickLblPos val="nextTo"/>
        <c:crossAx val="1814587664"/>
        <c:crosses val="autoZero"/>
        <c:auto val="1"/>
        <c:lblAlgn val="ctr"/>
        <c:lblOffset val="100"/>
        <c:noMultiLvlLbl val="0"/>
      </c:catAx>
      <c:valAx>
        <c:axId val="1814587664"/>
        <c:scaling>
          <c:orientation val="minMax"/>
        </c:scaling>
        <c:delete val="1"/>
        <c:axPos val="b"/>
        <c:numFmt formatCode="0.0%" sourceLinked="1"/>
        <c:majorTickMark val="none"/>
        <c:minorTickMark val="none"/>
        <c:tickLblPos val="nextTo"/>
        <c:crossAx val="16933447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50" b="1" i="0" u="none" strike="noStrike" kern="1200" spc="0" baseline="0">
                <a:solidFill>
                  <a:schemeClr val="bg1"/>
                </a:solidFill>
                <a:latin typeface="+mn-lt"/>
                <a:ea typeface="+mn-ea"/>
                <a:cs typeface="+mn-cs"/>
              </a:defRPr>
            </a:pPr>
            <a:r>
              <a:rPr lang="en-GB" sz="1350" b="1">
                <a:solidFill>
                  <a:schemeClr val="bg1"/>
                </a:solidFill>
                <a:latin typeface="DIN Alternate" panose="020B0500000000000000" pitchFamily="34" charset="77"/>
              </a:rPr>
              <a:t>Shots</a:t>
            </a:r>
            <a:r>
              <a:rPr lang="en-GB" sz="1350" b="1" baseline="0">
                <a:solidFill>
                  <a:schemeClr val="bg1"/>
                </a:solidFill>
                <a:latin typeface="DIN Alternate" panose="020B0500000000000000" pitchFamily="34" charset="77"/>
              </a:rPr>
              <a:t> on Target %</a:t>
            </a:r>
            <a:endParaRPr lang="en-GB" sz="1350" b="1">
              <a:solidFill>
                <a:schemeClr val="bg1"/>
              </a:solidFill>
              <a:latin typeface="DIN Alternate" panose="020B0500000000000000" pitchFamily="34" charset="77"/>
            </a:endParaRPr>
          </a:p>
        </c:rich>
      </c:tx>
      <c:layout>
        <c:manualLayout>
          <c:xMode val="edge"/>
          <c:yMode val="edge"/>
          <c:x val="0.28984520148793569"/>
          <c:y val="5.2662618321431584E-2"/>
        </c:manualLayout>
      </c:layout>
      <c:overlay val="0"/>
      <c:spPr>
        <a:solidFill>
          <a:schemeClr val="tx2"/>
        </a:solidFill>
        <a:ln>
          <a:noFill/>
        </a:ln>
        <a:effectLst/>
      </c:spPr>
      <c:txPr>
        <a:bodyPr rot="0" spcFirstLastPara="1" vertOverflow="ellipsis" vert="horz" wrap="square" anchor="ctr" anchorCtr="1"/>
        <a:lstStyle/>
        <a:p>
          <a:pPr>
            <a:defRPr sz="1350" b="1" i="0" u="none" strike="noStrike" kern="1200" spc="0" baseline="0">
              <a:solidFill>
                <a:schemeClr val="bg1"/>
              </a:solidFill>
              <a:latin typeface="+mn-lt"/>
              <a:ea typeface="+mn-ea"/>
              <a:cs typeface="+mn-cs"/>
            </a:defRPr>
          </a:pPr>
          <a:endParaRPr lang="en-GB"/>
        </a:p>
      </c:txPr>
    </c:title>
    <c:autoTitleDeleted val="0"/>
    <c:plotArea>
      <c:layout>
        <c:manualLayout>
          <c:layoutTarget val="inner"/>
          <c:xMode val="edge"/>
          <c:yMode val="edge"/>
          <c:x val="0.27784741793566892"/>
          <c:y val="0.23530521594756021"/>
          <c:w val="0.46089401692438381"/>
          <c:h val="0.66435424249115038"/>
        </c:manualLayout>
      </c:layout>
      <c:doughnutChart>
        <c:varyColors val="1"/>
        <c:ser>
          <c:idx val="0"/>
          <c:order val="0"/>
          <c:dPt>
            <c:idx val="0"/>
            <c:bubble3D val="0"/>
            <c:spPr>
              <a:solidFill>
                <a:schemeClr val="tx2"/>
              </a:solidFill>
              <a:ln w="19050">
                <a:solidFill>
                  <a:schemeClr val="lt1"/>
                </a:solidFill>
              </a:ln>
              <a:effectLst/>
            </c:spPr>
            <c:extLst>
              <c:ext xmlns:c16="http://schemas.microsoft.com/office/drawing/2014/chart" uri="{C3380CC4-5D6E-409C-BE32-E72D297353CC}">
                <c16:uniqueId val="{00000001-B2D8-6E46-8114-26BBBC831911}"/>
              </c:ext>
            </c:extLst>
          </c:dPt>
          <c:dPt>
            <c:idx val="1"/>
            <c:bubble3D val="0"/>
            <c:spPr>
              <a:noFill/>
              <a:ln w="19050">
                <a:noFill/>
              </a:ln>
              <a:effectLst/>
            </c:spPr>
            <c:extLst>
              <c:ext xmlns:c16="http://schemas.microsoft.com/office/drawing/2014/chart" uri="{C3380CC4-5D6E-409C-BE32-E72D297353CC}">
                <c16:uniqueId val="{00000003-B2D8-6E46-8114-26BBBC831911}"/>
              </c:ext>
            </c:extLst>
          </c:dPt>
          <c:dPt>
            <c:idx val="2"/>
            <c:bubble3D val="0"/>
            <c:spPr>
              <a:noFill/>
              <a:ln w="19050">
                <a:noFill/>
              </a:ln>
              <a:effectLst/>
            </c:spPr>
            <c:extLst>
              <c:ext xmlns:c16="http://schemas.microsoft.com/office/drawing/2014/chart" uri="{C3380CC4-5D6E-409C-BE32-E72D297353CC}">
                <c16:uniqueId val="{00000005-B2D8-6E46-8114-26BBBC831911}"/>
              </c:ext>
            </c:extLst>
          </c:dPt>
          <c:dLbls>
            <c:dLbl>
              <c:idx val="0"/>
              <c:layout>
                <c:manualLayout>
                  <c:x val="-0.20259685659405915"/>
                  <c:y val="2.755227921132531E-2"/>
                </c:manualLayout>
              </c:layout>
              <c:tx>
                <c:rich>
                  <a:bodyPr rot="0" spcFirstLastPara="1" vertOverflow="ellipsis" vert="horz" wrap="square" lIns="38100" tIns="19050" rIns="38100" bIns="19050" anchor="ctr" anchorCtr="1">
                    <a:noAutofit/>
                  </a:bodyPr>
                  <a:lstStyle/>
                  <a:p>
                    <a:pPr>
                      <a:defRPr sz="1150" b="0" i="0" u="none" strike="noStrike" kern="1200" baseline="0">
                        <a:solidFill>
                          <a:schemeClr val="tx1">
                            <a:lumMod val="75000"/>
                            <a:lumOff val="25000"/>
                          </a:schemeClr>
                        </a:solidFill>
                        <a:latin typeface="+mn-lt"/>
                        <a:ea typeface="+mn-ea"/>
                        <a:cs typeface="+mn-cs"/>
                      </a:defRPr>
                    </a:pPr>
                    <a:fld id="{779292C5-EF36-1042-99A7-37CB2F52043B}" type="VALUE">
                      <a:rPr lang="en-US" sz="1150">
                        <a:latin typeface="DIN Alternate" panose="020B0500000000000000" pitchFamily="34" charset="77"/>
                      </a:rPr>
                      <a:pPr>
                        <a:defRPr sz="1150"/>
                      </a:pPr>
                      <a:t>[VALUE]</a:t>
                    </a:fld>
                    <a:endParaRPr lang="en-GB"/>
                  </a:p>
                </c:rich>
              </c:tx>
              <c:spPr>
                <a:solidFill>
                  <a:schemeClr val="bg1"/>
                </a:solidFill>
                <a:ln>
                  <a:noFill/>
                </a:ln>
                <a:effectLst/>
              </c:spPr>
              <c:txPr>
                <a:bodyPr rot="0" spcFirstLastPara="1" vertOverflow="ellipsis" vert="horz" wrap="square" lIns="38100" tIns="19050" rIns="38100" bIns="19050" anchor="ctr" anchorCtr="1">
                  <a:noAutofit/>
                </a:bodyPr>
                <a:lstStyle/>
                <a:p>
                  <a:pPr>
                    <a:defRPr sz="1150" b="0" i="0" u="none" strike="noStrike" kern="1200" baseline="0">
                      <a:solidFill>
                        <a:schemeClr val="tx1">
                          <a:lumMod val="75000"/>
                          <a:lumOff val="25000"/>
                        </a:schemeClr>
                      </a:solidFill>
                      <a:latin typeface="+mn-lt"/>
                      <a:ea typeface="+mn-ea"/>
                      <a:cs typeface="+mn-cs"/>
                    </a:defRPr>
                  </a:pPr>
                  <a:endParaRPr lang="en-GB"/>
                </a:p>
              </c:txPr>
              <c:showLegendKey val="0"/>
              <c:showVal val="0"/>
              <c:showCatName val="1"/>
              <c:showSerName val="0"/>
              <c:showPercent val="1"/>
              <c:showBubbleSize val="0"/>
              <c:extLst>
                <c:ext xmlns:c15="http://schemas.microsoft.com/office/drawing/2012/chart" uri="{CE6537A1-D6FC-4f65-9D91-7224C49458BB}">
                  <c15:layout>
                    <c:manualLayout>
                      <c:w val="0.1516031850126511"/>
                      <c:h val="0.1863576306616487"/>
                    </c:manualLayout>
                  </c15:layout>
                  <c15:dlblFieldTable/>
                  <c15:showDataLabelsRange val="0"/>
                </c:ext>
                <c:ext xmlns:c16="http://schemas.microsoft.com/office/drawing/2014/chart" uri="{C3380CC4-5D6E-409C-BE32-E72D297353CC}">
                  <c16:uniqueId val="{00000001-B2D8-6E46-8114-26BBBC831911}"/>
                </c:ext>
              </c:extLst>
            </c:dLbl>
            <c:dLbl>
              <c:idx val="1"/>
              <c:delete val="1"/>
              <c:extLst>
                <c:ext xmlns:c15="http://schemas.microsoft.com/office/drawing/2012/chart" uri="{CE6537A1-D6FC-4f65-9D91-7224C49458BB}"/>
                <c:ext xmlns:c16="http://schemas.microsoft.com/office/drawing/2014/chart" uri="{C3380CC4-5D6E-409C-BE32-E72D297353CC}">
                  <c16:uniqueId val="{00000003-B2D8-6E46-8114-26BBBC831911}"/>
                </c:ext>
              </c:extLst>
            </c:dLbl>
            <c:dLbl>
              <c:idx val="2"/>
              <c:delete val="1"/>
              <c:extLst>
                <c:ext xmlns:c15="http://schemas.microsoft.com/office/drawing/2012/chart" uri="{CE6537A1-D6FC-4f65-9D91-7224C49458BB}"/>
                <c:ext xmlns:c16="http://schemas.microsoft.com/office/drawing/2014/chart" uri="{C3380CC4-5D6E-409C-BE32-E72D297353CC}">
                  <c16:uniqueId val="{00000005-B2D8-6E46-8114-26BBBC8319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val>
            <c:numRef>
              <c:f>Dashboard!$AC$4:$AE$4</c:f>
              <c:numCache>
                <c:formatCode>0%</c:formatCode>
                <c:ptCount val="3"/>
                <c:pt idx="0">
                  <c:v>0.45454545454545453</c:v>
                </c:pt>
                <c:pt idx="1">
                  <c:v>0.27272727272727271</c:v>
                </c:pt>
                <c:pt idx="2">
                  <c:v>0.27272727272727271</c:v>
                </c:pt>
              </c:numCache>
            </c:numRef>
          </c:val>
          <c:extLst>
            <c:ext xmlns:c16="http://schemas.microsoft.com/office/drawing/2014/chart" uri="{C3380CC4-5D6E-409C-BE32-E72D297353CC}">
              <c16:uniqueId val="{00000006-B2D8-6E46-8114-26BBBC831911}"/>
            </c:ext>
          </c:extLst>
        </c:ser>
        <c:dLbls>
          <c:showLegendKey val="0"/>
          <c:showVal val="0"/>
          <c:showCatName val="1"/>
          <c:showSerName val="0"/>
          <c:showPercent val="1"/>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50" b="1" i="0" u="none" strike="noStrike" kern="1200" spc="0" baseline="0">
                <a:solidFill>
                  <a:schemeClr val="bg1"/>
                </a:solidFill>
                <a:latin typeface="DIN Alternate" panose="020B0500000000000000" pitchFamily="34" charset="77"/>
                <a:ea typeface="+mn-ea"/>
                <a:cs typeface="+mn-cs"/>
              </a:defRPr>
            </a:pPr>
            <a:r>
              <a:rPr lang="en-GB" sz="1350" b="1">
                <a:solidFill>
                  <a:schemeClr val="bg1"/>
                </a:solidFill>
                <a:latin typeface="DIN Alternate" panose="020B0500000000000000" pitchFamily="34" charset="77"/>
              </a:rPr>
              <a:t>Shots on Target %</a:t>
            </a:r>
          </a:p>
        </c:rich>
      </c:tx>
      <c:layout>
        <c:manualLayout>
          <c:xMode val="edge"/>
          <c:yMode val="edge"/>
          <c:x val="0.1320345673178959"/>
          <c:y val="7.5666552718590227E-2"/>
        </c:manualLayout>
      </c:layout>
      <c:overlay val="0"/>
      <c:spPr>
        <a:solidFill>
          <a:schemeClr val="bg1">
            <a:lumMod val="50000"/>
          </a:schemeClr>
        </a:solidFill>
        <a:ln>
          <a:noFill/>
        </a:ln>
        <a:effectLst/>
      </c:spPr>
      <c:txPr>
        <a:bodyPr rot="0" spcFirstLastPara="1" vertOverflow="ellipsis" vert="horz" wrap="square" anchor="ctr" anchorCtr="1"/>
        <a:lstStyle/>
        <a:p>
          <a:pPr>
            <a:defRPr sz="1350" b="1" i="0" u="none" strike="noStrike" kern="1200" spc="0" baseline="0">
              <a:solidFill>
                <a:schemeClr val="bg1"/>
              </a:solidFill>
              <a:latin typeface="DIN Alternate" panose="020B0500000000000000" pitchFamily="34" charset="77"/>
              <a:ea typeface="+mn-ea"/>
              <a:cs typeface="+mn-cs"/>
            </a:defRPr>
          </a:pPr>
          <a:endParaRPr lang="en-US"/>
        </a:p>
      </c:txPr>
    </c:title>
    <c:autoTitleDeleted val="0"/>
    <c:plotArea>
      <c:layout>
        <c:manualLayout>
          <c:layoutTarget val="inner"/>
          <c:xMode val="edge"/>
          <c:yMode val="edge"/>
          <c:x val="0.2710618538854464"/>
          <c:y val="0.23155937730523091"/>
          <c:w val="0.4956606116226695"/>
          <c:h val="0.65156748899613737"/>
        </c:manualLayout>
      </c:layout>
      <c:doughnutChart>
        <c:varyColors val="1"/>
        <c:ser>
          <c:idx val="0"/>
          <c:order val="0"/>
          <c:explosion val="5"/>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B550-F043-B3CB-BCD7D0014C71}"/>
              </c:ext>
            </c:extLst>
          </c:dPt>
          <c:dPt>
            <c:idx val="1"/>
            <c:bubble3D val="0"/>
            <c:spPr>
              <a:noFill/>
              <a:ln w="19050">
                <a:noFill/>
              </a:ln>
              <a:effectLst/>
            </c:spPr>
            <c:extLst>
              <c:ext xmlns:c16="http://schemas.microsoft.com/office/drawing/2014/chart" uri="{C3380CC4-5D6E-409C-BE32-E72D297353CC}">
                <c16:uniqueId val="{00000003-B550-F043-B3CB-BCD7D0014C71}"/>
              </c:ext>
            </c:extLst>
          </c:dPt>
          <c:dPt>
            <c:idx val="2"/>
            <c:bubble3D val="0"/>
            <c:spPr>
              <a:noFill/>
              <a:ln w="19050">
                <a:noFill/>
              </a:ln>
              <a:effectLst/>
            </c:spPr>
            <c:extLst>
              <c:ext xmlns:c16="http://schemas.microsoft.com/office/drawing/2014/chart" uri="{C3380CC4-5D6E-409C-BE32-E72D297353CC}">
                <c16:uniqueId val="{00000005-B550-F043-B3CB-BCD7D0014C71}"/>
              </c:ext>
            </c:extLst>
          </c:dPt>
          <c:dLbls>
            <c:dLbl>
              <c:idx val="0"/>
              <c:layout>
                <c:manualLayout>
                  <c:x val="-0.16467471957398622"/>
                  <c:y val="-0.1713077308825218"/>
                </c:manualLayout>
              </c:layout>
              <c:tx>
                <c:rich>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fld id="{9F3766F7-EFDC-BF4D-ADDA-B7ED903CC06C}" type="VALUE">
                      <a:rPr lang="en-US" sz="1200">
                        <a:latin typeface="DIN Alternate" panose="020B0500000000000000" pitchFamily="34" charset="77"/>
                      </a:rPr>
                      <a:pPr>
                        <a:defRPr sz="1200"/>
                      </a:pPr>
                      <a:t>[VALUE]</a:t>
                    </a:fld>
                    <a:endParaRPr lang="en-GB"/>
                  </a:p>
                </c:rich>
              </c:tx>
              <c:spPr>
                <a:solidFill>
                  <a:schemeClr val="bg1"/>
                </a:solid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GB"/>
                </a:p>
              </c:txPr>
              <c:showLegendKey val="0"/>
              <c:showVal val="1"/>
              <c:showCatName val="0"/>
              <c:showSerName val="0"/>
              <c:showPercent val="0"/>
              <c:showBubbleSize val="0"/>
              <c:extLst>
                <c:ext xmlns:c15="http://schemas.microsoft.com/office/drawing/2012/chart" uri="{CE6537A1-D6FC-4f65-9D91-7224C49458BB}">
                  <c15:layout>
                    <c:manualLayout>
                      <c:w val="0.15215293449469997"/>
                      <c:h val="0.16751006830120921"/>
                    </c:manualLayout>
                  </c15:layout>
                  <c15:dlblFieldTable/>
                  <c15:showDataLabelsRange val="0"/>
                </c:ext>
                <c:ext xmlns:c16="http://schemas.microsoft.com/office/drawing/2014/chart" uri="{C3380CC4-5D6E-409C-BE32-E72D297353CC}">
                  <c16:uniqueId val="{00000001-B550-F043-B3CB-BCD7D0014C71}"/>
                </c:ext>
              </c:extLst>
            </c:dLbl>
            <c:dLbl>
              <c:idx val="1"/>
              <c:delete val="1"/>
              <c:extLst>
                <c:ext xmlns:c15="http://schemas.microsoft.com/office/drawing/2012/chart" uri="{CE6537A1-D6FC-4f65-9D91-7224C49458BB}"/>
                <c:ext xmlns:c16="http://schemas.microsoft.com/office/drawing/2014/chart" uri="{C3380CC4-5D6E-409C-BE32-E72D297353CC}">
                  <c16:uniqueId val="{00000003-B550-F043-B3CB-BCD7D0014C71}"/>
                </c:ext>
              </c:extLst>
            </c:dLbl>
            <c:dLbl>
              <c:idx val="2"/>
              <c:delete val="1"/>
              <c:extLst>
                <c:ext xmlns:c15="http://schemas.microsoft.com/office/drawing/2012/chart" uri="{CE6537A1-D6FC-4f65-9D91-7224C49458BB}"/>
                <c:ext xmlns:c16="http://schemas.microsoft.com/office/drawing/2014/chart" uri="{C3380CC4-5D6E-409C-BE32-E72D297353CC}">
                  <c16:uniqueId val="{00000005-B550-F043-B3CB-BCD7D0014C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Dashboard!$AS$4:$AU$4</c:f>
              <c:numCache>
                <c:formatCode>0%</c:formatCode>
                <c:ptCount val="3"/>
                <c:pt idx="0">
                  <c:v>0.43478260869565216</c:v>
                </c:pt>
                <c:pt idx="1">
                  <c:v>0.43478260869565216</c:v>
                </c:pt>
                <c:pt idx="2">
                  <c:v>0.13043478260869565</c:v>
                </c:pt>
              </c:numCache>
            </c:numRef>
          </c:val>
          <c:extLst>
            <c:ext xmlns:c16="http://schemas.microsoft.com/office/drawing/2014/chart" uri="{C3380CC4-5D6E-409C-BE32-E72D297353CC}">
              <c16:uniqueId val="{00000006-B550-F043-B3CB-BCD7D0014C71}"/>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GB" sz="1500">
                <a:latin typeface="DIN Alternate" panose="020B0500000000000000" pitchFamily="34" charset="77"/>
              </a:rPr>
              <a:t>Succ</a:t>
            </a:r>
            <a:r>
              <a:rPr lang="en-GB" sz="1500" baseline="0">
                <a:latin typeface="DIN Alternate" panose="020B0500000000000000" pitchFamily="34" charset="77"/>
              </a:rPr>
              <a:t> Build up %</a:t>
            </a:r>
            <a:endParaRPr lang="en-GB" sz="1500">
              <a:latin typeface="DIN Alternate" panose="020B0500000000000000" pitchFamily="34" charset="77"/>
            </a:endParaRPr>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0.26280536525501502"/>
          <c:y val="0.22394939129077571"/>
          <c:w val="0.4837819487218194"/>
          <c:h val="0.7398147449718554"/>
        </c:manualLayout>
      </c:layout>
      <c:doughnutChart>
        <c:varyColors val="1"/>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bg1"/>
                </a:solidFill>
                <a:latin typeface="+mn-lt"/>
                <a:ea typeface="+mn-ea"/>
                <a:cs typeface="+mn-cs"/>
              </a:defRPr>
            </a:pPr>
            <a:r>
              <a:rPr lang="en-GB" sz="1300">
                <a:solidFill>
                  <a:schemeClr val="bg1"/>
                </a:solidFill>
                <a:latin typeface="DIN Alternate" panose="020B0500000000000000" pitchFamily="34" charset="77"/>
              </a:rPr>
              <a:t>Succ</a:t>
            </a:r>
            <a:r>
              <a:rPr lang="en-GB" sz="1300" baseline="0">
                <a:solidFill>
                  <a:schemeClr val="bg1"/>
                </a:solidFill>
                <a:latin typeface="DIN Alternate" panose="020B0500000000000000" pitchFamily="34" charset="77"/>
              </a:rPr>
              <a:t> Cross %</a:t>
            </a:r>
            <a:endParaRPr lang="en-GB" sz="1300">
              <a:solidFill>
                <a:schemeClr val="bg1"/>
              </a:solidFill>
              <a:latin typeface="DIN Alternate" panose="020B0500000000000000" pitchFamily="34" charset="77"/>
            </a:endParaRPr>
          </a:p>
        </c:rich>
      </c:tx>
      <c:overlay val="0"/>
      <c:spPr>
        <a:solidFill>
          <a:schemeClr val="tx2"/>
        </a:solidFill>
        <a:ln>
          <a:noFill/>
        </a:ln>
        <a:effectLst/>
      </c:spPr>
      <c:txPr>
        <a:bodyPr rot="0" spcFirstLastPara="1" vertOverflow="ellipsis" vert="horz" wrap="square" anchor="ctr" anchorCtr="1"/>
        <a:lstStyle/>
        <a:p>
          <a:pPr>
            <a:defRPr sz="1300" b="0" i="0" u="none" strike="noStrike" kern="1200" spc="0" baseline="0">
              <a:solidFill>
                <a:schemeClr val="bg1"/>
              </a:solidFill>
              <a:latin typeface="+mn-lt"/>
              <a:ea typeface="+mn-ea"/>
              <a:cs typeface="+mn-cs"/>
            </a:defRPr>
          </a:pPr>
          <a:endParaRPr lang="en-GB"/>
        </a:p>
      </c:txPr>
    </c:title>
    <c:autoTitleDeleted val="0"/>
    <c:plotArea>
      <c:layout>
        <c:manualLayout>
          <c:layoutTarget val="inner"/>
          <c:xMode val="edge"/>
          <c:yMode val="edge"/>
          <c:x val="0.30120212956335002"/>
          <c:y val="0.26566185132370262"/>
          <c:w val="0.4771416428060129"/>
          <c:h val="0.66123566247132493"/>
        </c:manualLayout>
      </c:layout>
      <c:doughnutChart>
        <c:varyColors val="1"/>
        <c:ser>
          <c:idx val="0"/>
          <c:order val="0"/>
          <c:dPt>
            <c:idx val="0"/>
            <c:bubble3D val="0"/>
            <c:spPr>
              <a:solidFill>
                <a:schemeClr val="tx2"/>
              </a:solidFill>
              <a:ln w="19050">
                <a:solidFill>
                  <a:schemeClr val="lt1"/>
                </a:solidFill>
              </a:ln>
              <a:effectLst/>
            </c:spPr>
            <c:extLst>
              <c:ext xmlns:c16="http://schemas.microsoft.com/office/drawing/2014/chart" uri="{C3380CC4-5D6E-409C-BE32-E72D297353CC}">
                <c16:uniqueId val="{00000001-A9DA-494A-B0EB-BF9004DF77D7}"/>
              </c:ext>
            </c:extLst>
          </c:dPt>
          <c:dPt>
            <c:idx val="1"/>
            <c:bubble3D val="0"/>
            <c:spPr>
              <a:noFill/>
              <a:ln w="19050">
                <a:noFill/>
              </a:ln>
              <a:effectLst/>
            </c:spPr>
            <c:extLst>
              <c:ext xmlns:c16="http://schemas.microsoft.com/office/drawing/2014/chart" uri="{C3380CC4-5D6E-409C-BE32-E72D297353CC}">
                <c16:uniqueId val="{00000003-A9DA-494A-B0EB-BF9004DF77D7}"/>
              </c:ext>
            </c:extLst>
          </c:dPt>
          <c:dLbls>
            <c:dLbl>
              <c:idx val="0"/>
              <c:layout>
                <c:manualLayout>
                  <c:x val="-0.20654904160666518"/>
                  <c:y val="-3.2407001221051161E-2"/>
                </c:manualLayout>
              </c:layout>
              <c:tx>
                <c:rich>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fld id="{D406B937-C462-8E43-B977-D0E696FA6EB7}" type="VALUE">
                      <a:rPr lang="en-US" sz="1300">
                        <a:latin typeface="DIN Alternate" panose="020B0500000000000000" pitchFamily="34" charset="77"/>
                      </a:rPr>
                      <a:pPr>
                        <a:defRPr sz="1300"/>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GB"/>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9DA-494A-B0EB-BF9004DF77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val>
            <c:numRef>
              <c:f>Dashboard!$BT$4:$BU$4</c:f>
              <c:numCache>
                <c:formatCode>0%</c:formatCode>
                <c:ptCount val="2"/>
                <c:pt idx="0">
                  <c:v>0.27272727272727271</c:v>
                </c:pt>
                <c:pt idx="1">
                  <c:v>0.72727272727272729</c:v>
                </c:pt>
              </c:numCache>
            </c:numRef>
          </c:val>
          <c:extLst>
            <c:ext xmlns:c16="http://schemas.microsoft.com/office/drawing/2014/chart" uri="{C3380CC4-5D6E-409C-BE32-E72D297353CC}">
              <c16:uniqueId val="{00000004-A9DA-494A-B0EB-BF9004DF77D7}"/>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chemeClr val="tx1">
                    <a:lumMod val="65000"/>
                    <a:lumOff val="35000"/>
                  </a:schemeClr>
                </a:solidFill>
                <a:latin typeface="DIN Alternate" panose="020B0500000000000000" pitchFamily="34" charset="77"/>
                <a:ea typeface="+mn-ea"/>
                <a:cs typeface="+mn-cs"/>
              </a:defRPr>
            </a:pPr>
            <a:r>
              <a:rPr lang="en-GB" sz="1500" b="1">
                <a:latin typeface="DIN Alternate" panose="020B0500000000000000" pitchFamily="34" charset="77"/>
              </a:rPr>
              <a:t>Touches in the Box</a:t>
            </a:r>
          </a:p>
        </c:rich>
      </c:tx>
      <c:layout>
        <c:manualLayout>
          <c:xMode val="edge"/>
          <c:yMode val="edge"/>
          <c:x val="0.22345851397444838"/>
          <c:y val="0.14803451979936208"/>
        </c:manualLayout>
      </c:layout>
      <c:overlay val="0"/>
      <c:spPr>
        <a:solidFill>
          <a:schemeClr val="bg1"/>
        </a:solidFill>
        <a:ln>
          <a:noFill/>
        </a:ln>
        <a:effectLst/>
      </c:spPr>
      <c:txPr>
        <a:bodyPr rot="0" spcFirstLastPara="1" vertOverflow="ellipsis" vert="horz" wrap="square" anchor="ctr" anchorCtr="1"/>
        <a:lstStyle/>
        <a:p>
          <a:pPr>
            <a:defRPr sz="1500" b="1" i="0" u="none" strike="noStrike" kern="1200" spc="0" baseline="0">
              <a:solidFill>
                <a:schemeClr val="tx1">
                  <a:lumMod val="65000"/>
                  <a:lumOff val="35000"/>
                </a:schemeClr>
              </a:solidFill>
              <a:latin typeface="DIN Alternate" panose="020B0500000000000000" pitchFamily="34" charset="77"/>
              <a:ea typeface="+mn-ea"/>
              <a:cs typeface="+mn-cs"/>
            </a:defRPr>
          </a:pPr>
          <a:endParaRPr lang="en-US"/>
        </a:p>
      </c:txPr>
    </c:title>
    <c:autoTitleDeleted val="0"/>
    <c:plotArea>
      <c:layout>
        <c:manualLayout>
          <c:layoutTarget val="inner"/>
          <c:xMode val="edge"/>
          <c:yMode val="edge"/>
          <c:x val="2.8922976457081834E-3"/>
          <c:y val="0.29497124184971046"/>
          <c:w val="0.95256678712813314"/>
          <c:h val="0.47856631436747948"/>
        </c:manualLayout>
      </c:layout>
      <c:barChart>
        <c:barDir val="bar"/>
        <c:grouping val="stacked"/>
        <c:varyColors val="0"/>
        <c:ser>
          <c:idx val="0"/>
          <c:order val="0"/>
          <c:spPr>
            <a:solidFill>
              <a:schemeClr val="tx2">
                <a:lumMod val="75000"/>
                <a:lumOff val="25000"/>
              </a:schemeClr>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0-5A41-5640-8CED-7541C6A620E7}"/>
              </c:ext>
            </c:extLst>
          </c:dPt>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Dashboard!$DZ$4</c:f>
              <c:numCache>
                <c:formatCode>General</c:formatCode>
                <c:ptCount val="1"/>
                <c:pt idx="0">
                  <c:v>31</c:v>
                </c:pt>
              </c:numCache>
            </c:numRef>
          </c:cat>
          <c:val>
            <c:numRef>
              <c:f>Dashboard!$DX$4</c:f>
              <c:numCache>
                <c:formatCode>General</c:formatCode>
                <c:ptCount val="1"/>
                <c:pt idx="0">
                  <c:v>13</c:v>
                </c:pt>
              </c:numCache>
            </c:numRef>
          </c:val>
          <c:extLst>
            <c:ext xmlns:c16="http://schemas.microsoft.com/office/drawing/2014/chart" uri="{C3380CC4-5D6E-409C-BE32-E72D297353CC}">
              <c16:uniqueId val="{00000000-1825-7042-884F-9BE84AC12534}"/>
            </c:ext>
          </c:extLst>
        </c:ser>
        <c:ser>
          <c:idx val="1"/>
          <c:order val="1"/>
          <c:spPr>
            <a:solidFill>
              <a:schemeClr val="bg1">
                <a:lumMod val="50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5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760752606831442"/>
                      <c:h val="0.33769248979408623"/>
                    </c:manualLayout>
                  </c15:layout>
                </c:ext>
                <c:ext xmlns:c16="http://schemas.microsoft.com/office/drawing/2014/chart" uri="{C3380CC4-5D6E-409C-BE32-E72D297353CC}">
                  <c16:uniqueId val="{00000001-1825-7042-884F-9BE84AC1253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Dashboard!$DZ$4</c:f>
              <c:numCache>
                <c:formatCode>General</c:formatCode>
                <c:ptCount val="1"/>
                <c:pt idx="0">
                  <c:v>31</c:v>
                </c:pt>
              </c:numCache>
            </c:numRef>
          </c:cat>
          <c:val>
            <c:numRef>
              <c:f>Dashboard!$DY$4</c:f>
              <c:numCache>
                <c:formatCode>General</c:formatCode>
                <c:ptCount val="1"/>
                <c:pt idx="0">
                  <c:v>18</c:v>
                </c:pt>
              </c:numCache>
            </c:numRef>
          </c:val>
          <c:extLst>
            <c:ext xmlns:c16="http://schemas.microsoft.com/office/drawing/2014/chart" uri="{C3380CC4-5D6E-409C-BE32-E72D297353CC}">
              <c16:uniqueId val="{00000002-1825-7042-884F-9BE84AC12534}"/>
            </c:ext>
          </c:extLst>
        </c:ser>
        <c:dLbls>
          <c:showLegendKey val="0"/>
          <c:showVal val="0"/>
          <c:showCatName val="0"/>
          <c:showSerName val="0"/>
          <c:showPercent val="0"/>
          <c:showBubbleSize val="0"/>
        </c:dLbls>
        <c:gapWidth val="167"/>
        <c:overlap val="100"/>
        <c:axId val="1693344768"/>
        <c:axId val="1814587664"/>
      </c:barChart>
      <c:catAx>
        <c:axId val="1693344768"/>
        <c:scaling>
          <c:orientation val="minMax"/>
        </c:scaling>
        <c:delete val="1"/>
        <c:axPos val="l"/>
        <c:numFmt formatCode="General" sourceLinked="1"/>
        <c:majorTickMark val="none"/>
        <c:minorTickMark val="none"/>
        <c:tickLblPos val="nextTo"/>
        <c:crossAx val="1814587664"/>
        <c:crosses val="autoZero"/>
        <c:auto val="1"/>
        <c:lblAlgn val="ctr"/>
        <c:lblOffset val="100"/>
        <c:noMultiLvlLbl val="0"/>
      </c:catAx>
      <c:valAx>
        <c:axId val="1814587664"/>
        <c:scaling>
          <c:orientation val="minMax"/>
          <c:min val="0"/>
        </c:scaling>
        <c:delete val="1"/>
        <c:axPos val="b"/>
        <c:numFmt formatCode="General" sourceLinked="1"/>
        <c:majorTickMark val="out"/>
        <c:minorTickMark val="none"/>
        <c:tickLblPos val="nextTo"/>
        <c:crossAx val="16933447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chemeClr val="tx1">
                    <a:lumMod val="65000"/>
                    <a:lumOff val="35000"/>
                  </a:schemeClr>
                </a:solidFill>
                <a:latin typeface="DIN Alternate" panose="020B0500000000000000" pitchFamily="34" charset="77"/>
                <a:ea typeface="+mn-ea"/>
                <a:cs typeface="+mn-cs"/>
              </a:defRPr>
            </a:pPr>
            <a:r>
              <a:rPr lang="en-GB" sz="1500" b="1">
                <a:latin typeface="DIN Alternate" panose="020B0500000000000000" pitchFamily="34" charset="77"/>
              </a:rPr>
              <a:t>Final 1/3 Details</a:t>
            </a:r>
          </a:p>
        </c:rich>
      </c:tx>
      <c:layout>
        <c:manualLayout>
          <c:xMode val="edge"/>
          <c:yMode val="edge"/>
          <c:x val="0.27619465676610949"/>
          <c:y val="0.23892154314717873"/>
        </c:manualLayout>
      </c:layout>
      <c:overlay val="0"/>
      <c:spPr>
        <a:solidFill>
          <a:schemeClr val="bg1"/>
        </a:solidFill>
        <a:ln>
          <a:noFill/>
        </a:ln>
        <a:effectLst/>
      </c:spPr>
      <c:txPr>
        <a:bodyPr rot="0" spcFirstLastPara="1" vertOverflow="ellipsis" vert="horz" wrap="square" anchor="ctr" anchorCtr="1"/>
        <a:lstStyle/>
        <a:p>
          <a:pPr>
            <a:defRPr sz="1500" b="1" i="0" u="none" strike="noStrike" kern="1200" spc="0" baseline="0">
              <a:solidFill>
                <a:schemeClr val="tx1">
                  <a:lumMod val="65000"/>
                  <a:lumOff val="35000"/>
                </a:schemeClr>
              </a:solidFill>
              <a:latin typeface="DIN Alternate" panose="020B0500000000000000" pitchFamily="34" charset="77"/>
              <a:ea typeface="+mn-ea"/>
              <a:cs typeface="+mn-cs"/>
            </a:defRPr>
          </a:pPr>
          <a:endParaRPr lang="en-US"/>
        </a:p>
      </c:txPr>
    </c:title>
    <c:autoTitleDeleted val="0"/>
    <c:plotArea>
      <c:layout>
        <c:manualLayout>
          <c:layoutTarget val="inner"/>
          <c:xMode val="edge"/>
          <c:yMode val="edge"/>
          <c:x val="2.2321439303820415E-2"/>
          <c:y val="0.38582859220785171"/>
          <c:w val="0.95256678712813314"/>
          <c:h val="0.47856631436747948"/>
        </c:manualLayout>
      </c:layout>
      <c:barChart>
        <c:barDir val="bar"/>
        <c:grouping val="stacked"/>
        <c:varyColors val="0"/>
        <c:ser>
          <c:idx val="0"/>
          <c:order val="0"/>
          <c:spPr>
            <a:solidFill>
              <a:schemeClr val="tx2">
                <a:lumMod val="75000"/>
                <a:lumOff val="25000"/>
              </a:schemeClr>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0-BD37-4C43-B792-7DD2EA84D1DA}"/>
              </c:ext>
            </c:extLst>
          </c:dPt>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Dashboard!$DS$4</c:f>
              <c:numCache>
                <c:formatCode>General</c:formatCode>
                <c:ptCount val="1"/>
                <c:pt idx="0">
                  <c:v>35</c:v>
                </c:pt>
              </c:numCache>
            </c:numRef>
          </c:val>
          <c:extLst>
            <c:ext xmlns:c16="http://schemas.microsoft.com/office/drawing/2014/chart" uri="{C3380CC4-5D6E-409C-BE32-E72D297353CC}">
              <c16:uniqueId val="{00000000-210E-CF4A-BF12-8B4E3F033F1D}"/>
            </c:ext>
          </c:extLst>
        </c:ser>
        <c:ser>
          <c:idx val="1"/>
          <c:order val="1"/>
          <c:spPr>
            <a:solidFill>
              <a:schemeClr val="bg1">
                <a:lumMod val="50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5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760752606831442"/>
                      <c:h val="0.33769248979408623"/>
                    </c:manualLayout>
                  </c15:layout>
                </c:ext>
                <c:ext xmlns:c16="http://schemas.microsoft.com/office/drawing/2014/chart" uri="{C3380CC4-5D6E-409C-BE32-E72D297353CC}">
                  <c16:uniqueId val="{00000001-210E-CF4A-BF12-8B4E3F033F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Dashboard!$DU$4</c:f>
              <c:numCache>
                <c:formatCode>General</c:formatCode>
                <c:ptCount val="1"/>
                <c:pt idx="0">
                  <c:v>54</c:v>
                </c:pt>
              </c:numCache>
            </c:numRef>
          </c:val>
          <c:extLst>
            <c:ext xmlns:c16="http://schemas.microsoft.com/office/drawing/2014/chart" uri="{C3380CC4-5D6E-409C-BE32-E72D297353CC}">
              <c16:uniqueId val="{00000002-210E-CF4A-BF12-8B4E3F033F1D}"/>
            </c:ext>
          </c:extLst>
        </c:ser>
        <c:dLbls>
          <c:showLegendKey val="0"/>
          <c:showVal val="0"/>
          <c:showCatName val="0"/>
          <c:showSerName val="0"/>
          <c:showPercent val="0"/>
          <c:showBubbleSize val="0"/>
        </c:dLbls>
        <c:gapWidth val="200"/>
        <c:overlap val="100"/>
        <c:axId val="1693344768"/>
        <c:axId val="1814587664"/>
      </c:barChart>
      <c:catAx>
        <c:axId val="1693344768"/>
        <c:scaling>
          <c:orientation val="minMax"/>
        </c:scaling>
        <c:delete val="1"/>
        <c:axPos val="l"/>
        <c:numFmt formatCode="General" sourceLinked="1"/>
        <c:majorTickMark val="none"/>
        <c:minorTickMark val="none"/>
        <c:tickLblPos val="nextTo"/>
        <c:crossAx val="1814587664"/>
        <c:crosses val="autoZero"/>
        <c:auto val="1"/>
        <c:lblAlgn val="ctr"/>
        <c:lblOffset val="100"/>
        <c:noMultiLvlLbl val="0"/>
      </c:catAx>
      <c:valAx>
        <c:axId val="1814587664"/>
        <c:scaling>
          <c:orientation val="minMax"/>
        </c:scaling>
        <c:delete val="1"/>
        <c:axPos val="b"/>
        <c:numFmt formatCode="General" sourceLinked="1"/>
        <c:majorTickMark val="none"/>
        <c:minorTickMark val="none"/>
        <c:tickLblPos val="nextTo"/>
        <c:crossAx val="16933447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bg1"/>
                </a:solidFill>
                <a:latin typeface="DIN Alternate" panose="020B0500000000000000" pitchFamily="34" charset="77"/>
                <a:ea typeface="+mn-ea"/>
                <a:cs typeface="+mn-cs"/>
              </a:defRPr>
            </a:pPr>
            <a:r>
              <a:rPr lang="en-GB" sz="1300">
                <a:solidFill>
                  <a:schemeClr val="bg1"/>
                </a:solidFill>
                <a:latin typeface="DIN Alternate" panose="020B0500000000000000" pitchFamily="34" charset="77"/>
              </a:rPr>
              <a:t>Opp Succ</a:t>
            </a:r>
            <a:r>
              <a:rPr lang="en-GB" sz="1300" baseline="0">
                <a:solidFill>
                  <a:schemeClr val="bg1"/>
                </a:solidFill>
                <a:latin typeface="DIN Alternate" panose="020B0500000000000000" pitchFamily="34" charset="77"/>
              </a:rPr>
              <a:t> Cross %</a:t>
            </a:r>
            <a:endParaRPr lang="en-GB" sz="1300">
              <a:solidFill>
                <a:schemeClr val="bg1"/>
              </a:solidFill>
              <a:latin typeface="DIN Alternate" panose="020B0500000000000000" pitchFamily="34" charset="77"/>
            </a:endParaRPr>
          </a:p>
        </c:rich>
      </c:tx>
      <c:overlay val="0"/>
      <c:spPr>
        <a:solidFill>
          <a:schemeClr val="bg1">
            <a:lumMod val="50000"/>
          </a:schemeClr>
        </a:solidFill>
        <a:ln>
          <a:noFill/>
        </a:ln>
        <a:effectLst/>
      </c:spPr>
      <c:txPr>
        <a:bodyPr rot="0" spcFirstLastPara="1" vertOverflow="ellipsis" vert="horz" wrap="square" anchor="ctr" anchorCtr="1"/>
        <a:lstStyle/>
        <a:p>
          <a:pPr>
            <a:defRPr sz="1300" b="0" i="0" u="none" strike="noStrike" kern="1200" spc="0" baseline="0">
              <a:solidFill>
                <a:schemeClr val="bg1"/>
              </a:solidFill>
              <a:latin typeface="DIN Alternate" panose="020B0500000000000000" pitchFamily="34" charset="77"/>
              <a:ea typeface="+mn-ea"/>
              <a:cs typeface="+mn-cs"/>
            </a:defRPr>
          </a:pPr>
          <a:endParaRPr lang="en-GB"/>
        </a:p>
      </c:txPr>
    </c:title>
    <c:autoTitleDeleted val="0"/>
    <c:plotArea>
      <c:layout>
        <c:manualLayout>
          <c:layoutTarget val="inner"/>
          <c:xMode val="edge"/>
          <c:yMode val="edge"/>
          <c:x val="0.29135394661033226"/>
          <c:y val="0.21981372664237864"/>
          <c:w val="0.41729249087766468"/>
          <c:h val="0.63839522858150199"/>
        </c:manualLayout>
      </c:layout>
      <c:doughnutChart>
        <c:varyColors val="1"/>
        <c:ser>
          <c:idx val="0"/>
          <c:order val="0"/>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B244-AC4C-A817-365D515BCBA0}"/>
              </c:ext>
            </c:extLst>
          </c:dPt>
          <c:dPt>
            <c:idx val="1"/>
            <c:bubble3D val="0"/>
            <c:spPr>
              <a:noFill/>
              <a:ln w="19050">
                <a:noFill/>
              </a:ln>
              <a:effectLst/>
            </c:spPr>
            <c:extLst>
              <c:ext xmlns:c16="http://schemas.microsoft.com/office/drawing/2014/chart" uri="{C3380CC4-5D6E-409C-BE32-E72D297353CC}">
                <c16:uniqueId val="{00000003-B244-AC4C-A817-365D515BCBA0}"/>
              </c:ext>
            </c:extLst>
          </c:dPt>
          <c:dLbls>
            <c:dLbl>
              <c:idx val="0"/>
              <c:layout>
                <c:manualLayout>
                  <c:x val="-0.17614235052351723"/>
                  <c:y val="1.3891377653249059E-2"/>
                </c:manualLayout>
              </c:layout>
              <c:tx>
                <c:rich>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fld id="{862AD4FD-B18E-D149-9044-042FBA941FB5}" type="VALUE">
                      <a:rPr lang="en-US" sz="1300">
                        <a:latin typeface="DIN Alternate" panose="020B0500000000000000" pitchFamily="34" charset="77"/>
                      </a:rPr>
                      <a:pPr>
                        <a:defRPr sz="1300"/>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GB"/>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244-AC4C-A817-365D515BCBA0}"/>
                </c:ext>
              </c:extLst>
            </c:dLbl>
            <c:dLbl>
              <c:idx val="1"/>
              <c:delete val="1"/>
              <c:extLst>
                <c:ext xmlns:c15="http://schemas.microsoft.com/office/drawing/2012/chart" uri="{CE6537A1-D6FC-4f65-9D91-7224C49458BB}"/>
                <c:ext xmlns:c16="http://schemas.microsoft.com/office/drawing/2014/chart" uri="{C3380CC4-5D6E-409C-BE32-E72D297353CC}">
                  <c16:uniqueId val="{00000003-B244-AC4C-A817-365D515BCB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Dashboard!$BY$4:$BZ$4</c:f>
              <c:numCache>
                <c:formatCode>0%</c:formatCode>
                <c:ptCount val="2"/>
                <c:pt idx="0">
                  <c:v>0.5</c:v>
                </c:pt>
                <c:pt idx="1">
                  <c:v>0.5</c:v>
                </c:pt>
              </c:numCache>
            </c:numRef>
          </c:val>
          <c:extLst>
            <c:ext xmlns:c16="http://schemas.microsoft.com/office/drawing/2014/chart" uri="{C3380CC4-5D6E-409C-BE32-E72D297353CC}">
              <c16:uniqueId val="{00000004-B244-AC4C-A817-365D515BCBA0}"/>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v>Build up +</c:v>
          </c:tx>
          <c:spPr>
            <a:solidFill>
              <a:srgbClr val="C00000"/>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3-1795-D145-B7B0-20FE7C8F359F}"/>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795-D145-B7B0-20FE7C8F359F}"/>
                </c:ext>
              </c:extLst>
            </c:dLbl>
            <c:spPr>
              <a:noFill/>
              <a:ln>
                <a:noFill/>
              </a:ln>
              <a:effectLst/>
            </c:spPr>
            <c:txPr>
              <a:bodyPr rot="0" spcFirstLastPara="1" vertOverflow="ellipsis" vert="horz" wrap="square" lIns="38100" tIns="19050" rIns="38100" bIns="19050" anchor="ctr" anchorCtr="1">
                <a:spAutoFit/>
              </a:bodyPr>
              <a:lstStyle/>
              <a:p>
                <a:pPr>
                  <a:defRPr sz="1250" b="0" i="0" u="none" strike="noStrike" kern="1200" baseline="0">
                    <a:solidFill>
                      <a:schemeClr val="bg1"/>
                    </a:solidFill>
                    <a:latin typeface="DIN Alternate" panose="020B0500000000000000" pitchFamily="34" charset="77"/>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Dashboard!$BG$4</c:f>
              <c:numCache>
                <c:formatCode>0%</c:formatCode>
                <c:ptCount val="1"/>
                <c:pt idx="0">
                  <c:v>0.38297872340425532</c:v>
                </c:pt>
              </c:numCache>
            </c:numRef>
          </c:val>
          <c:extLst>
            <c:ext xmlns:c16="http://schemas.microsoft.com/office/drawing/2014/chart" uri="{C3380CC4-5D6E-409C-BE32-E72D297353CC}">
              <c16:uniqueId val="{00000000-1795-D145-B7B0-20FE7C8F359F}"/>
            </c:ext>
          </c:extLst>
        </c:ser>
        <c:ser>
          <c:idx val="1"/>
          <c:order val="1"/>
          <c:tx>
            <c:v>Build up -</c:v>
          </c:tx>
          <c:spPr>
            <a:solidFill>
              <a:schemeClr val="accent2"/>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2-1795-D145-B7B0-20FE7C8F359F}"/>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1795-D145-B7B0-20FE7C8F35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Dashboard!$BH$4</c:f>
              <c:numCache>
                <c:formatCode>0%</c:formatCode>
                <c:ptCount val="1"/>
                <c:pt idx="0">
                  <c:v>0.61702127659574468</c:v>
                </c:pt>
              </c:numCache>
            </c:numRef>
          </c:val>
          <c:extLst>
            <c:ext xmlns:c16="http://schemas.microsoft.com/office/drawing/2014/chart" uri="{C3380CC4-5D6E-409C-BE32-E72D297353CC}">
              <c16:uniqueId val="{00000001-1795-D145-B7B0-20FE7C8F359F}"/>
            </c:ext>
          </c:extLst>
        </c:ser>
        <c:dLbls>
          <c:showLegendKey val="0"/>
          <c:showVal val="0"/>
          <c:showCatName val="0"/>
          <c:showSerName val="0"/>
          <c:showPercent val="0"/>
          <c:showBubbleSize val="0"/>
        </c:dLbls>
        <c:gapWidth val="200"/>
        <c:overlap val="100"/>
        <c:axId val="378243711"/>
        <c:axId val="378245503"/>
      </c:barChart>
      <c:catAx>
        <c:axId val="378243711"/>
        <c:scaling>
          <c:orientation val="minMax"/>
        </c:scaling>
        <c:delete val="1"/>
        <c:axPos val="l"/>
        <c:majorTickMark val="none"/>
        <c:minorTickMark val="none"/>
        <c:tickLblPos val="nextTo"/>
        <c:crossAx val="378245503"/>
        <c:crosses val="autoZero"/>
        <c:auto val="1"/>
        <c:lblAlgn val="ctr"/>
        <c:lblOffset val="100"/>
        <c:noMultiLvlLbl val="0"/>
      </c:catAx>
      <c:valAx>
        <c:axId val="378245503"/>
        <c:scaling>
          <c:orientation val="minMax"/>
        </c:scaling>
        <c:delete val="1"/>
        <c:axPos val="b"/>
        <c:numFmt formatCode="0%" sourceLinked="1"/>
        <c:majorTickMark val="none"/>
        <c:minorTickMark val="none"/>
        <c:tickLblPos val="nextTo"/>
        <c:crossAx val="37824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2-ED86-5D41-BE73-CF2BFDD51110}"/>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ED86-5D41-BE73-CF2BFDD51110}"/>
                </c:ext>
              </c:extLst>
            </c:dLbl>
            <c:spPr>
              <a:noFill/>
              <a:ln>
                <a:noFill/>
              </a:ln>
              <a:effectLst/>
            </c:spPr>
            <c:txPr>
              <a:bodyPr rot="0" spcFirstLastPara="1" vertOverflow="ellipsis" vert="horz" wrap="square" lIns="38100" tIns="19050" rIns="38100" bIns="19050" anchor="ctr" anchorCtr="1">
                <a:spAutoFit/>
              </a:bodyPr>
              <a:lstStyle/>
              <a:p>
                <a:pPr>
                  <a:defRPr sz="125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Dashboard!$BO$4</c:f>
              <c:numCache>
                <c:formatCode>0%</c:formatCode>
                <c:ptCount val="1"/>
                <c:pt idx="0">
                  <c:v>0.2857142857142857</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ED86-5D41-BE73-CF2BFDD51110}"/>
            </c:ext>
          </c:extLst>
        </c:ser>
        <c:ser>
          <c:idx val="1"/>
          <c:order val="1"/>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32F4-784C-B5F5-593E949909A5}"/>
                </c:ext>
              </c:extLst>
            </c:dLbl>
            <c:spPr>
              <a:noFill/>
              <a:ln>
                <a:noFill/>
              </a:ln>
              <a:effectLst/>
            </c:spPr>
            <c:txPr>
              <a:bodyPr rot="0" spcFirstLastPara="1" vertOverflow="ellipsis" vert="horz" wrap="square" lIns="38100" tIns="19050" rIns="38100" bIns="19050" anchor="ctr" anchorCtr="1">
                <a:spAutoFit/>
              </a:bodyPr>
              <a:lstStyle/>
              <a:p>
                <a:pPr>
                  <a:defRPr sz="125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Dashboard!$BP$4</c:f>
              <c:numCache>
                <c:formatCode>0%</c:formatCode>
                <c:ptCount val="1"/>
                <c:pt idx="0">
                  <c:v>0.7142857142857143</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1-ED86-5D41-BE73-CF2BFDD51110}"/>
            </c:ext>
          </c:extLst>
        </c:ser>
        <c:dLbls>
          <c:showLegendKey val="0"/>
          <c:showVal val="0"/>
          <c:showCatName val="0"/>
          <c:showSerName val="0"/>
          <c:showPercent val="0"/>
          <c:showBubbleSize val="0"/>
        </c:dLbls>
        <c:gapWidth val="200"/>
        <c:overlap val="100"/>
        <c:axId val="2083097216"/>
        <c:axId val="2102896704"/>
      </c:barChart>
      <c:catAx>
        <c:axId val="2083097216"/>
        <c:scaling>
          <c:orientation val="minMax"/>
        </c:scaling>
        <c:delete val="1"/>
        <c:axPos val="l"/>
        <c:numFmt formatCode="General" sourceLinked="1"/>
        <c:majorTickMark val="none"/>
        <c:minorTickMark val="none"/>
        <c:tickLblPos val="nextTo"/>
        <c:crossAx val="2102896704"/>
        <c:crosses val="autoZero"/>
        <c:auto val="1"/>
        <c:lblAlgn val="ctr"/>
        <c:lblOffset val="100"/>
        <c:noMultiLvlLbl val="0"/>
      </c:catAx>
      <c:valAx>
        <c:axId val="2102896704"/>
        <c:scaling>
          <c:orientation val="minMax"/>
        </c:scaling>
        <c:delete val="1"/>
        <c:axPos val="b"/>
        <c:numFmt formatCode="0%" sourceLinked="1"/>
        <c:majorTickMark val="none"/>
        <c:minorTickMark val="none"/>
        <c:tickLblPos val="nextTo"/>
        <c:crossAx val="208309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8FC8-DF40-8E16-12EB55204E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Dashboard!$CD$4</c:f>
              <c:numCache>
                <c:formatCode>0%</c:formatCode>
                <c:ptCount val="1"/>
                <c:pt idx="0">
                  <c:v>0.66666666666666663</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8FC8-DF40-8E16-12EB55204E86}"/>
            </c:ext>
          </c:extLst>
        </c:ser>
        <c:ser>
          <c:idx val="1"/>
          <c:order val="1"/>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8FC8-DF40-8E16-12EB55204E8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Dashboard!$CE$4</c:f>
              <c:numCache>
                <c:formatCode>0%</c:formatCode>
                <c:ptCount val="1"/>
                <c:pt idx="0">
                  <c:v>0.33333333333333331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1-8FC8-DF40-8E16-12EB55204E86}"/>
            </c:ext>
          </c:extLst>
        </c:ser>
        <c:dLbls>
          <c:showLegendKey val="0"/>
          <c:showVal val="0"/>
          <c:showCatName val="0"/>
          <c:showSerName val="0"/>
          <c:showPercent val="0"/>
          <c:showBubbleSize val="0"/>
        </c:dLbls>
        <c:gapWidth val="75"/>
        <c:overlap val="100"/>
        <c:axId val="109901375"/>
        <c:axId val="109898239"/>
      </c:barChart>
      <c:catAx>
        <c:axId val="109901375"/>
        <c:scaling>
          <c:orientation val="minMax"/>
        </c:scaling>
        <c:delete val="1"/>
        <c:axPos val="l"/>
        <c:numFmt formatCode="General" sourceLinked="1"/>
        <c:majorTickMark val="none"/>
        <c:minorTickMark val="none"/>
        <c:tickLblPos val="nextTo"/>
        <c:crossAx val="109898239"/>
        <c:crosses val="autoZero"/>
        <c:auto val="1"/>
        <c:lblAlgn val="ctr"/>
        <c:lblOffset val="100"/>
        <c:noMultiLvlLbl val="0"/>
      </c:catAx>
      <c:valAx>
        <c:axId val="109898239"/>
        <c:scaling>
          <c:orientation val="minMax"/>
          <c:max val="1"/>
          <c:min val="0"/>
        </c:scaling>
        <c:delete val="1"/>
        <c:axPos val="b"/>
        <c:numFmt formatCode="0%" sourceLinked="1"/>
        <c:majorTickMark val="none"/>
        <c:minorTickMark val="none"/>
        <c:tickLblPos val="nextTo"/>
        <c:crossAx val="10990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E1C9-544F-8ADB-BBD1773B10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Dashboard!$CL$4</c:f>
              <c:numCache>
                <c:formatCode>0%</c:formatCode>
                <c:ptCount val="1"/>
                <c:pt idx="0">
                  <c:v>0.7142857142857143</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E1C9-544F-8ADB-BBD1773B1062}"/>
            </c:ext>
          </c:extLst>
        </c:ser>
        <c:ser>
          <c:idx val="1"/>
          <c:order val="1"/>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25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E1C9-544F-8ADB-BBD1773B10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Dashboard!$CM$4</c:f>
              <c:numCache>
                <c:formatCode>0%</c:formatCode>
                <c:ptCount val="1"/>
                <c:pt idx="0">
                  <c:v>0.2857142857142857</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1-E1C9-544F-8ADB-BBD1773B1062}"/>
            </c:ext>
          </c:extLst>
        </c:ser>
        <c:dLbls>
          <c:showLegendKey val="0"/>
          <c:showVal val="0"/>
          <c:showCatName val="0"/>
          <c:showSerName val="0"/>
          <c:showPercent val="0"/>
          <c:showBubbleSize val="0"/>
        </c:dLbls>
        <c:gapWidth val="200"/>
        <c:overlap val="100"/>
        <c:axId val="2102747904"/>
        <c:axId val="114416191"/>
      </c:barChart>
      <c:catAx>
        <c:axId val="2102747904"/>
        <c:scaling>
          <c:orientation val="minMax"/>
        </c:scaling>
        <c:delete val="1"/>
        <c:axPos val="l"/>
        <c:numFmt formatCode="General" sourceLinked="1"/>
        <c:majorTickMark val="none"/>
        <c:minorTickMark val="none"/>
        <c:tickLblPos val="nextTo"/>
        <c:crossAx val="114416191"/>
        <c:crosses val="autoZero"/>
        <c:auto val="1"/>
        <c:lblAlgn val="ctr"/>
        <c:lblOffset val="100"/>
        <c:noMultiLvlLbl val="0"/>
      </c:catAx>
      <c:valAx>
        <c:axId val="114416191"/>
        <c:scaling>
          <c:orientation val="minMax"/>
        </c:scaling>
        <c:delete val="1"/>
        <c:axPos val="b"/>
        <c:numFmt formatCode="0%" sourceLinked="1"/>
        <c:majorTickMark val="none"/>
        <c:minorTickMark val="none"/>
        <c:tickLblPos val="nextTo"/>
        <c:crossAx val="210274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Dashboard!$ED$1</c:f>
              <c:strCache>
                <c:ptCount val="1"/>
                <c:pt idx="0">
                  <c:v>Total Completed Passes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8F6F-8541-88A6-34EBAE2A4EB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Dashboard!$ED$4</c:f>
              <c:numCache>
                <c:formatCode>0%</c:formatCode>
                <c:ptCount val="1"/>
                <c:pt idx="0">
                  <c:v>0.75515463917525771</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8F6F-8541-88A6-34EBAE2A4EBA}"/>
            </c:ext>
          </c:extLst>
        </c:ser>
        <c:ser>
          <c:idx val="1"/>
          <c:order val="1"/>
          <c:tx>
            <c:strRef>
              <c:f>Dashboard!$EE$1</c:f>
              <c:strCache>
                <c:ptCount val="1"/>
                <c:pt idx="0">
                  <c:v>Total Uncompleted Passes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9-8F6F-8541-88A6-34EBAE2A4EB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Dashboard!$EE$4</c:f>
              <c:numCache>
                <c:formatCode>0%</c:formatCode>
                <c:ptCount val="1"/>
                <c:pt idx="0">
                  <c:v>0.24484536082474226</c:v>
                </c:pt>
              </c:numCache>
            </c:numRef>
          </c:val>
          <c:extLst>
            <c:ext xmlns:c16="http://schemas.microsoft.com/office/drawing/2014/chart" uri="{C3380CC4-5D6E-409C-BE32-E72D297353CC}">
              <c16:uniqueId val="{00000001-8F6F-8541-88A6-34EBAE2A4EBA}"/>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Dashboard!$EI$1</c:f>
              <c:strCache>
                <c:ptCount val="1"/>
                <c:pt idx="0">
                  <c:v>Total Completed Forward Passes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9-AB57-B146-8E38-DC79BAE0EB87}"/>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Dashboard!$EI$4</c:f>
              <c:numCache>
                <c:formatCode>0%</c:formatCode>
                <c:ptCount val="1"/>
                <c:pt idx="0">
                  <c:v>0.60103626943005184</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AB57-B146-8E38-DC79BAE0EB87}"/>
            </c:ext>
          </c:extLst>
        </c:ser>
        <c:ser>
          <c:idx val="1"/>
          <c:order val="1"/>
          <c:tx>
            <c:strRef>
              <c:f>Dashboard!$EJ$1</c:f>
              <c:strCache>
                <c:ptCount val="1"/>
                <c:pt idx="0">
                  <c:v>Total Uncompleted Forward Passes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8-AB57-B146-8E38-DC79BAE0EB87}"/>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Dashboard!$EJ$4</c:f>
              <c:numCache>
                <c:formatCode>0%</c:formatCode>
                <c:ptCount val="1"/>
                <c:pt idx="0">
                  <c:v>0.39896373056994816</c:v>
                </c:pt>
              </c:numCache>
            </c:numRef>
          </c:val>
          <c:extLst>
            <c:ext xmlns:c16="http://schemas.microsoft.com/office/drawing/2014/chart" uri="{C3380CC4-5D6E-409C-BE32-E72D297353CC}">
              <c16:uniqueId val="{00000001-AB57-B146-8E38-DC79BAE0EB87}"/>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Dashboard!$EN$1</c:f>
              <c:strCache>
                <c:ptCount val="1"/>
                <c:pt idx="0">
                  <c:v>Total Completed Lateral Passes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8-2E23-F448-B3D1-C29406A0F15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Dashboard!$EN$4</c:f>
              <c:numCache>
                <c:formatCode>0%</c:formatCode>
                <c:ptCount val="1"/>
                <c:pt idx="0">
                  <c:v>0.85555555555555551</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2E23-F448-B3D1-C29406A0F15D}"/>
            </c:ext>
          </c:extLst>
        </c:ser>
        <c:ser>
          <c:idx val="1"/>
          <c:order val="1"/>
          <c:tx>
            <c:strRef>
              <c:f>Dashboard!$EO$1</c:f>
              <c:strCache>
                <c:ptCount val="1"/>
                <c:pt idx="0">
                  <c:v>Total Uncompleted Lateral Passes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9-2E23-F448-B3D1-C29406A0F15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Dashboard!$EO$4</c:f>
              <c:numCache>
                <c:formatCode>0%</c:formatCode>
                <c:ptCount val="1"/>
                <c:pt idx="0">
                  <c:v>0.14444444444444443</c:v>
                </c:pt>
              </c:numCache>
            </c:numRef>
          </c:val>
          <c:extLst>
            <c:ext xmlns:c16="http://schemas.microsoft.com/office/drawing/2014/chart" uri="{C3380CC4-5D6E-409C-BE32-E72D297353CC}">
              <c16:uniqueId val="{00000001-2E23-F448-B3D1-C29406A0F15D}"/>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Dashboard!$EX$1</c:f>
              <c:strCache>
                <c:ptCount val="1"/>
                <c:pt idx="0">
                  <c:v>Total Completed Long Passes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F6BF-AC4A-9593-F3918659D55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Dashboard!$EX$4</c:f>
              <c:numCache>
                <c:formatCode>0%</c:formatCode>
                <c:ptCount val="1"/>
                <c:pt idx="0">
                  <c:v>0.46511627906976744</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F6BF-AC4A-9593-F3918659D559}"/>
            </c:ext>
          </c:extLst>
        </c:ser>
        <c:ser>
          <c:idx val="1"/>
          <c:order val="1"/>
          <c:tx>
            <c:strRef>
              <c:f>Dashboard!$EY$1</c:f>
              <c:strCache>
                <c:ptCount val="1"/>
                <c:pt idx="0">
                  <c:v>Total Uncompleted Long Passes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F6BF-AC4A-9593-F3918659D55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Dashboard!$EY$4</c:f>
              <c:numCache>
                <c:formatCode>0%</c:formatCode>
                <c:ptCount val="1"/>
                <c:pt idx="0">
                  <c:v>0.55813953488372092</c:v>
                </c:pt>
              </c:numCache>
            </c:numRef>
          </c:val>
          <c:extLst>
            <c:ext xmlns:c16="http://schemas.microsoft.com/office/drawing/2014/chart" uri="{C3380CC4-5D6E-409C-BE32-E72D297353CC}">
              <c16:uniqueId val="{00000001-F6BF-AC4A-9593-F3918659D559}"/>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Dashboard!$ES$1</c:f>
              <c:strCache>
                <c:ptCount val="1"/>
                <c:pt idx="0">
                  <c:v>Total Completed Backward Passes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928E-8343-9AFB-1142700B783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Dashboard!$ES$4</c:f>
              <c:numCache>
                <c:formatCode>0%</c:formatCode>
                <c:ptCount val="1"/>
                <c:pt idx="0">
                  <c:v>0.95238095238095233</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928E-8343-9AFB-1142700B7839}"/>
            </c:ext>
          </c:extLst>
        </c:ser>
        <c:ser>
          <c:idx val="1"/>
          <c:order val="1"/>
          <c:tx>
            <c:strRef>
              <c:f>Dashboard!$ET$1</c:f>
              <c:strCache>
                <c:ptCount val="1"/>
                <c:pt idx="0">
                  <c:v>Total Uncompleted Backward Passes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928E-8343-9AFB-1142700B783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Dashboard!$ET$4</c:f>
              <c:numCache>
                <c:formatCode>0%</c:formatCode>
                <c:ptCount val="1"/>
                <c:pt idx="0">
                  <c:v>4.7619047619047616E-2</c:v>
                </c:pt>
              </c:numCache>
            </c:numRef>
          </c:val>
          <c:extLst>
            <c:ext xmlns:c16="http://schemas.microsoft.com/office/drawing/2014/chart" uri="{C3380CC4-5D6E-409C-BE32-E72D297353CC}">
              <c16:uniqueId val="{00000001-928E-8343-9AFB-1142700B7839}"/>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Dashboard!$FW$1</c:f>
              <c:strCache>
                <c:ptCount val="1"/>
                <c:pt idx="0">
                  <c:v>Total Completed 1v1 %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AC77-B640-B138-34A9BFCC29F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Dashboard!$FW$4</c:f>
              <c:numCache>
                <c:formatCode>0%</c:formatCode>
                <c:ptCount val="1"/>
                <c:pt idx="0">
                  <c:v>0.91304347826086951</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AC77-B640-B138-34A9BFCC29FF}"/>
            </c:ext>
          </c:extLst>
        </c:ser>
        <c:ser>
          <c:idx val="1"/>
          <c:order val="1"/>
          <c:tx>
            <c:strRef>
              <c:f>Dashboard!$FX$1</c:f>
              <c:strCache>
                <c:ptCount val="1"/>
                <c:pt idx="0">
                  <c:v>Total Uncompleted 1v1 %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AC77-B640-B138-34A9BFCC29F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Dashboard!$FX$4</c:f>
              <c:numCache>
                <c:formatCode>0%</c:formatCode>
                <c:ptCount val="1"/>
                <c:pt idx="0">
                  <c:v>8.6956521739130432E-2</c:v>
                </c:pt>
              </c:numCache>
            </c:numRef>
          </c:val>
          <c:extLst>
            <c:ext xmlns:c16="http://schemas.microsoft.com/office/drawing/2014/chart" uri="{C3380CC4-5D6E-409C-BE32-E72D297353CC}">
              <c16:uniqueId val="{00000001-AC77-B640-B138-34A9BFCC29FF}"/>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Dashboard!$GM$1</c:f>
              <c:strCache>
                <c:ptCount val="1"/>
                <c:pt idx="0">
                  <c:v>Total Succ Offensive duel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0C75-CC4E-9444-482D1848A95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Dashboard!$GM$4</c:f>
              <c:numCache>
                <c:formatCode>0%</c:formatCode>
                <c:ptCount val="1"/>
                <c:pt idx="0">
                  <c:v>0.89473684210526316</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0C75-CC4E-9444-482D1848A95B}"/>
            </c:ext>
          </c:extLst>
        </c:ser>
        <c:ser>
          <c:idx val="1"/>
          <c:order val="1"/>
          <c:tx>
            <c:strRef>
              <c:f>Dashboard!$GN$1</c:f>
              <c:strCache>
                <c:ptCount val="1"/>
                <c:pt idx="0">
                  <c:v>Total Unsuc Offensive duel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0C75-CC4E-9444-482D1848A95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Dashboard!$GN$4</c:f>
              <c:numCache>
                <c:formatCode>0%</c:formatCode>
                <c:ptCount val="1"/>
                <c:pt idx="0">
                  <c:v>0.10526315789473684</c:v>
                </c:pt>
              </c:numCache>
            </c:numRef>
          </c:val>
          <c:extLst>
            <c:ext xmlns:c16="http://schemas.microsoft.com/office/drawing/2014/chart" uri="{C3380CC4-5D6E-409C-BE32-E72D297353CC}">
              <c16:uniqueId val="{00000001-0C75-CC4E-9444-482D1848A95B}"/>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Dashboard!$HD$1</c:f>
              <c:strCache>
                <c:ptCount val="1"/>
                <c:pt idx="0">
                  <c:v>Total Succ Defensive duel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BE77-7446-8B1E-478F0E528EC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Dashboard!$HD$4</c:f>
              <c:numCache>
                <c:formatCode>0%</c:formatCode>
                <c:ptCount val="1"/>
                <c:pt idx="0">
                  <c:v>0.31428571428571428</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BE77-7446-8B1E-478F0E528ECA}"/>
            </c:ext>
          </c:extLst>
        </c:ser>
        <c:ser>
          <c:idx val="1"/>
          <c:order val="1"/>
          <c:tx>
            <c:strRef>
              <c:f>Dashboard!$HE$1</c:f>
              <c:strCache>
                <c:ptCount val="1"/>
                <c:pt idx="0">
                  <c:v>Total Unsuc Defensive duel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BE77-7446-8B1E-478F0E528EC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Dashboard!$HE$4</c:f>
              <c:numCache>
                <c:formatCode>0%</c:formatCode>
                <c:ptCount val="1"/>
                <c:pt idx="0">
                  <c:v>0.65714285714285714</c:v>
                </c:pt>
              </c:numCache>
            </c:numRef>
          </c:val>
          <c:extLst>
            <c:ext xmlns:c16="http://schemas.microsoft.com/office/drawing/2014/chart" uri="{C3380CC4-5D6E-409C-BE32-E72D297353CC}">
              <c16:uniqueId val="{00000001-BE77-7446-8B1E-478F0E528ECA}"/>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Dashboard!$HI$1</c:f>
              <c:strCache>
                <c:ptCount val="1"/>
                <c:pt idx="0">
                  <c:v>Total Succ Aerial duel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D6D8-6E4A-87E5-1F284C3D78D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Dashboard!$HI$4</c:f>
              <c:numCache>
                <c:formatCode>0%</c:formatCode>
                <c:ptCount val="1"/>
                <c:pt idx="0">
                  <c:v>0.55000000000000004</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D6D8-6E4A-87E5-1F284C3D78D9}"/>
            </c:ext>
          </c:extLst>
        </c:ser>
        <c:ser>
          <c:idx val="1"/>
          <c:order val="1"/>
          <c:tx>
            <c:strRef>
              <c:f>Dashboard!$HJ$1</c:f>
              <c:strCache>
                <c:ptCount val="1"/>
                <c:pt idx="0">
                  <c:v>Total Unsuc Aerial duel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D6D8-6E4A-87E5-1F284C3D78D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Dashboard!$HJ$4</c:f>
              <c:numCache>
                <c:formatCode>0%</c:formatCode>
                <c:ptCount val="1"/>
                <c:pt idx="0">
                  <c:v>0.45</c:v>
                </c:pt>
              </c:numCache>
            </c:numRef>
          </c:val>
          <c:extLst>
            <c:ext xmlns:c16="http://schemas.microsoft.com/office/drawing/2014/chart" uri="{C3380CC4-5D6E-409C-BE32-E72D297353CC}">
              <c16:uniqueId val="{00000001-D6D8-6E4A-87E5-1F284C3D78D9}"/>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Dashboard!$HX$1</c:f>
              <c:strCache>
                <c:ptCount val="1"/>
                <c:pt idx="0">
                  <c:v>Total Succ 2nd Ball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CA91-E749-9BD0-CE64EA531071}"/>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Dashboard!$HX$4</c:f>
              <c:numCache>
                <c:formatCode>0%</c:formatCode>
                <c:ptCount val="1"/>
                <c:pt idx="0">
                  <c:v>0.53333333333333333</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CA91-E749-9BD0-CE64EA531071}"/>
            </c:ext>
          </c:extLst>
        </c:ser>
        <c:ser>
          <c:idx val="1"/>
          <c:order val="1"/>
          <c:tx>
            <c:strRef>
              <c:f>Dashboard!$HY$1</c:f>
              <c:strCache>
                <c:ptCount val="1"/>
                <c:pt idx="0">
                  <c:v>Total Unsuc 2nd Ball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CA91-E749-9BD0-CE64EA531071}"/>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Dashboard!$HY$4</c:f>
              <c:numCache>
                <c:formatCode>0%</c:formatCode>
                <c:ptCount val="1"/>
                <c:pt idx="0">
                  <c:v>0.46666666666666667</c:v>
                </c:pt>
              </c:numCache>
            </c:numRef>
          </c:val>
          <c:extLst>
            <c:ext xmlns:c16="http://schemas.microsoft.com/office/drawing/2014/chart" uri="{C3380CC4-5D6E-409C-BE32-E72D297353CC}">
              <c16:uniqueId val="{00000001-CA91-E749-9BD0-CE64EA531071}"/>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Dashboard!$HN$1</c:f>
              <c:strCache>
                <c:ptCount val="1"/>
                <c:pt idx="0">
                  <c:v>Total Succ 1v1 Defence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BADC-AC42-A90E-2A1D3BA7AC9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Dashboard!$HN$4</c:f>
              <c:numCache>
                <c:formatCode>0%</c:formatCode>
                <c:ptCount val="1"/>
                <c:pt idx="0">
                  <c:v>0.66666666666666663</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BADC-AC42-A90E-2A1D3BA7AC9E}"/>
            </c:ext>
          </c:extLst>
        </c:ser>
        <c:ser>
          <c:idx val="1"/>
          <c:order val="1"/>
          <c:tx>
            <c:strRef>
              <c:f>Dashboard!$HO$1</c:f>
              <c:strCache>
                <c:ptCount val="1"/>
                <c:pt idx="0">
                  <c:v>Total Unsuc 1v1 Defence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BADC-AC42-A90E-2A1D3BA7AC9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Dashboard!$HO$4</c:f>
              <c:numCache>
                <c:formatCode>0%</c:formatCode>
                <c:ptCount val="1"/>
                <c:pt idx="0">
                  <c:v>0.33333333333333331</c:v>
                </c:pt>
              </c:numCache>
            </c:numRef>
          </c:val>
          <c:extLst>
            <c:ext xmlns:c16="http://schemas.microsoft.com/office/drawing/2014/chart" uri="{C3380CC4-5D6E-409C-BE32-E72D297353CC}">
              <c16:uniqueId val="{00000001-BADC-AC42-A90E-2A1D3BA7AC9E}"/>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Dashboard!$HS$1</c:f>
              <c:strCache>
                <c:ptCount val="1"/>
                <c:pt idx="0">
                  <c:v>Total Succ Tackles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4728-0C4C-B6D5-905FFF755133}"/>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Dashboard!$HS$4</c:f>
              <c:numCache>
                <c:formatCode>0%</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4728-0C4C-B6D5-905FFF755133}"/>
            </c:ext>
          </c:extLst>
        </c:ser>
        <c:ser>
          <c:idx val="1"/>
          <c:order val="1"/>
          <c:tx>
            <c:strRef>
              <c:f>Dashboard!$HT$1</c:f>
              <c:strCache>
                <c:ptCount val="1"/>
                <c:pt idx="0">
                  <c:v>Total Unsuc Tackles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4728-0C4C-B6D5-905FFF755133}"/>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Dashboard!$HT$4</c:f>
              <c:numCache>
                <c:formatCode>0%</c:formatCode>
                <c:ptCount val="1"/>
                <c:pt idx="0">
                  <c:v>0</c:v>
                </c:pt>
              </c:numCache>
            </c:numRef>
          </c:val>
          <c:extLst>
            <c:ext xmlns:c16="http://schemas.microsoft.com/office/drawing/2014/chart" uri="{C3380CC4-5D6E-409C-BE32-E72D297353CC}">
              <c16:uniqueId val="{00000001-4728-0C4C-B6D5-905FFF755133}"/>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chart" Target="../charts/chart10.xml"/><Relationship Id="rId18" Type="http://schemas.openxmlformats.org/officeDocument/2006/relationships/chart" Target="../charts/chart15.xml"/><Relationship Id="rId26" Type="http://schemas.openxmlformats.org/officeDocument/2006/relationships/chart" Target="../charts/chart23.xml"/><Relationship Id="rId3" Type="http://schemas.openxmlformats.org/officeDocument/2006/relationships/image" Target="../media/image30.png"/><Relationship Id="rId21" Type="http://schemas.openxmlformats.org/officeDocument/2006/relationships/chart" Target="../charts/chart18.xml"/><Relationship Id="rId7" Type="http://schemas.openxmlformats.org/officeDocument/2006/relationships/chart" Target="../charts/chart4.xml"/><Relationship Id="rId12" Type="http://schemas.openxmlformats.org/officeDocument/2006/relationships/chart" Target="../charts/chart9.xml"/><Relationship Id="rId17" Type="http://schemas.openxmlformats.org/officeDocument/2006/relationships/chart" Target="../charts/chart14.xml"/><Relationship Id="rId25" Type="http://schemas.openxmlformats.org/officeDocument/2006/relationships/chart" Target="../charts/chart22.xml"/><Relationship Id="rId2" Type="http://schemas.openxmlformats.org/officeDocument/2006/relationships/customXml" Target="../ink/ink1.xml"/><Relationship Id="rId16" Type="http://schemas.openxmlformats.org/officeDocument/2006/relationships/chart" Target="../charts/chart13.xml"/><Relationship Id="rId20" Type="http://schemas.openxmlformats.org/officeDocument/2006/relationships/chart" Target="../charts/chart17.xml"/><Relationship Id="rId29" Type="http://schemas.openxmlformats.org/officeDocument/2006/relationships/customXml" Target="../ink/ink3.xml"/><Relationship Id="rId1" Type="http://schemas.openxmlformats.org/officeDocument/2006/relationships/chart" Target="../charts/chart1.xml"/><Relationship Id="rId6" Type="http://schemas.openxmlformats.org/officeDocument/2006/relationships/chart" Target="../charts/chart3.xml"/><Relationship Id="rId11" Type="http://schemas.openxmlformats.org/officeDocument/2006/relationships/chart" Target="../charts/chart8.xml"/><Relationship Id="rId24" Type="http://schemas.openxmlformats.org/officeDocument/2006/relationships/chart" Target="../charts/chart21.xml"/><Relationship Id="rId5" Type="http://schemas.openxmlformats.org/officeDocument/2006/relationships/chart" Target="../charts/chart2.xml"/><Relationship Id="rId15" Type="http://schemas.openxmlformats.org/officeDocument/2006/relationships/chart" Target="../charts/chart12.xml"/><Relationship Id="rId23" Type="http://schemas.openxmlformats.org/officeDocument/2006/relationships/chart" Target="../charts/chart20.xml"/><Relationship Id="rId28" Type="http://schemas.openxmlformats.org/officeDocument/2006/relationships/chart" Target="../charts/chart25.xml"/><Relationship Id="rId10" Type="http://schemas.openxmlformats.org/officeDocument/2006/relationships/chart" Target="../charts/chart7.xml"/><Relationship Id="rId19" Type="http://schemas.openxmlformats.org/officeDocument/2006/relationships/chart" Target="../charts/chart16.xml"/><Relationship Id="rId4" Type="http://schemas.openxmlformats.org/officeDocument/2006/relationships/customXml" Target="../ink/ink2.xml"/><Relationship Id="rId9" Type="http://schemas.openxmlformats.org/officeDocument/2006/relationships/chart" Target="../charts/chart6.xml"/><Relationship Id="rId14" Type="http://schemas.openxmlformats.org/officeDocument/2006/relationships/chart" Target="../charts/chart11.xml"/><Relationship Id="rId22" Type="http://schemas.openxmlformats.org/officeDocument/2006/relationships/chart" Target="../charts/chart19.xml"/><Relationship Id="rId27" Type="http://schemas.openxmlformats.org/officeDocument/2006/relationships/chart" Target="../charts/chart24.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4</xdr:col>
      <xdr:colOff>497810</xdr:colOff>
      <xdr:row>7</xdr:row>
      <xdr:rowOff>136919</xdr:rowOff>
    </xdr:from>
    <xdr:to>
      <xdr:col>7</xdr:col>
      <xdr:colOff>546100</xdr:colOff>
      <xdr:row>14</xdr:row>
      <xdr:rowOff>114300</xdr:rowOff>
    </xdr:to>
    <xdr:graphicFrame macro="">
      <xdr:nvGraphicFramePr>
        <xdr:cNvPr id="2" name="Chart 1">
          <a:extLst>
            <a:ext uri="{FF2B5EF4-FFF2-40B4-BE49-F238E27FC236}">
              <a16:creationId xmlns:a16="http://schemas.microsoft.com/office/drawing/2014/main" id="{980FE49B-C15C-D348-BB03-4193CA016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32320</xdr:colOff>
      <xdr:row>5</xdr:row>
      <xdr:rowOff>216380</xdr:rowOff>
    </xdr:from>
    <xdr:to>
      <xdr:col>15</xdr:col>
      <xdr:colOff>64640</xdr:colOff>
      <xdr:row>5</xdr:row>
      <xdr:rowOff>216740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3" name="Ink 2">
              <a:extLst>
                <a:ext uri="{FF2B5EF4-FFF2-40B4-BE49-F238E27FC236}">
                  <a16:creationId xmlns:a16="http://schemas.microsoft.com/office/drawing/2014/main" id="{66784579-C7C7-F24D-8913-BA9E3851817D}"/>
                </a:ext>
              </a:extLst>
            </xdr14:cNvPr>
            <xdr14:cNvContentPartPr/>
          </xdr14:nvContentPartPr>
          <xdr14:nvPr macro=""/>
          <xdr14:xfrm>
            <a:off x="8363520" y="533880"/>
            <a:ext cx="360" cy="360"/>
          </xdr14:xfrm>
        </xdr:contentPart>
      </mc:Choice>
      <mc:Fallback xmlns="">
        <xdr:pic>
          <xdr:nvPicPr>
            <xdr:cNvPr id="3" name="Ink 2">
              <a:extLst>
                <a:ext uri="{FF2B5EF4-FFF2-40B4-BE49-F238E27FC236}">
                  <a16:creationId xmlns:a16="http://schemas.microsoft.com/office/drawing/2014/main" id="{EAAE4234-4954-F27B-9762-C3BC13D4D555}"/>
                </a:ext>
              </a:extLst>
            </xdr:cNvPr>
            <xdr:cNvPicPr/>
          </xdr:nvPicPr>
          <xdr:blipFill>
            <a:blip xmlns:r="http://schemas.openxmlformats.org/officeDocument/2006/relationships" r:embed="rId3"/>
            <a:stretch>
              <a:fillRect/>
            </a:stretch>
          </xdr:blipFill>
          <xdr:spPr>
            <a:xfrm>
              <a:off x="8354880" y="524880"/>
              <a:ext cx="18000" cy="18000"/>
            </a:xfrm>
            <a:prstGeom prst="rect">
              <a:avLst/>
            </a:prstGeom>
          </xdr:spPr>
        </xdr:pic>
      </mc:Fallback>
    </mc:AlternateContent>
    <xdr:clientData/>
  </xdr:twoCellAnchor>
  <xdr:twoCellAnchor editAs="oneCell">
    <xdr:from>
      <xdr:col>7</xdr:col>
      <xdr:colOff>418900</xdr:colOff>
      <xdr:row>14</xdr:row>
      <xdr:rowOff>0</xdr:rowOff>
    </xdr:from>
    <xdr:to>
      <xdr:col>7</xdr:col>
      <xdr:colOff>419260</xdr:colOff>
      <xdr:row>14</xdr:row>
      <xdr:rowOff>360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Ink 3">
              <a:extLst>
                <a:ext uri="{FF2B5EF4-FFF2-40B4-BE49-F238E27FC236}">
                  <a16:creationId xmlns:a16="http://schemas.microsoft.com/office/drawing/2014/main" id="{E3A3835F-11C9-C14D-9D98-FB2250A4A1AA}"/>
                </a:ext>
              </a:extLst>
            </xdr14:cNvPr>
            <xdr14:cNvContentPartPr/>
          </xdr14:nvContentPartPr>
          <xdr14:nvPr macro=""/>
          <xdr14:xfrm>
            <a:off x="4597200" y="3710520"/>
            <a:ext cx="360" cy="360"/>
          </xdr14:xfrm>
        </xdr:contentPart>
      </mc:Choice>
      <mc:Fallback xmlns="">
        <xdr:pic>
          <xdr:nvPicPr>
            <xdr:cNvPr id="6" name="Ink 5">
              <a:extLst>
                <a:ext uri="{FF2B5EF4-FFF2-40B4-BE49-F238E27FC236}">
                  <a16:creationId xmlns:a16="http://schemas.microsoft.com/office/drawing/2014/main" id="{7F6200B5-2365-3705-236F-77DF4E506623}"/>
                </a:ext>
              </a:extLst>
            </xdr:cNvPr>
            <xdr:cNvPicPr/>
          </xdr:nvPicPr>
          <xdr:blipFill>
            <a:blip xmlns:r="http://schemas.openxmlformats.org/officeDocument/2006/relationships" r:embed="rId3"/>
            <a:stretch>
              <a:fillRect/>
            </a:stretch>
          </xdr:blipFill>
          <xdr:spPr>
            <a:xfrm>
              <a:off x="4588200" y="3701520"/>
              <a:ext cx="18000" cy="18000"/>
            </a:xfrm>
            <a:prstGeom prst="rect">
              <a:avLst/>
            </a:prstGeom>
          </xdr:spPr>
        </xdr:pic>
      </mc:Fallback>
    </mc:AlternateContent>
    <xdr:clientData/>
  </xdr:twoCellAnchor>
  <xdr:twoCellAnchor>
    <xdr:from>
      <xdr:col>10</xdr:col>
      <xdr:colOff>465517</xdr:colOff>
      <xdr:row>12</xdr:row>
      <xdr:rowOff>108624</xdr:rowOff>
    </xdr:from>
    <xdr:to>
      <xdr:col>19</xdr:col>
      <xdr:colOff>243340</xdr:colOff>
      <xdr:row>16</xdr:row>
      <xdr:rowOff>94953</xdr:rowOff>
    </xdr:to>
    <xdr:graphicFrame macro="">
      <xdr:nvGraphicFramePr>
        <xdr:cNvPr id="5" name="Chart 4">
          <a:extLst>
            <a:ext uri="{FF2B5EF4-FFF2-40B4-BE49-F238E27FC236}">
              <a16:creationId xmlns:a16="http://schemas.microsoft.com/office/drawing/2014/main" id="{3E3968B4-6E9E-E04C-BB36-1F06EAF7C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188016</xdr:colOff>
      <xdr:row>23</xdr:row>
      <xdr:rowOff>214715</xdr:rowOff>
    </xdr:from>
    <xdr:to>
      <xdr:col>11</xdr:col>
      <xdr:colOff>397200</xdr:colOff>
      <xdr:row>29</xdr:row>
      <xdr:rowOff>25631</xdr:rowOff>
    </xdr:to>
    <xdr:graphicFrame macro="">
      <xdr:nvGraphicFramePr>
        <xdr:cNvPr id="6" name="Chart 5">
          <a:extLst>
            <a:ext uri="{FF2B5EF4-FFF2-40B4-BE49-F238E27FC236}">
              <a16:creationId xmlns:a16="http://schemas.microsoft.com/office/drawing/2014/main" id="{DF4E0C4B-4DF5-3041-B571-5E7F96A60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552061</xdr:colOff>
      <xdr:row>23</xdr:row>
      <xdr:rowOff>160779</xdr:rowOff>
    </xdr:from>
    <xdr:to>
      <xdr:col>20</xdr:col>
      <xdr:colOff>184498</xdr:colOff>
      <xdr:row>28</xdr:row>
      <xdr:rowOff>280251</xdr:rowOff>
    </xdr:to>
    <xdr:graphicFrame macro="">
      <xdr:nvGraphicFramePr>
        <xdr:cNvPr id="7" name="Chart 6">
          <a:extLst>
            <a:ext uri="{FF2B5EF4-FFF2-40B4-BE49-F238E27FC236}">
              <a16:creationId xmlns:a16="http://schemas.microsoft.com/office/drawing/2014/main" id="{74497941-47EC-0041-A932-621821FA6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314138</xdr:colOff>
      <xdr:row>36</xdr:row>
      <xdr:rowOff>0</xdr:rowOff>
    </xdr:from>
    <xdr:to>
      <xdr:col>14</xdr:col>
      <xdr:colOff>439559</xdr:colOff>
      <xdr:row>40</xdr:row>
      <xdr:rowOff>0</xdr:rowOff>
    </xdr:to>
    <xdr:graphicFrame macro="">
      <xdr:nvGraphicFramePr>
        <xdr:cNvPr id="8" name="Chart 7">
          <a:extLst>
            <a:ext uri="{FF2B5EF4-FFF2-40B4-BE49-F238E27FC236}">
              <a16:creationId xmlns:a16="http://schemas.microsoft.com/office/drawing/2014/main" id="{4D5E9722-0D7C-8C47-B460-82545268C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335202</xdr:colOff>
      <xdr:row>36</xdr:row>
      <xdr:rowOff>0</xdr:rowOff>
    </xdr:from>
    <xdr:to>
      <xdr:col>10</xdr:col>
      <xdr:colOff>564443</xdr:colOff>
      <xdr:row>40</xdr:row>
      <xdr:rowOff>0</xdr:rowOff>
    </xdr:to>
    <xdr:graphicFrame macro="">
      <xdr:nvGraphicFramePr>
        <xdr:cNvPr id="12" name="Chart 11">
          <a:extLst>
            <a:ext uri="{FF2B5EF4-FFF2-40B4-BE49-F238E27FC236}">
              <a16:creationId xmlns:a16="http://schemas.microsoft.com/office/drawing/2014/main" id="{68CD0C92-C395-F64B-9182-097AD2E15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457656</xdr:colOff>
      <xdr:row>18</xdr:row>
      <xdr:rowOff>251711</xdr:rowOff>
    </xdr:from>
    <xdr:to>
      <xdr:col>19</xdr:col>
      <xdr:colOff>235479</xdr:colOff>
      <xdr:row>22</xdr:row>
      <xdr:rowOff>201776</xdr:rowOff>
    </xdr:to>
    <xdr:graphicFrame macro="">
      <xdr:nvGraphicFramePr>
        <xdr:cNvPr id="15" name="Chart 14">
          <a:extLst>
            <a:ext uri="{FF2B5EF4-FFF2-40B4-BE49-F238E27FC236}">
              <a16:creationId xmlns:a16="http://schemas.microsoft.com/office/drawing/2014/main" id="{5AEFEF4F-D175-484C-B565-4778AFF02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411891</xdr:colOff>
      <xdr:row>15</xdr:row>
      <xdr:rowOff>91531</xdr:rowOff>
    </xdr:from>
    <xdr:to>
      <xdr:col>19</xdr:col>
      <xdr:colOff>189714</xdr:colOff>
      <xdr:row>19</xdr:row>
      <xdr:rowOff>205699</xdr:rowOff>
    </xdr:to>
    <xdr:graphicFrame macro="">
      <xdr:nvGraphicFramePr>
        <xdr:cNvPr id="16" name="Chart 15">
          <a:extLst>
            <a:ext uri="{FF2B5EF4-FFF2-40B4-BE49-F238E27FC236}">
              <a16:creationId xmlns:a16="http://schemas.microsoft.com/office/drawing/2014/main" id="{83B0318B-FFF8-5344-8EF1-F8281269C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305441</xdr:colOff>
      <xdr:row>36</xdr:row>
      <xdr:rowOff>51955</xdr:rowOff>
    </xdr:from>
    <xdr:to>
      <xdr:col>22</xdr:col>
      <xdr:colOff>154196</xdr:colOff>
      <xdr:row>40</xdr:row>
      <xdr:rowOff>0</xdr:rowOff>
    </xdr:to>
    <xdr:graphicFrame macro="">
      <xdr:nvGraphicFramePr>
        <xdr:cNvPr id="19" name="Chart 18">
          <a:extLst>
            <a:ext uri="{FF2B5EF4-FFF2-40B4-BE49-F238E27FC236}">
              <a16:creationId xmlns:a16="http://schemas.microsoft.com/office/drawing/2014/main" id="{71B21EDB-5A46-234C-9853-A38011FF9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595754</xdr:colOff>
      <xdr:row>34</xdr:row>
      <xdr:rowOff>80838</xdr:rowOff>
    </xdr:from>
    <xdr:to>
      <xdr:col>15</xdr:col>
      <xdr:colOff>498899</xdr:colOff>
      <xdr:row>36</xdr:row>
      <xdr:rowOff>281144</xdr:rowOff>
    </xdr:to>
    <xdr:graphicFrame macro="">
      <xdr:nvGraphicFramePr>
        <xdr:cNvPr id="20" name="Chart 19">
          <a:extLst>
            <a:ext uri="{FF2B5EF4-FFF2-40B4-BE49-F238E27FC236}">
              <a16:creationId xmlns:a16="http://schemas.microsoft.com/office/drawing/2014/main" id="{EAF5747D-82C8-354E-9E18-642B5E9D9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403004</xdr:colOff>
      <xdr:row>34</xdr:row>
      <xdr:rowOff>65213</xdr:rowOff>
    </xdr:from>
    <xdr:to>
      <xdr:col>8</xdr:col>
      <xdr:colOff>130995</xdr:colOff>
      <xdr:row>36</xdr:row>
      <xdr:rowOff>245362</xdr:rowOff>
    </xdr:to>
    <xdr:graphicFrame macro="">
      <xdr:nvGraphicFramePr>
        <xdr:cNvPr id="21" name="Chart 20">
          <a:extLst>
            <a:ext uri="{FF2B5EF4-FFF2-40B4-BE49-F238E27FC236}">
              <a16:creationId xmlns:a16="http://schemas.microsoft.com/office/drawing/2014/main" id="{2AD0513B-2C21-7E47-9710-408917CBC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475870</xdr:colOff>
      <xdr:row>34</xdr:row>
      <xdr:rowOff>202555</xdr:rowOff>
    </xdr:from>
    <xdr:to>
      <xdr:col>22</xdr:col>
      <xdr:colOff>67862</xdr:colOff>
      <xdr:row>36</xdr:row>
      <xdr:rowOff>135725</xdr:rowOff>
    </xdr:to>
    <xdr:graphicFrame macro="">
      <xdr:nvGraphicFramePr>
        <xdr:cNvPr id="22" name="Chart 21">
          <a:extLst>
            <a:ext uri="{FF2B5EF4-FFF2-40B4-BE49-F238E27FC236}">
              <a16:creationId xmlns:a16="http://schemas.microsoft.com/office/drawing/2014/main" id="{038A862A-4FB7-6E4B-9313-152E933B9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431468</xdr:colOff>
      <xdr:row>34</xdr:row>
      <xdr:rowOff>74336</xdr:rowOff>
    </xdr:from>
    <xdr:to>
      <xdr:col>28</xdr:col>
      <xdr:colOff>229693</xdr:colOff>
      <xdr:row>36</xdr:row>
      <xdr:rowOff>213282</xdr:rowOff>
    </xdr:to>
    <xdr:graphicFrame macro="">
      <xdr:nvGraphicFramePr>
        <xdr:cNvPr id="25" name="Chart 24">
          <a:extLst>
            <a:ext uri="{FF2B5EF4-FFF2-40B4-BE49-F238E27FC236}">
              <a16:creationId xmlns:a16="http://schemas.microsoft.com/office/drawing/2014/main" id="{9A4529CD-73B6-8A46-A60B-6527A4310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419698</xdr:colOff>
      <xdr:row>47</xdr:row>
      <xdr:rowOff>146638</xdr:rowOff>
    </xdr:from>
    <xdr:to>
      <xdr:col>15</xdr:col>
      <xdr:colOff>190174</xdr:colOff>
      <xdr:row>49</xdr:row>
      <xdr:rowOff>204180</xdr:rowOff>
    </xdr:to>
    <xdr:graphicFrame macro="">
      <xdr:nvGraphicFramePr>
        <xdr:cNvPr id="10" name="Chart 9">
          <a:extLst>
            <a:ext uri="{FF2B5EF4-FFF2-40B4-BE49-F238E27FC236}">
              <a16:creationId xmlns:a16="http://schemas.microsoft.com/office/drawing/2014/main" id="{957C4FAA-DF1D-2446-9A8C-83794A1F3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404227</xdr:colOff>
      <xdr:row>47</xdr:row>
      <xdr:rowOff>154627</xdr:rowOff>
    </xdr:from>
    <xdr:to>
      <xdr:col>10</xdr:col>
      <xdr:colOff>151613</xdr:colOff>
      <xdr:row>49</xdr:row>
      <xdr:rowOff>212169</xdr:rowOff>
    </xdr:to>
    <xdr:graphicFrame macro="">
      <xdr:nvGraphicFramePr>
        <xdr:cNvPr id="11" name="Chart 10">
          <a:extLst>
            <a:ext uri="{FF2B5EF4-FFF2-40B4-BE49-F238E27FC236}">
              <a16:creationId xmlns:a16="http://schemas.microsoft.com/office/drawing/2014/main" id="{9CB86484-39B1-B443-8537-0325C0657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360020</xdr:colOff>
      <xdr:row>50</xdr:row>
      <xdr:rowOff>131477</xdr:rowOff>
    </xdr:from>
    <xdr:to>
      <xdr:col>10</xdr:col>
      <xdr:colOff>107406</xdr:colOff>
      <xdr:row>52</xdr:row>
      <xdr:rowOff>189019</xdr:rowOff>
    </xdr:to>
    <xdr:graphicFrame macro="">
      <xdr:nvGraphicFramePr>
        <xdr:cNvPr id="18" name="Chart 17">
          <a:extLst>
            <a:ext uri="{FF2B5EF4-FFF2-40B4-BE49-F238E27FC236}">
              <a16:creationId xmlns:a16="http://schemas.microsoft.com/office/drawing/2014/main" id="{94F78F79-1357-F643-9E20-3000DB509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423919</xdr:colOff>
      <xdr:row>50</xdr:row>
      <xdr:rowOff>144797</xdr:rowOff>
    </xdr:from>
    <xdr:to>
      <xdr:col>15</xdr:col>
      <xdr:colOff>194395</xdr:colOff>
      <xdr:row>52</xdr:row>
      <xdr:rowOff>202339</xdr:rowOff>
    </xdr:to>
    <xdr:graphicFrame macro="">
      <xdr:nvGraphicFramePr>
        <xdr:cNvPr id="23" name="Chart 22">
          <a:extLst>
            <a:ext uri="{FF2B5EF4-FFF2-40B4-BE49-F238E27FC236}">
              <a16:creationId xmlns:a16="http://schemas.microsoft.com/office/drawing/2014/main" id="{330CA6B4-E558-E443-8C44-D7B4418E7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416800</xdr:colOff>
      <xdr:row>47</xdr:row>
      <xdr:rowOff>123511</xdr:rowOff>
    </xdr:from>
    <xdr:to>
      <xdr:col>6</xdr:col>
      <xdr:colOff>164185</xdr:colOff>
      <xdr:row>49</xdr:row>
      <xdr:rowOff>181053</xdr:rowOff>
    </xdr:to>
    <xdr:graphicFrame macro="">
      <xdr:nvGraphicFramePr>
        <xdr:cNvPr id="24" name="Chart 23">
          <a:extLst>
            <a:ext uri="{FF2B5EF4-FFF2-40B4-BE49-F238E27FC236}">
              <a16:creationId xmlns:a16="http://schemas.microsoft.com/office/drawing/2014/main" id="{AF9CDDF9-A8A8-454C-BF22-E3A1C3FF0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15</xdr:col>
      <xdr:colOff>442471</xdr:colOff>
      <xdr:row>53</xdr:row>
      <xdr:rowOff>185229</xdr:rowOff>
    </xdr:from>
    <xdr:to>
      <xdr:col>19</xdr:col>
      <xdr:colOff>191422</xdr:colOff>
      <xdr:row>55</xdr:row>
      <xdr:rowOff>242772</xdr:rowOff>
    </xdr:to>
    <xdr:graphicFrame macro="">
      <xdr:nvGraphicFramePr>
        <xdr:cNvPr id="26" name="Chart 25">
          <a:extLst>
            <a:ext uri="{FF2B5EF4-FFF2-40B4-BE49-F238E27FC236}">
              <a16:creationId xmlns:a16="http://schemas.microsoft.com/office/drawing/2014/main" id="{2F2C7F72-1614-3047-9B6C-28C015443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6</xdr:col>
      <xdr:colOff>366011</xdr:colOff>
      <xdr:row>53</xdr:row>
      <xdr:rowOff>199287</xdr:rowOff>
    </xdr:from>
    <xdr:to>
      <xdr:col>10</xdr:col>
      <xdr:colOff>113397</xdr:colOff>
      <xdr:row>55</xdr:row>
      <xdr:rowOff>256830</xdr:rowOff>
    </xdr:to>
    <xdr:graphicFrame macro="">
      <xdr:nvGraphicFramePr>
        <xdr:cNvPr id="27" name="Chart 26">
          <a:extLst>
            <a:ext uri="{FF2B5EF4-FFF2-40B4-BE49-F238E27FC236}">
              <a16:creationId xmlns:a16="http://schemas.microsoft.com/office/drawing/2014/main" id="{95161DFE-95F2-034E-B3AF-453EF4ECB6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15</xdr:col>
      <xdr:colOff>420338</xdr:colOff>
      <xdr:row>47</xdr:row>
      <xdr:rowOff>112696</xdr:rowOff>
    </xdr:from>
    <xdr:to>
      <xdr:col>19</xdr:col>
      <xdr:colOff>167723</xdr:colOff>
      <xdr:row>49</xdr:row>
      <xdr:rowOff>170238</xdr:rowOff>
    </xdr:to>
    <xdr:graphicFrame macro="">
      <xdr:nvGraphicFramePr>
        <xdr:cNvPr id="28" name="Chart 27">
          <a:extLst>
            <a:ext uri="{FF2B5EF4-FFF2-40B4-BE49-F238E27FC236}">
              <a16:creationId xmlns:a16="http://schemas.microsoft.com/office/drawing/2014/main" id="{75E6D6E2-4037-A74E-AF63-0252F6A7C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19</xdr:col>
      <xdr:colOff>429266</xdr:colOff>
      <xdr:row>47</xdr:row>
      <xdr:rowOff>137346</xdr:rowOff>
    </xdr:from>
    <xdr:to>
      <xdr:col>23</xdr:col>
      <xdr:colOff>176652</xdr:colOff>
      <xdr:row>49</xdr:row>
      <xdr:rowOff>191016</xdr:rowOff>
    </xdr:to>
    <xdr:graphicFrame macro="">
      <xdr:nvGraphicFramePr>
        <xdr:cNvPr id="29" name="Chart 28">
          <a:extLst>
            <a:ext uri="{FF2B5EF4-FFF2-40B4-BE49-F238E27FC236}">
              <a16:creationId xmlns:a16="http://schemas.microsoft.com/office/drawing/2014/main" id="{A3A67A12-5075-E44D-98D0-6E1BD64923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19</xdr:col>
      <xdr:colOff>398401</xdr:colOff>
      <xdr:row>50</xdr:row>
      <xdr:rowOff>166948</xdr:rowOff>
    </xdr:from>
    <xdr:to>
      <xdr:col>23</xdr:col>
      <xdr:colOff>145787</xdr:colOff>
      <xdr:row>52</xdr:row>
      <xdr:rowOff>220618</xdr:rowOff>
    </xdr:to>
    <xdr:graphicFrame macro="">
      <xdr:nvGraphicFramePr>
        <xdr:cNvPr id="30" name="Chart 29">
          <a:extLst>
            <a:ext uri="{FF2B5EF4-FFF2-40B4-BE49-F238E27FC236}">
              <a16:creationId xmlns:a16="http://schemas.microsoft.com/office/drawing/2014/main" id="{9F57FB6F-7F8D-C741-A14D-6AC881F72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19</xdr:col>
      <xdr:colOff>383753</xdr:colOff>
      <xdr:row>53</xdr:row>
      <xdr:rowOff>156183</xdr:rowOff>
    </xdr:from>
    <xdr:to>
      <xdr:col>23</xdr:col>
      <xdr:colOff>131137</xdr:colOff>
      <xdr:row>55</xdr:row>
      <xdr:rowOff>213726</xdr:rowOff>
    </xdr:to>
    <xdr:graphicFrame macro="">
      <xdr:nvGraphicFramePr>
        <xdr:cNvPr id="31" name="Chart 30">
          <a:extLst>
            <a:ext uri="{FF2B5EF4-FFF2-40B4-BE49-F238E27FC236}">
              <a16:creationId xmlns:a16="http://schemas.microsoft.com/office/drawing/2014/main" id="{6EB1C423-37A0-E845-8E35-F038537E0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15</xdr:col>
      <xdr:colOff>438144</xdr:colOff>
      <xdr:row>50</xdr:row>
      <xdr:rowOff>152756</xdr:rowOff>
    </xdr:from>
    <xdr:to>
      <xdr:col>19</xdr:col>
      <xdr:colOff>185529</xdr:colOff>
      <xdr:row>52</xdr:row>
      <xdr:rowOff>210298</xdr:rowOff>
    </xdr:to>
    <xdr:graphicFrame macro="">
      <xdr:nvGraphicFramePr>
        <xdr:cNvPr id="32" name="Chart 31">
          <a:extLst>
            <a:ext uri="{FF2B5EF4-FFF2-40B4-BE49-F238E27FC236}">
              <a16:creationId xmlns:a16="http://schemas.microsoft.com/office/drawing/2014/main" id="{EC24C6EF-9325-FC4C-AF64-890EE1AD9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oneCellAnchor>
    <xdr:from>
      <xdr:col>7</xdr:col>
      <xdr:colOff>418900</xdr:colOff>
      <xdr:row>17</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34" name="Ink 33">
              <a:extLst>
                <a:ext uri="{FF2B5EF4-FFF2-40B4-BE49-F238E27FC236}">
                  <a16:creationId xmlns:a16="http://schemas.microsoft.com/office/drawing/2014/main" id="{2F7592B5-4F28-954F-8325-FDD04F61BB69}"/>
                </a:ext>
              </a:extLst>
            </xdr14:cNvPr>
            <xdr14:cNvContentPartPr/>
          </xdr14:nvContentPartPr>
          <xdr14:nvPr macro=""/>
          <xdr14:xfrm>
            <a:off x="4597200" y="3710520"/>
            <a:ext cx="360" cy="360"/>
          </xdr14:xfrm>
        </xdr:contentPart>
      </mc:Choice>
      <mc:Fallback xmlns="">
        <xdr:pic>
          <xdr:nvPicPr>
            <xdr:cNvPr id="6" name="Ink 5">
              <a:extLst>
                <a:ext uri="{FF2B5EF4-FFF2-40B4-BE49-F238E27FC236}">
                  <a16:creationId xmlns:a16="http://schemas.microsoft.com/office/drawing/2014/main" id="{7F6200B5-2365-3705-236F-77DF4E506623}"/>
                </a:ext>
              </a:extLst>
            </xdr:cNvPr>
            <xdr:cNvPicPr/>
          </xdr:nvPicPr>
          <xdr:blipFill>
            <a:blip xmlns:r="http://schemas.openxmlformats.org/officeDocument/2006/relationships" r:embed="rId3"/>
            <a:stretch>
              <a:fillRect/>
            </a:stretch>
          </xdr:blipFill>
          <xdr:spPr>
            <a:xfrm>
              <a:off x="4588200" y="3701520"/>
              <a:ext cx="18000" cy="18000"/>
            </a:xfrm>
            <a:prstGeom prst="rect">
              <a:avLst/>
            </a:prstGeom>
          </xdr:spPr>
        </xdr:pic>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14</xdr:col>
      <xdr:colOff>188251</xdr:colOff>
      <xdr:row>30</xdr:row>
      <xdr:rowOff>134779</xdr:rowOff>
    </xdr:from>
    <xdr:to>
      <xdr:col>16</xdr:col>
      <xdr:colOff>274037</xdr:colOff>
      <xdr:row>31</xdr:row>
      <xdr:rowOff>82118</xdr:rowOff>
    </xdr:to>
    <xdr:sp macro="" textlink="">
      <xdr:nvSpPr>
        <xdr:cNvPr id="29" name="TextBox 28">
          <a:extLst>
            <a:ext uri="{FF2B5EF4-FFF2-40B4-BE49-F238E27FC236}">
              <a16:creationId xmlns:a16="http://schemas.microsoft.com/office/drawing/2014/main" id="{11630E36-8F7B-1F4B-B7CA-6327A1DFB2CA}"/>
            </a:ext>
          </a:extLst>
        </xdr:cNvPr>
        <xdr:cNvSpPr txBox="1"/>
      </xdr:nvSpPr>
      <xdr:spPr>
        <a:xfrm>
          <a:off x="10477092" y="8831518"/>
          <a:ext cx="969264" cy="269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00" b="1">
              <a:solidFill>
                <a:srgbClr val="FFFF00"/>
              </a:solidFill>
              <a:latin typeface="DIN Alternate" panose="020B0500000000000000" pitchFamily="34" charset="77"/>
            </a:rPr>
            <a:t>Middle 1/3</a:t>
          </a:r>
        </a:p>
      </xdr:txBody>
    </xdr:sp>
    <xdr:clientData/>
  </xdr:twoCellAnchor>
  <xdr:twoCellAnchor>
    <xdr:from>
      <xdr:col>14</xdr:col>
      <xdr:colOff>166317</xdr:colOff>
      <xdr:row>31</xdr:row>
      <xdr:rowOff>203405</xdr:rowOff>
    </xdr:from>
    <xdr:to>
      <xdr:col>16</xdr:col>
      <xdr:colOff>230157</xdr:colOff>
      <xdr:row>32</xdr:row>
      <xdr:rowOff>144430</xdr:rowOff>
    </xdr:to>
    <xdr:sp macro="" textlink="">
      <xdr:nvSpPr>
        <xdr:cNvPr id="30" name="TextBox 29">
          <a:extLst>
            <a:ext uri="{FF2B5EF4-FFF2-40B4-BE49-F238E27FC236}">
              <a16:creationId xmlns:a16="http://schemas.microsoft.com/office/drawing/2014/main" id="{2B780178-EF7C-4342-B111-B0CD4B532C46}"/>
            </a:ext>
          </a:extLst>
        </xdr:cNvPr>
        <xdr:cNvSpPr txBox="1"/>
      </xdr:nvSpPr>
      <xdr:spPr>
        <a:xfrm>
          <a:off x="10455158" y="9222246"/>
          <a:ext cx="947318" cy="263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00" b="1">
              <a:solidFill>
                <a:srgbClr val="FFFF00"/>
              </a:solidFill>
              <a:latin typeface="DIN Alternate" panose="020B0500000000000000" pitchFamily="34" charset="77"/>
            </a:rPr>
            <a:t>Own</a:t>
          </a:r>
          <a:r>
            <a:rPr lang="en-GB" sz="1000" b="1" baseline="0">
              <a:solidFill>
                <a:srgbClr val="FFFF00"/>
              </a:solidFill>
              <a:latin typeface="DIN Alternate" panose="020B0500000000000000" pitchFamily="34" charset="77"/>
            </a:rPr>
            <a:t> 1/3</a:t>
          </a:r>
        </a:p>
      </xdr:txBody>
    </xdr:sp>
    <xdr:clientData/>
  </xdr:twoCellAnchor>
  <xdr:twoCellAnchor>
    <xdr:from>
      <xdr:col>14</xdr:col>
      <xdr:colOff>189624</xdr:colOff>
      <xdr:row>29</xdr:row>
      <xdr:rowOff>33178</xdr:rowOff>
    </xdr:from>
    <xdr:to>
      <xdr:col>16</xdr:col>
      <xdr:colOff>275410</xdr:colOff>
      <xdr:row>29</xdr:row>
      <xdr:rowOff>302620</xdr:rowOff>
    </xdr:to>
    <xdr:sp macro="" textlink="">
      <xdr:nvSpPr>
        <xdr:cNvPr id="3" name="TextBox 2">
          <a:extLst>
            <a:ext uri="{FF2B5EF4-FFF2-40B4-BE49-F238E27FC236}">
              <a16:creationId xmlns:a16="http://schemas.microsoft.com/office/drawing/2014/main" id="{E270D210-6A84-B646-993A-E7B7915B6A92}"/>
            </a:ext>
          </a:extLst>
        </xdr:cNvPr>
        <xdr:cNvSpPr txBox="1"/>
      </xdr:nvSpPr>
      <xdr:spPr>
        <a:xfrm>
          <a:off x="10478465" y="8407816"/>
          <a:ext cx="969264" cy="269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00" b="1">
              <a:solidFill>
                <a:srgbClr val="FFFF00"/>
              </a:solidFill>
              <a:latin typeface="DIN Alternate" panose="020B0500000000000000" pitchFamily="34" charset="77"/>
            </a:rPr>
            <a:t>Final 1/3</a:t>
          </a:r>
        </a:p>
      </xdr:txBody>
    </xdr:sp>
    <xdr:clientData/>
  </xdr:twoCellAnchor>
  <xdr:twoCellAnchor editAs="oneCell">
    <xdr:from>
      <xdr:col>11</xdr:col>
      <xdr:colOff>17449</xdr:colOff>
      <xdr:row>24</xdr:row>
      <xdr:rowOff>196721</xdr:rowOff>
    </xdr:from>
    <xdr:to>
      <xdr:col>14</xdr:col>
      <xdr:colOff>188254</xdr:colOff>
      <xdr:row>36</xdr:row>
      <xdr:rowOff>52603</xdr:rowOff>
    </xdr:to>
    <xdr:pic>
      <xdr:nvPicPr>
        <xdr:cNvPr id="5" name="Picture 4">
          <a:extLst>
            <a:ext uri="{FF2B5EF4-FFF2-40B4-BE49-F238E27FC236}">
              <a16:creationId xmlns:a16="http://schemas.microsoft.com/office/drawing/2014/main" id="{98BE424C-837A-700C-7BD8-9B5CDAEA4DEF}"/>
            </a:ext>
          </a:extLst>
        </xdr:cNvPr>
        <xdr:cNvPicPr>
          <a:picLocks noChangeAspect="1"/>
        </xdr:cNvPicPr>
      </xdr:nvPicPr>
      <xdr:blipFill>
        <a:blip xmlns:r="http://schemas.openxmlformats.org/officeDocument/2006/relationships" r:embed="rId1"/>
        <a:stretch>
          <a:fillRect/>
        </a:stretch>
      </xdr:blipFill>
      <xdr:spPr>
        <a:xfrm>
          <a:off x="7891449" y="7755761"/>
          <a:ext cx="2700645" cy="3635402"/>
        </a:xfrm>
        <a:prstGeom prst="rect">
          <a:avLst/>
        </a:prstGeom>
      </xdr:spPr>
    </xdr:pic>
    <xdr:clientData/>
  </xdr:twoCellAnchor>
  <xdr:twoCellAnchor editAs="oneCell">
    <xdr:from>
      <xdr:col>23</xdr:col>
      <xdr:colOff>137160</xdr:colOff>
      <xdr:row>18</xdr:row>
      <xdr:rowOff>50800</xdr:rowOff>
    </xdr:from>
    <xdr:to>
      <xdr:col>25</xdr:col>
      <xdr:colOff>492760</xdr:colOff>
      <xdr:row>23</xdr:row>
      <xdr:rowOff>233680</xdr:rowOff>
    </xdr:to>
    <mc:AlternateContent xmlns:mc="http://schemas.openxmlformats.org/markup-compatibility/2006" xmlns:a14="http://schemas.microsoft.com/office/drawing/2010/main">
      <mc:Choice Requires="a14">
        <xdr:graphicFrame macro="">
          <xdr:nvGraphicFramePr>
            <xdr:cNvPr id="6" name="Position 3">
              <a:extLst>
                <a:ext uri="{FF2B5EF4-FFF2-40B4-BE49-F238E27FC236}">
                  <a16:creationId xmlns:a16="http://schemas.microsoft.com/office/drawing/2014/main" id="{DCFDCF5B-5A52-CC4D-B2AF-32D8AEC72F45}"/>
                </a:ext>
              </a:extLst>
            </xdr:cNvPr>
            <xdr:cNvGraphicFramePr/>
          </xdr:nvGraphicFramePr>
          <xdr:xfrm>
            <a:off x="0" y="0"/>
            <a:ext cx="0" cy="0"/>
          </xdr:xfrm>
          <a:graphic>
            <a:graphicData uri="http://schemas.microsoft.com/office/drawing/2010/slicer">
              <sle:slicer xmlns:sle="http://schemas.microsoft.com/office/drawing/2010/slicer" name="Position 3"/>
            </a:graphicData>
          </a:graphic>
        </xdr:graphicFrame>
      </mc:Choice>
      <mc:Fallback xmlns="">
        <xdr:sp macro="" textlink="">
          <xdr:nvSpPr>
            <xdr:cNvPr id="0" name=""/>
            <xdr:cNvSpPr>
              <a:spLocks noTextEdit="1"/>
            </xdr:cNvSpPr>
          </xdr:nvSpPr>
          <xdr:spPr>
            <a:xfrm>
              <a:off x="16210280" y="5720080"/>
              <a:ext cx="1828800" cy="17576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132080</xdr:colOff>
      <xdr:row>6</xdr:row>
      <xdr:rowOff>0</xdr:rowOff>
    </xdr:from>
    <xdr:to>
      <xdr:col>25</xdr:col>
      <xdr:colOff>487680</xdr:colOff>
      <xdr:row>9</xdr:row>
      <xdr:rowOff>284480</xdr:rowOff>
    </xdr:to>
    <mc:AlternateContent xmlns:mc="http://schemas.openxmlformats.org/markup-compatibility/2006" xmlns:a14="http://schemas.microsoft.com/office/drawing/2010/main">
      <mc:Choice Requires="a14">
        <xdr:graphicFrame macro="">
          <xdr:nvGraphicFramePr>
            <xdr:cNvPr id="7" name="Time 1">
              <a:extLst>
                <a:ext uri="{FF2B5EF4-FFF2-40B4-BE49-F238E27FC236}">
                  <a16:creationId xmlns:a16="http://schemas.microsoft.com/office/drawing/2014/main" id="{9F999402-7026-DA4D-8AFF-8FC00A59F5D2}"/>
                </a:ext>
              </a:extLst>
            </xdr:cNvPr>
            <xdr:cNvGraphicFramePr/>
          </xdr:nvGraphicFramePr>
          <xdr:xfrm>
            <a:off x="0" y="0"/>
            <a:ext cx="0" cy="0"/>
          </xdr:xfrm>
          <a:graphic>
            <a:graphicData uri="http://schemas.microsoft.com/office/drawing/2010/slicer">
              <sle:slicer xmlns:sle="http://schemas.microsoft.com/office/drawing/2010/slicer" name="Time 1"/>
            </a:graphicData>
          </a:graphic>
        </xdr:graphicFrame>
      </mc:Choice>
      <mc:Fallback xmlns="">
        <xdr:sp macro="" textlink="">
          <xdr:nvSpPr>
            <xdr:cNvPr id="0" name=""/>
            <xdr:cNvSpPr>
              <a:spLocks noTextEdit="1"/>
            </xdr:cNvSpPr>
          </xdr:nvSpPr>
          <xdr:spPr>
            <a:xfrm>
              <a:off x="16205200" y="1828800"/>
              <a:ext cx="1828800" cy="11988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142240</xdr:colOff>
      <xdr:row>9</xdr:row>
      <xdr:rowOff>284480</xdr:rowOff>
    </xdr:from>
    <xdr:to>
      <xdr:col>25</xdr:col>
      <xdr:colOff>497840</xdr:colOff>
      <xdr:row>18</xdr:row>
      <xdr:rowOff>60960</xdr:rowOff>
    </xdr:to>
    <mc:AlternateContent xmlns:mc="http://schemas.openxmlformats.org/markup-compatibility/2006" xmlns:a14="http://schemas.microsoft.com/office/drawing/2010/main">
      <mc:Choice Requires="a14">
        <xdr:graphicFrame macro="">
          <xdr:nvGraphicFramePr>
            <xdr:cNvPr id="8" name="Player 3">
              <a:extLst>
                <a:ext uri="{FF2B5EF4-FFF2-40B4-BE49-F238E27FC236}">
                  <a16:creationId xmlns:a16="http://schemas.microsoft.com/office/drawing/2014/main" id="{3A1645F7-D34E-0148-9523-D4A5DD5C70FE}"/>
                </a:ext>
              </a:extLst>
            </xdr:cNvPr>
            <xdr:cNvGraphicFramePr/>
          </xdr:nvGraphicFramePr>
          <xdr:xfrm>
            <a:off x="0" y="0"/>
            <a:ext cx="0" cy="0"/>
          </xdr:xfrm>
          <a:graphic>
            <a:graphicData uri="http://schemas.microsoft.com/office/drawing/2010/slicer">
              <sle:slicer xmlns:sle="http://schemas.microsoft.com/office/drawing/2010/slicer" name="Player 3"/>
            </a:graphicData>
          </a:graphic>
        </xdr:graphicFrame>
      </mc:Choice>
      <mc:Fallback xmlns="">
        <xdr:sp macro="" textlink="">
          <xdr:nvSpPr>
            <xdr:cNvPr id="0" name=""/>
            <xdr:cNvSpPr>
              <a:spLocks noTextEdit="1"/>
            </xdr:cNvSpPr>
          </xdr:nvSpPr>
          <xdr:spPr>
            <a:xfrm>
              <a:off x="16215360" y="3119120"/>
              <a:ext cx="1828800" cy="26111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533400</xdr:colOff>
      <xdr:row>27</xdr:row>
      <xdr:rowOff>76200</xdr:rowOff>
    </xdr:from>
    <xdr:to>
      <xdr:col>4</xdr:col>
      <xdr:colOff>12700</xdr:colOff>
      <xdr:row>40</xdr:row>
      <xdr:rowOff>53972</xdr:rowOff>
    </xdr:to>
    <mc:AlternateContent xmlns:mc="http://schemas.openxmlformats.org/markup-compatibility/2006" xmlns:a14="http://schemas.microsoft.com/office/drawing/2010/main">
      <mc:Choice Requires="a14">
        <xdr:graphicFrame macro="">
          <xdr:nvGraphicFramePr>
            <xdr:cNvPr id="3" name="Position 2">
              <a:extLst>
                <a:ext uri="{FF2B5EF4-FFF2-40B4-BE49-F238E27FC236}">
                  <a16:creationId xmlns:a16="http://schemas.microsoft.com/office/drawing/2014/main" id="{0B234BF5-F5F5-085B-7B84-0B5FA7DD6F59}"/>
                </a:ext>
              </a:extLst>
            </xdr:cNvPr>
            <xdr:cNvGraphicFramePr/>
          </xdr:nvGraphicFramePr>
          <xdr:xfrm>
            <a:off x="0" y="0"/>
            <a:ext cx="0" cy="0"/>
          </xdr:xfrm>
          <a:graphic>
            <a:graphicData uri="http://schemas.microsoft.com/office/drawing/2010/slicer">
              <sle:slicer xmlns:sle="http://schemas.microsoft.com/office/drawing/2010/slicer" name="Position 2"/>
            </a:graphicData>
          </a:graphic>
        </xdr:graphicFrame>
      </mc:Choice>
      <mc:Fallback xmlns="">
        <xdr:sp macro="" textlink="">
          <xdr:nvSpPr>
            <xdr:cNvPr id="0" name=""/>
            <xdr:cNvSpPr>
              <a:spLocks noTextEdit="1"/>
            </xdr:cNvSpPr>
          </xdr:nvSpPr>
          <xdr:spPr>
            <a:xfrm>
              <a:off x="5588000" y="55626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660400</xdr:colOff>
      <xdr:row>28</xdr:row>
      <xdr:rowOff>25400</xdr:rowOff>
    </xdr:from>
    <xdr:to>
      <xdr:col>5</xdr:col>
      <xdr:colOff>228600</xdr:colOff>
      <xdr:row>34</xdr:row>
      <xdr:rowOff>76200</xdr:rowOff>
    </xdr:to>
    <mc:AlternateContent xmlns:mc="http://schemas.openxmlformats.org/markup-compatibility/2006" xmlns:a14="http://schemas.microsoft.com/office/drawing/2010/main">
      <mc:Choice Requires="a14">
        <xdr:graphicFrame macro="">
          <xdr:nvGraphicFramePr>
            <xdr:cNvPr id="6" name="Time">
              <a:extLst>
                <a:ext uri="{FF2B5EF4-FFF2-40B4-BE49-F238E27FC236}">
                  <a16:creationId xmlns:a16="http://schemas.microsoft.com/office/drawing/2014/main" id="{07324F19-35A4-1106-F1EC-50567C895155}"/>
                </a:ext>
              </a:extLst>
            </xdr:cNvPr>
            <xdr:cNvGraphicFramePr/>
          </xdr:nvGraphicFramePr>
          <xdr:xfrm>
            <a:off x="0" y="0"/>
            <a:ext cx="0" cy="0"/>
          </xdr:xfrm>
          <a:graphic>
            <a:graphicData uri="http://schemas.microsoft.com/office/drawing/2010/slicer">
              <sle:slicer xmlns:sle="http://schemas.microsoft.com/office/drawing/2010/slicer" name="Time"/>
            </a:graphicData>
          </a:graphic>
        </xdr:graphicFrame>
      </mc:Choice>
      <mc:Fallback xmlns="">
        <xdr:sp macro="" textlink="">
          <xdr:nvSpPr>
            <xdr:cNvPr id="0" name=""/>
            <xdr:cNvSpPr>
              <a:spLocks noTextEdit="1"/>
            </xdr:cNvSpPr>
          </xdr:nvSpPr>
          <xdr:spPr>
            <a:xfrm>
              <a:off x="8064500" y="5715000"/>
              <a:ext cx="1828800" cy="127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952500</xdr:colOff>
      <xdr:row>26</xdr:row>
      <xdr:rowOff>190500</xdr:rowOff>
    </xdr:from>
    <xdr:to>
      <xdr:col>3</xdr:col>
      <xdr:colOff>838200</xdr:colOff>
      <xdr:row>39</xdr:row>
      <xdr:rowOff>168272</xdr:rowOff>
    </xdr:to>
    <mc:AlternateContent xmlns:mc="http://schemas.openxmlformats.org/markup-compatibility/2006" xmlns:a14="http://schemas.microsoft.com/office/drawing/2010/main">
      <mc:Choice Requires="a14">
        <xdr:graphicFrame macro="">
          <xdr:nvGraphicFramePr>
            <xdr:cNvPr id="7" name="Player 2">
              <a:extLst>
                <a:ext uri="{FF2B5EF4-FFF2-40B4-BE49-F238E27FC236}">
                  <a16:creationId xmlns:a16="http://schemas.microsoft.com/office/drawing/2014/main" id="{776E3AF8-5BC0-157C-841A-EF55710A5D70}"/>
                </a:ext>
              </a:extLst>
            </xdr:cNvPr>
            <xdr:cNvGraphicFramePr/>
          </xdr:nvGraphicFramePr>
          <xdr:xfrm>
            <a:off x="0" y="0"/>
            <a:ext cx="0" cy="0"/>
          </xdr:xfrm>
          <a:graphic>
            <a:graphicData uri="http://schemas.microsoft.com/office/drawing/2010/slicer">
              <sle:slicer xmlns:sle="http://schemas.microsoft.com/office/drawing/2010/slicer" name="Player 2"/>
            </a:graphicData>
          </a:graphic>
        </xdr:graphicFrame>
      </mc:Choice>
      <mc:Fallback xmlns="">
        <xdr:sp macro="" textlink="">
          <xdr:nvSpPr>
            <xdr:cNvPr id="0" name=""/>
            <xdr:cNvSpPr>
              <a:spLocks noTextEdit="1"/>
            </xdr:cNvSpPr>
          </xdr:nvSpPr>
          <xdr:spPr>
            <a:xfrm>
              <a:off x="4064000" y="5473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23:10:06.957"/>
    </inkml:context>
    <inkml:brush xml:id="br0">
      <inkml:brushProperty name="width" value="0.05" units="cm"/>
      <inkml:brushProperty name="height" value="0.05" units="cm"/>
    </inkml:brush>
  </inkml:definitions>
  <inkml:trace contextRef="#ctx0" brushRef="#br0">1 0 24575,'0'0'0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23:10:06.958"/>
    </inkml:context>
    <inkml:brush xml:id="br0">
      <inkml:brushProperty name="width" value="0.05" units="cm"/>
      <inkml:brushProperty name="height" value="0.05" units="cm"/>
    </inkml:brush>
  </inkml:definitions>
  <inkml:trace contextRef="#ctx0" brushRef="#br0">0 0 24575,'0'0'0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16T16:17:00.959"/>
    </inkml:context>
    <inkml:brush xml:id="br0">
      <inkml:brushProperty name="width" value="0.05" units="cm"/>
      <inkml:brushProperty name="height" value="0.05" units="cm"/>
    </inkml:brush>
  </inkml:definitions>
  <inkml:trace contextRef="#ctx0" brushRef="#br0">0 0 24575,'0'0'0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hee" refreshedDate="46239.580641435183" createdVersion="8" refreshedVersion="8" minRefreshableVersion="3" recordCount="44" xr:uid="{507C8B18-6F4C-3641-BF1D-4EF4879A095D}">
  <cacheSource type="worksheet">
    <worksheetSource ref="DW12:IP56" sheet="Dashboard"/>
  </cacheSource>
  <cacheFields count="124">
    <cacheField name="Time" numFmtId="0">
      <sharedItems containsBlank="1" count="5">
        <s v="1st Half"/>
        <m/>
        <s v="Time"/>
        <s v="2nd Half"/>
        <s v="Full time"/>
      </sharedItems>
    </cacheField>
    <cacheField name="Player" numFmtId="0">
      <sharedItems containsBlank="1" count="31">
        <s v="Joshua Harrup"/>
        <s v="Joshua Laotan"/>
        <s v="Harry Meadwell-Ludlow"/>
        <s v="Levi Ampofo"/>
        <s v="Diyar Sonzamanci"/>
        <s v="William Swannell"/>
        <s v="Kairo Smith"/>
        <s v="Harley Moyes"/>
        <s v="Dylan Tambe"/>
        <s v="Jeffrey Sam-Deekue"/>
        <s v="Sebastian Bixby-Gutierrez"/>
        <m/>
        <s v="Player"/>
        <s v="Melvin Brandford"/>
        <s v="Hugo McLarnon"/>
        <s v="Reyes White"/>
        <s v="Kaii Charles"/>
        <s v="Louie Briggs" u="1"/>
        <s v="Ayodele Akinsanya" u="1"/>
        <s v="Sam Miljkovic" u="1"/>
        <s v="Romeo Hamilton" u="1"/>
        <s v="Kevin Jalo-Gomes" u="1"/>
        <s v="Ethan Lake" u="1"/>
        <s v="Jayden To" u="1"/>
        <s v="Usim Ijere" u="1"/>
        <s v="Cordell Morgan-Antonio" u="1"/>
        <s v="Godwin Mfuri" u="1"/>
        <s v="Aaran Sudakaran" u="1"/>
        <s v="Tamas Fekete" u="1"/>
        <s v="Prosper Sango" u="1"/>
        <s v="Chibuzo Okoli" u="1"/>
      </sharedItems>
    </cacheField>
    <cacheField name="Duration (mins)" numFmtId="0">
      <sharedItems containsBlank="1" containsMixedTypes="1" containsNumber="1" containsInteger="1" minValue="20" maxValue="80" count="8">
        <n v="40"/>
        <m/>
        <s v="Duration (mins)"/>
        <n v="20"/>
        <n v="80"/>
        <n v="60"/>
        <n v="30" u="1"/>
        <n v="70" u="1"/>
      </sharedItems>
    </cacheField>
    <cacheField name="Position" numFmtId="0">
      <sharedItems containsBlank="1" count="11">
        <s v="GK"/>
        <s v="CB"/>
        <s v="RB"/>
        <s v="LB"/>
        <s v="CM"/>
        <s v="LW"/>
        <s v="RW"/>
        <s v="ST"/>
        <m/>
        <s v="Position"/>
        <s v="LB/CB" u="1"/>
      </sharedItems>
    </cacheField>
    <cacheField name="Total Passes" numFmtId="0">
      <sharedItems containsBlank="1" containsMixedTypes="1" containsNumber="1" containsInteger="1" minValue="4" maxValue="73"/>
    </cacheField>
    <cacheField name="Completed Passes" numFmtId="0">
      <sharedItems containsBlank="1" containsMixedTypes="1" containsNumber="1" containsInteger="1" minValue="1" maxValue="51"/>
    </cacheField>
    <cacheField name="Uncompleted Passes" numFmtId="0">
      <sharedItems containsBlank="1" containsMixedTypes="1" containsNumber="1" containsInteger="1" minValue="0" maxValue="22"/>
    </cacheField>
    <cacheField name="Completed Passes %" numFmtId="0">
      <sharedItems containsBlank="1" containsMixedTypes="1" containsNumber="1" minValue="0.2" maxValue="1"/>
    </cacheField>
    <cacheField name="Uncompleted Passes %" numFmtId="0">
      <sharedItems containsBlank="1" containsMixedTypes="1" containsNumber="1" minValue="0" maxValue="0.8"/>
    </cacheField>
    <cacheField name="Total Forward Passes" numFmtId="0">
      <sharedItems containsBlank="1" containsMixedTypes="1" containsNumber="1" containsInteger="1" minValue="0" maxValue="62"/>
    </cacheField>
    <cacheField name="Completed Forward Passes" numFmtId="0">
      <sharedItems containsBlank="1" containsMixedTypes="1" containsNumber="1" containsInteger="1" minValue="0" maxValue="42"/>
    </cacheField>
    <cacheField name="Uncompleted Forward Passes" numFmtId="0">
      <sharedItems containsBlank="1" containsMixedTypes="1" containsNumber="1" containsInteger="1" minValue="0" maxValue="20"/>
    </cacheField>
    <cacheField name="Completed Forward Passes %" numFmtId="0">
      <sharedItems containsBlank="1" containsMixedTypes="1" containsNumber="1" minValue="0.2" maxValue="1"/>
    </cacheField>
    <cacheField name="Uncompleted Forward Passes %" numFmtId="0">
      <sharedItems containsBlank="1" containsMixedTypes="1" containsNumber="1" minValue="0" maxValue="0.8"/>
    </cacheField>
    <cacheField name="Total Lateral Passes" numFmtId="0">
      <sharedItems containsBlank="1" containsMixedTypes="1" containsNumber="1" containsInteger="1" minValue="0" maxValue="19"/>
    </cacheField>
    <cacheField name="Completed Lateral Passes" numFmtId="0">
      <sharedItems containsBlank="1" containsMixedTypes="1" containsNumber="1" containsInteger="1" minValue="0" maxValue="18"/>
    </cacheField>
    <cacheField name="Uncompleted Lateral Passes" numFmtId="0">
      <sharedItems containsBlank="1" containsMixedTypes="1" containsNumber="1" containsInteger="1" minValue="0" maxValue="3"/>
    </cacheField>
    <cacheField name="Completed Lateral Passes %" numFmtId="9">
      <sharedItems containsBlank="1" containsMixedTypes="1" containsNumber="1" minValue="0" maxValue="1"/>
    </cacheField>
    <cacheField name="Uncompleted Lateral Passes %" numFmtId="0">
      <sharedItems containsBlank="1" containsMixedTypes="1" containsNumber="1" minValue="0" maxValue="1"/>
    </cacheField>
    <cacheField name="Total Backward Passes" numFmtId="0">
      <sharedItems containsBlank="1" containsMixedTypes="1" containsNumber="1" containsInteger="1" minValue="0" maxValue="14"/>
    </cacheField>
    <cacheField name="Completed Backward Passes" numFmtId="0">
      <sharedItems containsBlank="1" containsMixedTypes="1" containsNumber="1" containsInteger="1" minValue="0" maxValue="14"/>
    </cacheField>
    <cacheField name="Uncompleted Backward Passes" numFmtId="0">
      <sharedItems containsBlank="1" containsMixedTypes="1" containsNumber="1" containsInteger="1" minValue="0" maxValue="1"/>
    </cacheField>
    <cacheField name="Completed Backward Passes %" numFmtId="0">
      <sharedItems containsBlank="1" containsMixedTypes="1" containsNumber="1" containsInteger="1" minValue="1" maxValue="1"/>
    </cacheField>
    <cacheField name="Uncompleted Backward Passes %" numFmtId="0">
      <sharedItems containsBlank="1" containsMixedTypes="1" containsNumber="1" minValue="0" maxValue="1"/>
    </cacheField>
    <cacheField name="Total Long Passes" numFmtId="0">
      <sharedItems containsBlank="1" containsMixedTypes="1" containsNumber="1" containsInteger="1" minValue="0" maxValue="24"/>
    </cacheField>
    <cacheField name="Completed Long Passes" numFmtId="0">
      <sharedItems containsBlank="1" containsMixedTypes="1" containsNumber="1" containsInteger="1" minValue="0" maxValue="12"/>
    </cacheField>
    <cacheField name="Uncompleted Long Passes" numFmtId="0">
      <sharedItems containsBlank="1" containsMixedTypes="1" containsNumber="1" containsInteger="1" minValue="0" maxValue="12"/>
    </cacheField>
    <cacheField name="Completed Long Passes %" numFmtId="0">
      <sharedItems containsBlank="1" containsMixedTypes="1" containsNumber="1" minValue="0" maxValue="1"/>
    </cacheField>
    <cacheField name="Uncompleted Long Passes %" numFmtId="0">
      <sharedItems containsBlank="1" containsMixedTypes="1" containsNumber="1" minValue="0" maxValue="1"/>
    </cacheField>
    <cacheField name="Total Balls in Behind" numFmtId="0">
      <sharedItems containsBlank="1" containsMixedTypes="1" containsNumber="1" containsInteger="1" minValue="0" maxValue="6"/>
    </cacheField>
    <cacheField name="Completed Balls in Behind" numFmtId="0">
      <sharedItems containsBlank="1" containsMixedTypes="1" containsNumber="1" containsInteger="1" minValue="0" maxValue="3"/>
    </cacheField>
    <cacheField name="Uncompleted Balls in Behind" numFmtId="0">
      <sharedItems containsBlank="1" containsMixedTypes="1" containsNumber="1" containsInteger="1" minValue="0" maxValue="3"/>
    </cacheField>
    <cacheField name="Completed Balls in Behind %" numFmtId="0">
      <sharedItems containsBlank="1" containsMixedTypes="1" containsNumber="1" minValue="0" maxValue="1"/>
    </cacheField>
    <cacheField name="Uncompleted Balls in Behind %" numFmtId="0">
      <sharedItems containsBlank="1" containsMixedTypes="1" containsNumber="1" minValue="0" maxValue="1"/>
    </cacheField>
    <cacheField name="Total Through Passes" numFmtId="0">
      <sharedItems containsBlank="1" containsMixedTypes="1" containsNumber="1" containsInteger="1" minValue="0" maxValue="3"/>
    </cacheField>
    <cacheField name="Total Diagonal Passes" numFmtId="0">
      <sharedItems containsBlank="1" containsMixedTypes="1" containsNumber="1" containsInteger="1" minValue="0" maxValue="0"/>
    </cacheField>
    <cacheField name="Completed Diagonal Passes" numFmtId="0">
      <sharedItems containsBlank="1" containsMixedTypes="1" containsNumber="1" containsInteger="1" minValue="0" maxValue="0"/>
    </cacheField>
    <cacheField name="Uncompleted Diagonal Passes" numFmtId="0">
      <sharedItems containsBlank="1" containsMixedTypes="1" containsNumber="1" containsInteger="1" minValue="0" maxValue="0"/>
    </cacheField>
    <cacheField name="Completed Diagonal Passes %" numFmtId="0">
      <sharedItems containsBlank="1"/>
    </cacheField>
    <cacheField name="Uncompleted Diagonal Passes %" numFmtId="0">
      <sharedItems containsBlank="1"/>
    </cacheField>
    <cacheField name="Total Pass Received" numFmtId="0">
      <sharedItems containsBlank="1" containsMixedTypes="1" containsNumber="1" containsInteger="1" minValue="4" maxValue="53"/>
    </cacheField>
    <cacheField name="Pass Received &amp; Pass completed" numFmtId="0">
      <sharedItems containsBlank="1" containsMixedTypes="1" containsNumber="1" containsInteger="1" minValue="0" maxValue="37"/>
    </cacheField>
    <cacheField name="Pass Received &amp; Pass Uncompleted" numFmtId="0">
      <sharedItems containsBlank="1" containsMixedTypes="1" containsNumber="1" containsInteger="1" minValue="0" maxValue="15"/>
    </cacheField>
    <cacheField name="Ball Kept" numFmtId="0">
      <sharedItems containsBlank="1" containsMixedTypes="1" containsNumber="1" containsInteger="1" minValue="0" maxValue="7"/>
    </cacheField>
    <cacheField name="Ball Lost" numFmtId="0">
      <sharedItems containsBlank="1" containsMixedTypes="1" containsNumber="1" containsInteger="1" minValue="0" maxValue="5"/>
    </cacheField>
    <cacheField name="Ball Lost in Final 1/3" numFmtId="0">
      <sharedItems containsBlank="1" containsMixedTypes="1" containsNumber="1" containsInteger="1" minValue="0" maxValue="3"/>
    </cacheField>
    <cacheField name="Ball Lost in Middle 1/3" numFmtId="0">
      <sharedItems containsBlank="1" containsMixedTypes="1" containsNumber="1" containsInteger="1" minValue="0" maxValue="3"/>
    </cacheField>
    <cacheField name="Ball Lost in Own 1/3" numFmtId="0">
      <sharedItems containsBlank="1" containsMixedTypes="1" containsNumber="1" containsInteger="1" minValue="0" maxValue="2"/>
    </cacheField>
    <cacheField name="Touches in the Box" numFmtId="0">
      <sharedItems containsBlank="1" containsMixedTypes="1" containsNumber="1" containsInteger="1" minValue="0" maxValue="7"/>
    </cacheField>
    <cacheField name="Total 1v1" numFmtId="0">
      <sharedItems containsBlank="1" containsMixedTypes="1" containsNumber="1" containsInteger="1" minValue="0" maxValue="4"/>
    </cacheField>
    <cacheField name="Successful 1v1" numFmtId="0">
      <sharedItems containsBlank="1" containsMixedTypes="1" containsNumber="1" containsInteger="1" minValue="0" maxValue="3"/>
    </cacheField>
    <cacheField name="Unsuccessful 1v1" numFmtId="0">
      <sharedItems containsBlank="1" containsMixedTypes="1" containsNumber="1" containsInteger="1" minValue="0" maxValue="2"/>
    </cacheField>
    <cacheField name="Completed 1v1 %" numFmtId="0">
      <sharedItems containsBlank="1" containsMixedTypes="1" containsNumber="1" minValue="0.5" maxValue="1"/>
    </cacheField>
    <cacheField name="Uncompleted 1v1 %" numFmtId="0">
      <sharedItems containsBlank="1" containsMixedTypes="1" containsNumber="1" minValue="0" maxValue="0.5"/>
    </cacheField>
    <cacheField name="Total Cross" numFmtId="0">
      <sharedItems containsBlank="1" containsMixedTypes="1" containsNumber="1" containsInteger="1" minValue="0" maxValue="2"/>
    </cacheField>
    <cacheField name="Completed Cross" numFmtId="0">
      <sharedItems containsBlank="1" containsMixedTypes="1" containsNumber="1" containsInteger="1" minValue="0" maxValue="1"/>
    </cacheField>
    <cacheField name="Uncompleted Cross" numFmtId="0">
      <sharedItems containsBlank="1" containsMixedTypes="1" containsNumber="1" containsInteger="1" minValue="0" maxValue="2"/>
    </cacheField>
    <cacheField name="Completed Cross %" numFmtId="0">
      <sharedItems containsBlank="1" containsMixedTypes="1" containsNumber="1" minValue="0" maxValue="0.5"/>
    </cacheField>
    <cacheField name="Uncompleted Cross %" numFmtId="0">
      <sharedItems containsBlank="1" containsMixedTypes="1" containsNumber="1" minValue="0.5" maxValue="1"/>
    </cacheField>
    <cacheField name="Total Shots" numFmtId="0">
      <sharedItems containsBlank="1" containsMixedTypes="1" containsNumber="1" containsInteger="1" minValue="0" maxValue="7"/>
    </cacheField>
    <cacheField name="On Target" numFmtId="0">
      <sharedItems containsBlank="1" containsMixedTypes="1" containsNumber="1" containsInteger="1" minValue="0" maxValue="4"/>
    </cacheField>
    <cacheField name="Off Target" numFmtId="0">
      <sharedItems containsBlank="1" containsMixedTypes="1" containsNumber="1" containsInteger="1" minValue="0" maxValue="2"/>
    </cacheField>
    <cacheField name="Blocked" numFmtId="0">
      <sharedItems containsBlank="1" containsMixedTypes="1" containsNumber="1" containsInteger="1" minValue="0" maxValue="2"/>
    </cacheField>
    <cacheField name="Goal" numFmtId="0">
      <sharedItems containsBlank="1" containsMixedTypes="1" containsNumber="1" containsInteger="1" minValue="0" maxValue="4"/>
    </cacheField>
    <cacheField name="Assist" numFmtId="0">
      <sharedItems containsBlank="1" containsMixedTypes="1" containsNumber="1" containsInteger="1" minValue="0" maxValue="2"/>
    </cacheField>
    <cacheField name="Total Offensive duel" numFmtId="0">
      <sharedItems containsBlank="1" containsMixedTypes="1" containsNumber="1" containsInteger="1" minValue="0" maxValue="7"/>
    </cacheField>
    <cacheField name="Successful Offensive Duel" numFmtId="0">
      <sharedItems containsBlank="1" containsMixedTypes="1" containsNumber="1" containsInteger="1" minValue="0" maxValue="7"/>
    </cacheField>
    <cacheField name="Unsuccessful Offensive Duel" numFmtId="0">
      <sharedItems containsBlank="1" containsMixedTypes="1" containsNumber="1" containsInteger="1" minValue="0" maxValue="1"/>
    </cacheField>
    <cacheField name="Successful Offensive Duel %" numFmtId="0">
      <sharedItems containsBlank="1" containsMixedTypes="1" containsNumber="1" minValue="0" maxValue="1"/>
    </cacheField>
    <cacheField name="Unsuccessful Offensive Duel %" numFmtId="0">
      <sharedItems containsBlank="1" containsMixedTypes="1" containsNumber="1" minValue="0" maxValue="1"/>
    </cacheField>
    <cacheField name="Total Acceleration" numFmtId="0">
      <sharedItems containsBlank="1" containsMixedTypes="1" containsNumber="1" containsInteger="1" minValue="0" maxValue="7"/>
    </cacheField>
    <cacheField name="Total Into Pocket" numFmtId="0">
      <sharedItems containsBlank="1" containsMixedTypes="1" containsNumber="1" containsInteger="1" minValue="0" maxValue="11"/>
    </cacheField>
    <cacheField name="Total Wide Area" numFmtId="0">
      <sharedItems containsBlank="1" containsMixedTypes="1" containsNumber="1" containsInteger="1" minValue="0" maxValue="16"/>
    </cacheField>
    <cacheField name="Total Back to Goal" numFmtId="0">
      <sharedItems containsBlank="1" containsMixedTypes="1" containsNumber="1" containsInteger="1" minValue="0" maxValue="9"/>
    </cacheField>
    <cacheField name="Total Over/Underlaps" numFmtId="0">
      <sharedItems containsBlank="1" containsMixedTypes="1" containsNumber="1" containsInteger="1" minValue="0" maxValue="1"/>
    </cacheField>
    <cacheField name="Total Runs in Behind" numFmtId="0">
      <sharedItems containsBlank="1" containsMixedTypes="1" containsNumber="1" containsInteger="1" minValue="0" maxValue="7"/>
    </cacheField>
    <cacheField name="Total Half-space Runs" numFmtId="0">
      <sharedItems containsBlank="1" containsMixedTypes="1" containsNumber="1" containsInteger="1" minValue="0" maxValue="0"/>
    </cacheField>
    <cacheField name="Total Duel" numFmtId="0">
      <sharedItems containsBlank="1" containsMixedTypes="1" containsNumber="1" containsInteger="1" minValue="0" maxValue="12"/>
    </cacheField>
    <cacheField name="Successful Duel" numFmtId="0">
      <sharedItems containsBlank="1" containsMixedTypes="1" containsNumber="1" containsInteger="1" minValue="0" maxValue="10"/>
    </cacheField>
    <cacheField name="Unsuccesful Duel" numFmtId="0">
      <sharedItems containsBlank="1" containsMixedTypes="1" containsNumber="1" containsInteger="1" minValue="0" maxValue="6"/>
    </cacheField>
    <cacheField name="Successful Duel %" numFmtId="0">
      <sharedItems containsBlank="1" containsMixedTypes="1" containsNumber="1" minValue="0" maxValue="1"/>
    </cacheField>
    <cacheField name="Unsuccesful Duel %" numFmtId="0">
      <sharedItems containsBlank="1" containsMixedTypes="1" containsNumber="1" minValue="0" maxValue="1"/>
    </cacheField>
    <cacheField name="Total Defensive Duel" numFmtId="0">
      <sharedItems containsBlank="1" containsMixedTypes="1" containsNumber="1" containsInteger="1" minValue="0" maxValue="8"/>
    </cacheField>
    <cacheField name="Successful Defensive Duel" numFmtId="0">
      <sharedItems containsBlank="1" containsMixedTypes="1" containsNumber="1" containsInteger="1" minValue="0" maxValue="3"/>
    </cacheField>
    <cacheField name="Unsuccesful Defensive Duel" numFmtId="0">
      <sharedItems containsBlank="1" containsMixedTypes="1" containsNumber="1" containsInteger="1" minValue="0" maxValue="6"/>
    </cacheField>
    <cacheField name="Successful Defensive Duel %" numFmtId="0">
      <sharedItems containsBlank="1" containsMixedTypes="1" containsNumber="1" minValue="0" maxValue="1"/>
    </cacheField>
    <cacheField name="Unsuccesful Defensive Duel %" numFmtId="0">
      <sharedItems containsBlank="1" containsMixedTypes="1" containsNumber="1" minValue="0" maxValue="1"/>
    </cacheField>
    <cacheField name="Total Aerial Duel" numFmtId="0">
      <sharedItems containsBlank="1" containsMixedTypes="1" containsNumber="1" containsInteger="1" minValue="0" maxValue="3"/>
    </cacheField>
    <cacheField name="Succesful Aerial Duel" numFmtId="0">
      <sharedItems containsBlank="1" containsMixedTypes="1" containsNumber="1" containsInteger="1" minValue="0" maxValue="3"/>
    </cacheField>
    <cacheField name="Unsuccessful Aerial Duel" numFmtId="0">
      <sharedItems containsBlank="1" containsMixedTypes="1" containsNumber="1" containsInteger="1" minValue="0" maxValue="2"/>
    </cacheField>
    <cacheField name="Succesful Aerial Duel %" numFmtId="0">
      <sharedItems containsBlank="1" containsMixedTypes="1" containsNumber="1" containsInteger="1" minValue="1" maxValue="1"/>
    </cacheField>
    <cacheField name="Unsuccessful Aerial Duel %" numFmtId="0">
      <sharedItems containsBlank="1" containsMixedTypes="1" containsNumber="1" minValue="0" maxValue="0.5"/>
    </cacheField>
    <cacheField name="Total 1v1 Defence" numFmtId="0">
      <sharedItems containsBlank="1" containsMixedTypes="1" containsNumber="1" containsInteger="1" minValue="0" maxValue="3"/>
    </cacheField>
    <cacheField name="Successful 1v1 Defence" numFmtId="0">
      <sharedItems containsBlank="1" containsMixedTypes="1" containsNumber="1" containsInteger="1" minValue="0" maxValue="2"/>
    </cacheField>
    <cacheField name="Unsuccessful 1v1 Defence" numFmtId="0">
      <sharedItems containsBlank="1" containsMixedTypes="1" containsNumber="1" containsInteger="1" minValue="0" maxValue="2"/>
    </cacheField>
    <cacheField name="Successful 1v1 Defence %" numFmtId="0">
      <sharedItems containsBlank="1" containsMixedTypes="1" containsNumber="1" minValue="0" maxValue="1"/>
    </cacheField>
    <cacheField name="Unsuccessful 1v1 Defence %" numFmtId="0">
      <sharedItems containsBlank="1" containsMixedTypes="1" containsNumber="1" minValue="0" maxValue="1"/>
    </cacheField>
    <cacheField name="Total Tackles" numFmtId="0">
      <sharedItems containsBlank="1" containsMixedTypes="1" containsNumber="1" containsInteger="1" minValue="0" maxValue="2"/>
    </cacheField>
    <cacheField name="Successful Tackles" numFmtId="0">
      <sharedItems containsBlank="1" containsMixedTypes="1" containsNumber="1" containsInteger="1" minValue="0" maxValue="2"/>
    </cacheField>
    <cacheField name="Unsuccessful Tackles" numFmtId="0">
      <sharedItems containsBlank="1" containsMixedTypes="1" containsNumber="1" containsInteger="1" minValue="0" maxValue="0"/>
    </cacheField>
    <cacheField name="Successful Tackles %" numFmtId="9">
      <sharedItems containsBlank="1" containsMixedTypes="1" containsNumber="1" containsInteger="1" minValue="1" maxValue="1"/>
    </cacheField>
    <cacheField name="Unsuccessful Tackles %" numFmtId="9">
      <sharedItems containsBlank="1" containsMixedTypes="1" containsNumber="1" containsInteger="1" minValue="0" maxValue="0"/>
    </cacheField>
    <cacheField name="Total 2nd Ball" numFmtId="0">
      <sharedItems containsBlank="1" containsMixedTypes="1" containsNumber="1" containsInteger="1" minValue="0" maxValue="4"/>
    </cacheField>
    <cacheField name="Successful 2nd Ball" numFmtId="0">
      <sharedItems containsBlank="1" containsMixedTypes="1" containsNumber="1" containsInteger="1" minValue="0" maxValue="3"/>
    </cacheField>
    <cacheField name="Unsuccessful 2nd Ball" numFmtId="0">
      <sharedItems containsBlank="1" containsMixedTypes="1" containsNumber="1" containsInteger="1" minValue="0" maxValue="2"/>
    </cacheField>
    <cacheField name="Successful 2nd Ball %" numFmtId="0">
      <sharedItems containsBlank="1" containsMixedTypes="1" containsNumber="1" minValue="0" maxValue="1"/>
    </cacheField>
    <cacheField name="Unsuccessful 2nd Ball %" numFmtId="0">
      <sharedItems containsBlank="1" containsMixedTypes="1" containsNumber="1" minValue="0" maxValue="1"/>
    </cacheField>
    <cacheField name="Clearance" numFmtId="0">
      <sharedItems containsBlank="1" containsMixedTypes="1" containsNumber="1" containsInteger="1" minValue="0" maxValue="4"/>
    </cacheField>
    <cacheField name="Interception" numFmtId="0">
      <sharedItems containsBlank="1" containsMixedTypes="1" containsNumber="1" containsInteger="1" minValue="0" maxValue="8"/>
    </cacheField>
    <cacheField name="Turnover Won" numFmtId="0">
      <sharedItems containsBlank="1" containsMixedTypes="1" containsNumber="1" containsInteger="1" minValue="0" maxValue="4"/>
    </cacheField>
    <cacheField name="Recovery" numFmtId="0">
      <sharedItems containsBlank="1" containsMixedTypes="1" containsNumber="1" containsInteger="1" minValue="0" maxValue="3"/>
    </cacheField>
    <cacheField name="Blocked Shots" numFmtId="0">
      <sharedItems containsBlank="1" containsMixedTypes="1" containsNumber="1" containsInteger="1" minValue="0" maxValue="2"/>
    </cacheField>
    <cacheField name="Missed Man-marking" numFmtId="0">
      <sharedItems containsBlank="1" containsMixedTypes="1" containsNumber="1" containsInteger="1" minValue="0" maxValue="2"/>
    </cacheField>
    <cacheField name="Fouls" numFmtId="0">
      <sharedItems containsBlank="1" containsMixedTypes="1" containsNumber="1" containsInteger="1" minValue="0" maxValue="3"/>
    </cacheField>
    <cacheField name="Won Fouls" numFmtId="0">
      <sharedItems containsBlank="1" containsMixedTypes="1" containsNumber="1" containsInteger="1" minValue="0" maxValue="3"/>
    </cacheField>
    <cacheField name="GK 1v1" numFmtId="0">
      <sharedItems containsBlank="1" containsMixedTypes="1" containsNumber="1" containsInteger="1" minValue="0" maxValue="2"/>
    </cacheField>
    <cacheField name="GK On target" numFmtId="0">
      <sharedItems containsBlank="1" containsMixedTypes="1" containsNumber="1" containsInteger="1" minValue="0" maxValue="10"/>
    </cacheField>
    <cacheField name="GK Off Target" numFmtId="0">
      <sharedItems containsBlank="1" containsMixedTypes="1" containsNumber="1" containsInteger="1" minValue="0" maxValue="7"/>
    </cacheField>
    <cacheField name="Defence the Space" numFmtId="0">
      <sharedItems containsBlank="1" containsMixedTypes="1" containsNumber="1" containsInteger="1" minValue="0" maxValue="4"/>
    </cacheField>
    <cacheField name="Goal Conceded" numFmtId="0">
      <sharedItems containsBlank="1" containsMixedTypes="1" containsNumber="1" containsInteger="1" minValue="0" maxValue="4"/>
    </cacheField>
    <cacheField name="Save" numFmtId="0">
      <sharedItems containsBlank="1" containsMixedTypes="1" containsNumber="1" containsInteger="1" minValue="0" maxValue="3"/>
    </cacheField>
    <cacheField name="Defend the line (Cross)" numFmtId="0">
      <sharedItems containsBlank="1" containsMixedTypes="1" containsNumber="1" containsInteger="1" minValue="0" maxValue="3"/>
    </cacheField>
    <cacheField name="Counter Kick" numFmtId="0">
      <sharedItems containsBlank="1" containsMixedTypes="1" containsNumber="1" containsInteger="1" minValue="0" maxValue="2"/>
    </cacheField>
    <cacheField name="Player 2" numFmtId="0">
      <sharedItems containsBlank="1" count="31">
        <s v="Joshua Harrup"/>
        <s v="Joshua Laotan"/>
        <s v="Harry Meadwell-Ludlow"/>
        <s v="Levi Ampofo"/>
        <s v="Diyar Sonzamanci"/>
        <s v="William Swannell"/>
        <s v="Kairo Smith"/>
        <s v="Harley Moyes"/>
        <s v="Dylan Tambe"/>
        <s v="Jeffrey Sam-Deekue"/>
        <s v="Sebastian Bixby-Gutierrez"/>
        <m/>
        <s v="Player 2"/>
        <s v="Melvin Brandford"/>
        <s v="Hugo McLarnon"/>
        <s v="Reyes White"/>
        <s v="Kaii Charles"/>
        <s v="Louie Briggs" u="1"/>
        <s v="Ayodele Akinsanya" u="1"/>
        <s v="Sam Miljkovic" u="1"/>
        <s v="Romeo Hamilton" u="1"/>
        <s v="Kevin Jalo-Gomes" u="1"/>
        <s v="Ethan Lake" u="1"/>
        <s v="Jayden To" u="1"/>
        <s v="Usim Ijere" u="1"/>
        <s v="Cordell Morgan-Antonio" u="1"/>
        <s v="Godwin Mfuri" u="1"/>
        <s v="Aaran Sudakaran" u="1"/>
        <s v="Tamas Fekete" u="1"/>
        <s v="Prosper Sango" u="1"/>
        <s v="Chibuzo Okoli" u="1"/>
      </sharedItems>
    </cacheField>
  </cacheFields>
  <extLst>
    <ext xmlns:x14="http://schemas.microsoft.com/office/spreadsheetml/2009/9/main" uri="{725AE2AE-9491-48be-B2B4-4EB974FC3084}">
      <x14:pivotCacheDefinition pivotCacheId="11625921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
  <r>
    <x v="0"/>
    <x v="0"/>
    <x v="0"/>
    <x v="0"/>
    <n v="40"/>
    <n v="26"/>
    <n v="14"/>
    <n v="0.65"/>
    <n v="0.35"/>
    <n v="32"/>
    <n v="20"/>
    <n v="12"/>
    <n v="0.625"/>
    <n v="0.375"/>
    <n v="8"/>
    <n v="6"/>
    <n v="2"/>
    <n v="0.75"/>
    <n v="0.25"/>
    <n v="0"/>
    <n v="0"/>
    <n v="0"/>
    <s v="-"/>
    <s v="-"/>
    <n v="10"/>
    <n v="3"/>
    <n v="7"/>
    <n v="0.3"/>
    <n v="0.7"/>
    <n v="1"/>
    <n v="1"/>
    <n v="1"/>
    <n v="1"/>
    <n v="1"/>
    <n v="0"/>
    <n v="0"/>
    <n v="0"/>
    <n v="0"/>
    <s v="-"/>
    <s v="-"/>
    <n v="27"/>
    <n v="18"/>
    <n v="9"/>
    <n v="0"/>
    <n v="0"/>
    <n v="0"/>
    <n v="0"/>
    <n v="0"/>
    <n v="0"/>
    <n v="0"/>
    <n v="0"/>
    <n v="0"/>
    <s v="-"/>
    <s v="-"/>
    <n v="0"/>
    <n v="0"/>
    <n v="0"/>
    <s v="-"/>
    <s v="-"/>
    <n v="0"/>
    <n v="0"/>
    <n v="0"/>
    <n v="0"/>
    <n v="0"/>
    <n v="0"/>
    <n v="0"/>
    <n v="0"/>
    <n v="0"/>
    <s v="-"/>
    <s v="-"/>
    <n v="1"/>
    <n v="0"/>
    <n v="0"/>
    <n v="0"/>
    <n v="0"/>
    <n v="0"/>
    <n v="0"/>
    <n v="0"/>
    <n v="0"/>
    <n v="0"/>
    <s v="-"/>
    <s v="-"/>
    <n v="0"/>
    <n v="0"/>
    <n v="0"/>
    <s v="-"/>
    <s v="-"/>
    <n v="0"/>
    <n v="0"/>
    <n v="0"/>
    <s v="-"/>
    <s v="-"/>
    <n v="0"/>
    <n v="0"/>
    <n v="0"/>
    <s v="-"/>
    <s v="-"/>
    <n v="0"/>
    <n v="0"/>
    <n v="0"/>
    <s v="-"/>
    <s v="-"/>
    <n v="0"/>
    <n v="0"/>
    <n v="0"/>
    <s v="-"/>
    <s v="-"/>
    <n v="0"/>
    <n v="0"/>
    <n v="0"/>
    <n v="0"/>
    <n v="0"/>
    <n v="0"/>
    <n v="0"/>
    <n v="0"/>
    <n v="1"/>
    <n v="4"/>
    <n v="4"/>
    <n v="2"/>
    <n v="2"/>
    <n v="1"/>
    <n v="1"/>
    <n v="1"/>
    <x v="0"/>
  </r>
  <r>
    <x v="0"/>
    <x v="1"/>
    <x v="0"/>
    <x v="1"/>
    <n v="22"/>
    <n v="19"/>
    <n v="3"/>
    <n v="0.86363636363636365"/>
    <n v="0.13636363636363635"/>
    <n v="10"/>
    <n v="7"/>
    <n v="3"/>
    <n v="0.7"/>
    <n v="0.3"/>
    <n v="7"/>
    <n v="7"/>
    <n v="0"/>
    <n v="1"/>
    <n v="0"/>
    <n v="5"/>
    <n v="5"/>
    <n v="0"/>
    <n v="1"/>
    <n v="0"/>
    <n v="1"/>
    <n v="1"/>
    <n v="0"/>
    <n v="1"/>
    <n v="0"/>
    <n v="2"/>
    <n v="1"/>
    <n v="1"/>
    <n v="0.5"/>
    <n v="0.5"/>
    <n v="0"/>
    <n v="0"/>
    <n v="0"/>
    <n v="0"/>
    <s v="-"/>
    <s v="-"/>
    <n v="14"/>
    <n v="11"/>
    <n v="2"/>
    <n v="1"/>
    <n v="1"/>
    <n v="0"/>
    <n v="1"/>
    <n v="0"/>
    <n v="0"/>
    <n v="0"/>
    <n v="0"/>
    <n v="0"/>
    <s v="-"/>
    <s v="-"/>
    <n v="0"/>
    <n v="0"/>
    <n v="0"/>
    <s v="-"/>
    <s v="-"/>
    <n v="0"/>
    <n v="0"/>
    <n v="0"/>
    <n v="0"/>
    <n v="0"/>
    <n v="0"/>
    <n v="1"/>
    <n v="1"/>
    <n v="0"/>
    <n v="1"/>
    <n v="0"/>
    <n v="5"/>
    <n v="0"/>
    <n v="5"/>
    <n v="0"/>
    <n v="0"/>
    <n v="0"/>
    <n v="0"/>
    <n v="5"/>
    <n v="5"/>
    <n v="0"/>
    <n v="1"/>
    <n v="0"/>
    <n v="1"/>
    <n v="1"/>
    <n v="0"/>
    <n v="1"/>
    <n v="0"/>
    <n v="3"/>
    <n v="3"/>
    <n v="0"/>
    <n v="1"/>
    <n v="0"/>
    <n v="1"/>
    <n v="1"/>
    <n v="0"/>
    <n v="1"/>
    <n v="0"/>
    <n v="0"/>
    <n v="0"/>
    <n v="0"/>
    <s v="-"/>
    <s v="-"/>
    <n v="0"/>
    <n v="0"/>
    <n v="0"/>
    <s v="-"/>
    <s v="-"/>
    <n v="3"/>
    <n v="0"/>
    <n v="1"/>
    <n v="1"/>
    <n v="1"/>
    <n v="0"/>
    <n v="0"/>
    <n v="0"/>
    <n v="0"/>
    <n v="0"/>
    <n v="0"/>
    <n v="0"/>
    <n v="0"/>
    <n v="0"/>
    <n v="0"/>
    <n v="0"/>
    <x v="1"/>
  </r>
  <r>
    <x v="0"/>
    <x v="2"/>
    <x v="0"/>
    <x v="1"/>
    <n v="44"/>
    <n v="33"/>
    <n v="11"/>
    <n v="0.75"/>
    <n v="0.25"/>
    <n v="16"/>
    <n v="7"/>
    <n v="9"/>
    <n v="0.4375"/>
    <n v="0.5625"/>
    <n v="17"/>
    <n v="16"/>
    <n v="1"/>
    <n v="0.94117647058823528"/>
    <n v="5.8823529411764705E-2"/>
    <n v="11"/>
    <n v="10"/>
    <n v="1"/>
    <n v="1"/>
    <n v="0.1"/>
    <n v="4"/>
    <n v="1"/>
    <n v="3"/>
    <n v="0.25"/>
    <n v="0.75"/>
    <n v="0"/>
    <n v="0"/>
    <n v="0"/>
    <s v="-"/>
    <s v="-"/>
    <n v="0"/>
    <n v="0"/>
    <n v="0"/>
    <n v="0"/>
    <s v="-"/>
    <s v="-"/>
    <n v="19"/>
    <n v="15"/>
    <n v="5"/>
    <n v="1"/>
    <n v="0"/>
    <n v="0"/>
    <n v="0"/>
    <n v="0"/>
    <n v="0"/>
    <n v="1"/>
    <n v="1"/>
    <n v="0"/>
    <n v="1"/>
    <n v="0"/>
    <n v="0"/>
    <n v="0"/>
    <n v="0"/>
    <s v="-"/>
    <s v="-"/>
    <n v="0"/>
    <n v="0"/>
    <n v="0"/>
    <n v="0"/>
    <n v="0"/>
    <n v="0"/>
    <n v="0"/>
    <n v="0"/>
    <n v="0"/>
    <s v="-"/>
    <s v="-"/>
    <n v="0"/>
    <n v="0"/>
    <n v="1"/>
    <n v="0"/>
    <n v="0"/>
    <n v="0"/>
    <n v="0"/>
    <n v="2"/>
    <n v="2"/>
    <n v="0"/>
    <n v="1"/>
    <n v="0"/>
    <n v="1"/>
    <n v="1"/>
    <n v="0"/>
    <n v="1"/>
    <n v="0"/>
    <n v="1"/>
    <n v="1"/>
    <n v="0"/>
    <n v="1"/>
    <n v="0"/>
    <n v="0"/>
    <n v="0"/>
    <n v="0"/>
    <s v="-"/>
    <s v="-"/>
    <n v="0"/>
    <n v="0"/>
    <n v="0"/>
    <s v="-"/>
    <s v="-"/>
    <n v="0"/>
    <n v="0"/>
    <n v="0"/>
    <s v="-"/>
    <s v="-"/>
    <n v="0"/>
    <n v="1"/>
    <n v="1"/>
    <n v="1"/>
    <n v="0"/>
    <n v="0"/>
    <n v="0"/>
    <n v="0"/>
    <n v="0"/>
    <n v="0"/>
    <n v="0"/>
    <n v="0"/>
    <n v="0"/>
    <n v="0"/>
    <n v="0"/>
    <n v="0"/>
    <x v="2"/>
  </r>
  <r>
    <x v="0"/>
    <x v="3"/>
    <x v="0"/>
    <x v="2"/>
    <n v="21"/>
    <n v="15"/>
    <n v="6"/>
    <n v="0.7142857142857143"/>
    <n v="0.2857142857142857"/>
    <n v="12"/>
    <n v="6"/>
    <n v="6"/>
    <n v="0.5"/>
    <n v="0.5"/>
    <n v="3"/>
    <n v="3"/>
    <n v="0"/>
    <n v="1"/>
    <n v="0"/>
    <n v="6"/>
    <n v="6"/>
    <n v="0"/>
    <n v="1"/>
    <n v="0"/>
    <n v="2"/>
    <n v="1"/>
    <n v="1"/>
    <n v="0.5"/>
    <n v="0.5"/>
    <n v="5"/>
    <n v="2"/>
    <n v="3"/>
    <n v="0.4"/>
    <n v="0.6"/>
    <n v="2"/>
    <n v="0"/>
    <n v="0"/>
    <n v="0"/>
    <s v="-"/>
    <s v="-"/>
    <n v="17"/>
    <n v="11"/>
    <n v="5"/>
    <n v="2"/>
    <n v="0"/>
    <n v="0"/>
    <n v="0"/>
    <n v="0"/>
    <n v="0"/>
    <n v="1"/>
    <n v="1"/>
    <n v="0"/>
    <n v="1"/>
    <n v="0"/>
    <n v="2"/>
    <n v="0"/>
    <n v="2"/>
    <n v="0"/>
    <n v="1"/>
    <n v="0"/>
    <n v="0"/>
    <n v="0"/>
    <n v="0"/>
    <n v="0"/>
    <n v="1"/>
    <n v="2"/>
    <n v="2"/>
    <n v="0"/>
    <n v="1"/>
    <n v="0"/>
    <n v="3"/>
    <n v="3"/>
    <n v="6"/>
    <n v="0"/>
    <n v="1"/>
    <n v="1"/>
    <n v="0"/>
    <n v="4"/>
    <n v="4"/>
    <n v="0"/>
    <n v="1"/>
    <n v="0"/>
    <n v="2"/>
    <n v="2"/>
    <n v="0"/>
    <n v="1"/>
    <n v="0"/>
    <n v="0"/>
    <n v="0"/>
    <n v="0"/>
    <s v="-"/>
    <s v="-"/>
    <n v="2"/>
    <n v="1"/>
    <n v="1"/>
    <n v="0.5"/>
    <n v="0.5"/>
    <n v="1"/>
    <n v="1"/>
    <n v="0"/>
    <n v="1"/>
    <n v="0"/>
    <n v="0"/>
    <n v="0"/>
    <n v="0"/>
    <s v="-"/>
    <s v="-"/>
    <n v="0"/>
    <n v="4"/>
    <n v="1"/>
    <n v="1"/>
    <n v="0"/>
    <n v="0"/>
    <n v="3"/>
    <n v="3"/>
    <n v="0"/>
    <n v="0"/>
    <n v="0"/>
    <n v="0"/>
    <n v="0"/>
    <n v="0"/>
    <n v="0"/>
    <n v="0"/>
    <x v="3"/>
  </r>
  <r>
    <x v="0"/>
    <x v="4"/>
    <x v="0"/>
    <x v="3"/>
    <n v="26"/>
    <n v="18"/>
    <n v="8"/>
    <n v="0.69230769230769229"/>
    <n v="0.30769230769230771"/>
    <n v="11"/>
    <n v="5"/>
    <n v="6"/>
    <n v="0.45454545454545453"/>
    <n v="0.54545454545454541"/>
    <n v="4"/>
    <n v="3"/>
    <n v="1"/>
    <n v="0.75"/>
    <n v="0.25"/>
    <n v="11"/>
    <n v="10"/>
    <n v="1"/>
    <n v="1"/>
    <n v="0.1"/>
    <n v="1"/>
    <n v="1"/>
    <n v="1"/>
    <n v="1"/>
    <n v="1"/>
    <n v="0"/>
    <n v="0"/>
    <n v="0"/>
    <s v="-"/>
    <s v="-"/>
    <n v="0"/>
    <n v="0"/>
    <n v="0"/>
    <n v="0"/>
    <s v="-"/>
    <s v="-"/>
    <n v="14"/>
    <n v="11"/>
    <n v="2"/>
    <n v="0"/>
    <n v="1"/>
    <n v="0"/>
    <n v="1"/>
    <n v="0"/>
    <n v="0"/>
    <n v="0"/>
    <n v="0"/>
    <n v="0"/>
    <s v="-"/>
    <s v="-"/>
    <n v="1"/>
    <n v="0"/>
    <n v="1"/>
    <n v="0"/>
    <n v="1"/>
    <n v="0"/>
    <n v="0"/>
    <n v="0"/>
    <n v="0"/>
    <n v="0"/>
    <n v="0"/>
    <n v="0"/>
    <n v="0"/>
    <n v="0"/>
    <s v="-"/>
    <s v="-"/>
    <n v="2"/>
    <n v="0"/>
    <n v="11"/>
    <n v="0"/>
    <n v="0"/>
    <n v="0"/>
    <n v="0"/>
    <n v="4"/>
    <n v="2"/>
    <n v="2"/>
    <n v="0.5"/>
    <n v="0.5"/>
    <n v="3"/>
    <n v="1"/>
    <n v="2"/>
    <n v="0.33333333333333331"/>
    <n v="0.66666666666666663"/>
    <n v="1"/>
    <n v="1"/>
    <n v="0"/>
    <n v="1"/>
    <n v="0"/>
    <n v="1"/>
    <n v="1"/>
    <n v="0"/>
    <n v="1"/>
    <n v="0"/>
    <n v="1"/>
    <n v="1"/>
    <n v="0"/>
    <n v="1"/>
    <n v="0"/>
    <n v="1"/>
    <n v="1"/>
    <n v="0"/>
    <n v="1"/>
    <n v="0"/>
    <n v="1"/>
    <n v="3"/>
    <n v="2"/>
    <n v="3"/>
    <n v="0"/>
    <n v="0"/>
    <n v="0"/>
    <n v="0"/>
    <n v="0"/>
    <n v="0"/>
    <n v="0"/>
    <n v="0"/>
    <n v="0"/>
    <n v="0"/>
    <n v="0"/>
    <n v="0"/>
    <x v="4"/>
  </r>
  <r>
    <x v="0"/>
    <x v="5"/>
    <x v="0"/>
    <x v="4"/>
    <n v="15"/>
    <n v="14"/>
    <n v="1"/>
    <n v="0.93333333333333335"/>
    <n v="6.6666666666666666E-2"/>
    <n v="2"/>
    <n v="2"/>
    <n v="0"/>
    <n v="1"/>
    <n v="0"/>
    <n v="8"/>
    <n v="8"/>
    <n v="0"/>
    <n v="1"/>
    <n v="0"/>
    <n v="5"/>
    <n v="4"/>
    <n v="1"/>
    <n v="1"/>
    <n v="0.25"/>
    <n v="1"/>
    <n v="1"/>
    <n v="0"/>
    <n v="1"/>
    <n v="0"/>
    <n v="1"/>
    <n v="1"/>
    <n v="0"/>
    <n v="1"/>
    <n v="0"/>
    <n v="1"/>
    <n v="0"/>
    <n v="0"/>
    <n v="0"/>
    <s v="-"/>
    <s v="-"/>
    <n v="11"/>
    <n v="9"/>
    <n v="1"/>
    <n v="0"/>
    <n v="3"/>
    <n v="0"/>
    <n v="1"/>
    <n v="2"/>
    <n v="0"/>
    <n v="0"/>
    <n v="0"/>
    <n v="0"/>
    <s v="-"/>
    <s v="-"/>
    <n v="0"/>
    <n v="0"/>
    <n v="0"/>
    <s v="-"/>
    <s v="-"/>
    <n v="0"/>
    <n v="0"/>
    <n v="0"/>
    <n v="0"/>
    <n v="0"/>
    <n v="1"/>
    <n v="0"/>
    <n v="0"/>
    <n v="0"/>
    <s v="-"/>
    <s v="-"/>
    <n v="1"/>
    <n v="8"/>
    <n v="0"/>
    <n v="0"/>
    <n v="0"/>
    <n v="0"/>
    <n v="0"/>
    <n v="3"/>
    <n v="1"/>
    <n v="2"/>
    <n v="0.33333333333333331"/>
    <n v="0.66666666666666663"/>
    <n v="2"/>
    <n v="1"/>
    <n v="1"/>
    <n v="0.5"/>
    <n v="0.5"/>
    <n v="1"/>
    <n v="0"/>
    <n v="1"/>
    <s v="-"/>
    <s v="-"/>
    <n v="0"/>
    <n v="0"/>
    <n v="0"/>
    <s v="-"/>
    <s v="-"/>
    <n v="1"/>
    <n v="1"/>
    <n v="0"/>
    <n v="1"/>
    <n v="0"/>
    <n v="3"/>
    <n v="1"/>
    <n v="2"/>
    <n v="0.33333333333333331"/>
    <n v="0.66666666666666663"/>
    <n v="0"/>
    <n v="0"/>
    <n v="0"/>
    <n v="0"/>
    <n v="0"/>
    <n v="0"/>
    <n v="0"/>
    <n v="0"/>
    <n v="0"/>
    <n v="0"/>
    <n v="0"/>
    <n v="0"/>
    <n v="0"/>
    <n v="0"/>
    <n v="0"/>
    <n v="0"/>
    <x v="5"/>
  </r>
  <r>
    <x v="0"/>
    <x v="6"/>
    <x v="0"/>
    <x v="4"/>
    <n v="12"/>
    <n v="11"/>
    <n v="1"/>
    <n v="0.91666666666666663"/>
    <n v="8.3333333333333329E-2"/>
    <n v="4"/>
    <n v="3"/>
    <n v="1"/>
    <n v="0.75"/>
    <n v="0.25"/>
    <n v="2"/>
    <n v="2"/>
    <n v="0"/>
    <n v="1"/>
    <n v="0"/>
    <n v="6"/>
    <n v="6"/>
    <n v="0"/>
    <n v="1"/>
    <n v="0"/>
    <n v="1"/>
    <n v="0"/>
    <n v="1"/>
    <n v="0"/>
    <n v="1"/>
    <n v="0"/>
    <n v="0"/>
    <n v="0"/>
    <s v="-"/>
    <s v="-"/>
    <n v="1"/>
    <n v="0"/>
    <n v="0"/>
    <n v="0"/>
    <s v="-"/>
    <s v="-"/>
    <n v="9"/>
    <n v="8"/>
    <n v="0"/>
    <n v="1"/>
    <n v="1"/>
    <n v="0"/>
    <n v="1"/>
    <n v="0"/>
    <n v="1"/>
    <n v="0"/>
    <n v="0"/>
    <n v="0"/>
    <s v="-"/>
    <s v="-"/>
    <n v="0"/>
    <n v="0"/>
    <n v="0"/>
    <s v="-"/>
    <s v="-"/>
    <n v="1"/>
    <n v="0"/>
    <n v="0"/>
    <n v="1"/>
    <n v="0"/>
    <n v="0"/>
    <n v="1"/>
    <n v="1"/>
    <n v="0"/>
    <n v="1"/>
    <n v="0"/>
    <n v="0"/>
    <n v="5"/>
    <n v="0"/>
    <n v="0"/>
    <n v="0"/>
    <n v="0"/>
    <n v="0"/>
    <n v="2"/>
    <n v="1"/>
    <n v="1"/>
    <n v="0.5"/>
    <n v="0.5"/>
    <n v="0"/>
    <n v="0"/>
    <n v="0"/>
    <s v="-"/>
    <s v="-"/>
    <n v="1"/>
    <n v="0"/>
    <n v="1"/>
    <s v="-"/>
    <s v="-"/>
    <n v="0"/>
    <n v="0"/>
    <n v="0"/>
    <s v="-"/>
    <s v="-"/>
    <n v="0"/>
    <n v="0"/>
    <n v="0"/>
    <s v="-"/>
    <s v="-"/>
    <n v="2"/>
    <n v="1"/>
    <n v="1"/>
    <n v="0.5"/>
    <n v="0.5"/>
    <n v="0"/>
    <n v="2"/>
    <n v="0"/>
    <n v="0"/>
    <n v="0"/>
    <n v="0"/>
    <n v="0"/>
    <n v="0"/>
    <n v="0"/>
    <n v="0"/>
    <n v="0"/>
    <n v="0"/>
    <n v="0"/>
    <n v="0"/>
    <n v="0"/>
    <n v="0"/>
    <x v="6"/>
  </r>
  <r>
    <x v="0"/>
    <x v="7"/>
    <x v="0"/>
    <x v="4"/>
    <n v="7"/>
    <n v="4"/>
    <n v="3"/>
    <n v="0.5714285714285714"/>
    <n v="0.42857142857142855"/>
    <n v="4"/>
    <n v="2"/>
    <n v="2"/>
    <n v="0.5"/>
    <n v="0.5"/>
    <n v="2"/>
    <n v="1"/>
    <n v="1"/>
    <n v="0.5"/>
    <n v="0.5"/>
    <n v="1"/>
    <n v="1"/>
    <n v="0"/>
    <n v="1"/>
    <n v="0"/>
    <n v="1"/>
    <n v="0"/>
    <n v="1"/>
    <n v="0"/>
    <n v="1"/>
    <n v="2"/>
    <n v="1"/>
    <n v="1"/>
    <n v="0.5"/>
    <n v="0.5"/>
    <n v="0"/>
    <n v="0"/>
    <n v="0"/>
    <n v="0"/>
    <s v="-"/>
    <s v="-"/>
    <n v="4"/>
    <n v="1"/>
    <n v="2"/>
    <n v="1"/>
    <n v="1"/>
    <n v="0"/>
    <n v="0"/>
    <n v="1"/>
    <n v="0"/>
    <n v="2"/>
    <n v="2"/>
    <n v="0"/>
    <n v="1"/>
    <n v="0"/>
    <n v="0"/>
    <n v="0"/>
    <n v="0"/>
    <s v="-"/>
    <s v="-"/>
    <n v="0"/>
    <n v="0"/>
    <n v="0"/>
    <n v="0"/>
    <n v="0"/>
    <n v="1"/>
    <n v="0"/>
    <n v="0"/>
    <n v="0"/>
    <s v="-"/>
    <s v="-"/>
    <n v="0"/>
    <n v="3"/>
    <n v="0"/>
    <n v="0"/>
    <n v="0"/>
    <n v="0"/>
    <n v="0"/>
    <n v="2"/>
    <n v="0"/>
    <n v="2"/>
    <n v="0"/>
    <n v="1"/>
    <n v="0"/>
    <n v="0"/>
    <n v="0"/>
    <s v="-"/>
    <s v="-"/>
    <n v="2"/>
    <n v="0"/>
    <n v="2"/>
    <s v="-"/>
    <s v="-"/>
    <n v="0"/>
    <n v="0"/>
    <n v="0"/>
    <s v="-"/>
    <s v="-"/>
    <n v="1"/>
    <n v="1"/>
    <n v="0"/>
    <n v="1"/>
    <n v="0"/>
    <n v="2"/>
    <n v="2"/>
    <n v="0"/>
    <n v="1"/>
    <n v="0"/>
    <n v="0"/>
    <n v="1"/>
    <n v="3"/>
    <n v="1"/>
    <n v="1"/>
    <n v="0"/>
    <n v="0"/>
    <n v="0"/>
    <n v="0"/>
    <n v="0"/>
    <n v="0"/>
    <n v="0"/>
    <n v="0"/>
    <n v="0"/>
    <n v="0"/>
    <n v="0"/>
    <x v="7"/>
  </r>
  <r>
    <x v="0"/>
    <x v="8"/>
    <x v="0"/>
    <x v="5"/>
    <n v="4"/>
    <n v="3"/>
    <n v="1"/>
    <n v="0.75"/>
    <n v="0.25"/>
    <n v="1"/>
    <n v="1"/>
    <n v="0"/>
    <n v="1"/>
    <n v="0"/>
    <n v="2"/>
    <n v="1"/>
    <n v="1"/>
    <n v="0.5"/>
    <n v="0.5"/>
    <n v="1"/>
    <n v="1"/>
    <n v="0"/>
    <n v="1"/>
    <n v="0"/>
    <n v="0"/>
    <n v="0"/>
    <n v="0"/>
    <s v="-"/>
    <s v="-"/>
    <n v="0"/>
    <n v="0"/>
    <n v="0"/>
    <s v="-"/>
    <s v="-"/>
    <n v="0"/>
    <n v="0"/>
    <n v="0"/>
    <n v="0"/>
    <s v="-"/>
    <s v="-"/>
    <n v="5"/>
    <n v="3"/>
    <n v="2"/>
    <n v="1"/>
    <n v="0"/>
    <n v="0"/>
    <n v="0"/>
    <n v="0"/>
    <n v="1"/>
    <n v="1"/>
    <n v="1"/>
    <n v="0"/>
    <n v="1"/>
    <n v="0"/>
    <n v="2"/>
    <n v="1"/>
    <n v="1"/>
    <n v="0.5"/>
    <n v="0.5"/>
    <n v="0"/>
    <n v="0"/>
    <n v="0"/>
    <n v="0"/>
    <n v="0"/>
    <n v="0"/>
    <n v="0"/>
    <n v="0"/>
    <n v="0"/>
    <s v="-"/>
    <s v="-"/>
    <n v="0"/>
    <n v="0"/>
    <n v="2"/>
    <n v="1"/>
    <n v="0"/>
    <n v="0"/>
    <n v="0"/>
    <n v="2"/>
    <n v="0"/>
    <n v="2"/>
    <n v="0"/>
    <n v="1"/>
    <n v="0"/>
    <n v="0"/>
    <n v="0"/>
    <s v="-"/>
    <s v="-"/>
    <n v="2"/>
    <n v="0"/>
    <n v="2"/>
    <s v="-"/>
    <s v="-"/>
    <n v="0"/>
    <n v="0"/>
    <n v="0"/>
    <s v="-"/>
    <s v="-"/>
    <n v="0"/>
    <n v="0"/>
    <n v="0"/>
    <s v="-"/>
    <s v="-"/>
    <n v="0"/>
    <n v="0"/>
    <n v="0"/>
    <s v="-"/>
    <s v="-"/>
    <n v="0"/>
    <n v="1"/>
    <n v="1"/>
    <n v="0"/>
    <n v="0"/>
    <n v="0"/>
    <n v="0"/>
    <n v="0"/>
    <n v="0"/>
    <n v="0"/>
    <n v="0"/>
    <n v="0"/>
    <n v="0"/>
    <n v="0"/>
    <n v="0"/>
    <n v="0"/>
    <x v="8"/>
  </r>
  <r>
    <x v="0"/>
    <x v="9"/>
    <x v="0"/>
    <x v="6"/>
    <n v="9"/>
    <n v="5"/>
    <n v="4"/>
    <n v="0.55555555555555558"/>
    <n v="0.44444444444444442"/>
    <n v="5"/>
    <n v="1"/>
    <n v="4"/>
    <n v="0.2"/>
    <n v="0.8"/>
    <n v="1"/>
    <n v="1"/>
    <n v="0"/>
    <n v="1"/>
    <n v="0"/>
    <n v="3"/>
    <n v="3"/>
    <n v="0"/>
    <n v="1"/>
    <n v="0"/>
    <n v="0"/>
    <n v="0"/>
    <n v="0"/>
    <s v="-"/>
    <s v="-"/>
    <n v="0"/>
    <n v="0"/>
    <n v="0"/>
    <s v="-"/>
    <s v="-"/>
    <n v="0"/>
    <n v="0"/>
    <n v="0"/>
    <n v="0"/>
    <s v="-"/>
    <s v="-"/>
    <n v="11"/>
    <n v="3"/>
    <n v="6"/>
    <n v="2"/>
    <n v="1"/>
    <n v="1"/>
    <n v="0"/>
    <n v="0"/>
    <n v="2"/>
    <n v="1"/>
    <n v="1"/>
    <n v="0"/>
    <n v="1"/>
    <n v="0"/>
    <n v="2"/>
    <n v="0"/>
    <n v="2"/>
    <n v="0"/>
    <n v="1"/>
    <n v="1"/>
    <n v="0"/>
    <n v="1"/>
    <n v="0"/>
    <n v="0"/>
    <n v="0"/>
    <n v="1"/>
    <n v="1"/>
    <n v="0"/>
    <n v="1"/>
    <n v="0"/>
    <n v="0"/>
    <n v="0"/>
    <n v="6"/>
    <n v="0"/>
    <n v="0"/>
    <n v="1"/>
    <n v="0"/>
    <n v="3"/>
    <n v="1"/>
    <n v="2"/>
    <n v="0.33333333333333331"/>
    <n v="0.66666666666666663"/>
    <n v="2"/>
    <n v="0"/>
    <n v="2"/>
    <n v="0"/>
    <n v="1"/>
    <n v="0"/>
    <n v="0"/>
    <n v="0"/>
    <s v="-"/>
    <s v="-"/>
    <n v="0"/>
    <n v="0"/>
    <n v="0"/>
    <s v="-"/>
    <s v="-"/>
    <n v="0"/>
    <n v="0"/>
    <n v="0"/>
    <s v="-"/>
    <s v="-"/>
    <n v="1"/>
    <n v="0"/>
    <n v="1"/>
    <n v="0"/>
    <n v="1"/>
    <n v="0"/>
    <n v="0"/>
    <n v="2"/>
    <n v="1"/>
    <n v="0"/>
    <n v="0"/>
    <n v="1"/>
    <n v="0"/>
    <n v="0"/>
    <n v="0"/>
    <n v="0"/>
    <n v="0"/>
    <n v="0"/>
    <n v="0"/>
    <n v="0"/>
    <n v="0"/>
    <x v="9"/>
  </r>
  <r>
    <x v="0"/>
    <x v="10"/>
    <x v="0"/>
    <x v="7"/>
    <n v="13"/>
    <n v="7"/>
    <n v="6"/>
    <n v="0.53846153846153844"/>
    <n v="0.46153846153846156"/>
    <n v="5"/>
    <n v="1"/>
    <n v="4"/>
    <n v="0.2"/>
    <n v="0.8"/>
    <n v="2"/>
    <n v="1"/>
    <n v="1"/>
    <n v="0.5"/>
    <n v="0.5"/>
    <n v="6"/>
    <n v="5"/>
    <n v="1"/>
    <n v="1"/>
    <n v="0.2"/>
    <n v="1"/>
    <n v="0"/>
    <n v="1"/>
    <n v="0"/>
    <n v="1"/>
    <n v="3"/>
    <n v="1"/>
    <n v="2"/>
    <n v="0.33333333333333331"/>
    <n v="0.66666666666666663"/>
    <n v="0"/>
    <n v="0"/>
    <n v="0"/>
    <n v="0"/>
    <s v="-"/>
    <s v="-"/>
    <n v="8"/>
    <n v="3"/>
    <n v="4"/>
    <n v="2"/>
    <n v="3"/>
    <n v="2"/>
    <n v="1"/>
    <n v="0"/>
    <n v="4"/>
    <n v="0"/>
    <n v="0"/>
    <n v="0"/>
    <s v="-"/>
    <s v="-"/>
    <n v="0"/>
    <n v="0"/>
    <n v="0"/>
    <s v="-"/>
    <s v="-"/>
    <n v="4"/>
    <n v="2"/>
    <n v="0"/>
    <n v="2"/>
    <n v="2"/>
    <n v="0"/>
    <n v="3"/>
    <n v="3"/>
    <n v="0"/>
    <n v="1"/>
    <n v="0"/>
    <n v="0"/>
    <n v="1"/>
    <n v="0"/>
    <n v="4"/>
    <n v="0"/>
    <n v="4"/>
    <n v="0"/>
    <n v="5"/>
    <n v="3"/>
    <n v="2"/>
    <n v="0.6"/>
    <n v="0.4"/>
    <n v="1"/>
    <n v="0"/>
    <n v="1"/>
    <n v="0"/>
    <n v="1"/>
    <n v="1"/>
    <n v="0"/>
    <n v="1"/>
    <s v="-"/>
    <s v="-"/>
    <n v="0"/>
    <n v="0"/>
    <n v="0"/>
    <s v="-"/>
    <s v="-"/>
    <n v="1"/>
    <n v="1"/>
    <n v="0"/>
    <n v="1"/>
    <n v="0"/>
    <n v="1"/>
    <n v="1"/>
    <n v="0"/>
    <n v="1"/>
    <n v="0"/>
    <n v="1"/>
    <n v="0"/>
    <n v="0"/>
    <n v="0"/>
    <n v="0"/>
    <n v="0"/>
    <n v="1"/>
    <n v="0"/>
    <n v="0"/>
    <n v="0"/>
    <n v="0"/>
    <n v="0"/>
    <n v="0"/>
    <n v="0"/>
    <n v="0"/>
    <n v="0"/>
    <x v="10"/>
  </r>
  <r>
    <x v="1"/>
    <x v="11"/>
    <x v="1"/>
    <x v="8"/>
    <m/>
    <m/>
    <m/>
    <m/>
    <m/>
    <m/>
    <m/>
    <m/>
    <m/>
    <m/>
    <m/>
    <m/>
    <m/>
    <m/>
    <m/>
    <m/>
    <m/>
    <m/>
    <m/>
    <m/>
    <m/>
    <m/>
    <m/>
    <m/>
    <m/>
    <m/>
    <m/>
    <m/>
    <m/>
    <m/>
    <m/>
    <m/>
    <m/>
    <m/>
    <m/>
    <m/>
    <m/>
    <m/>
    <m/>
    <m/>
    <m/>
    <m/>
    <m/>
    <m/>
    <m/>
    <m/>
    <m/>
    <m/>
    <m/>
    <m/>
    <m/>
    <m/>
    <m/>
    <m/>
    <m/>
    <m/>
    <m/>
    <m/>
    <m/>
    <m/>
    <m/>
    <m/>
    <m/>
    <m/>
    <m/>
    <m/>
    <m/>
    <m/>
    <m/>
    <m/>
    <m/>
    <m/>
    <m/>
    <m/>
    <m/>
    <m/>
    <m/>
    <m/>
    <m/>
    <m/>
    <m/>
    <m/>
    <m/>
    <m/>
    <m/>
    <m/>
    <m/>
    <m/>
    <m/>
    <m/>
    <m/>
    <m/>
    <m/>
    <m/>
    <m/>
    <m/>
    <m/>
    <m/>
    <m/>
    <m/>
    <m/>
    <m/>
    <m/>
    <m/>
    <m/>
    <m/>
    <m/>
    <m/>
    <m/>
    <m/>
    <m/>
    <m/>
    <m/>
    <m/>
    <m/>
    <m/>
    <m/>
    <m/>
    <m/>
    <x v="11"/>
  </r>
  <r>
    <x v="2"/>
    <x v="12"/>
    <x v="2"/>
    <x v="9"/>
    <s v="Total Passes"/>
    <s v="Completed Passes"/>
    <s v="Uncompleted Passes"/>
    <s v="Completed Passes %"/>
    <s v="Uncompleted Passes %"/>
    <s v="Total Forward Passes"/>
    <s v="Completed Forward Passes"/>
    <s v="Uncompleted Forward Passes"/>
    <s v="Completed Forward Passes %"/>
    <s v="Uncompleted Forward Passes %"/>
    <s v="Total Lateral Passes"/>
    <s v="Completed Lateral Passes"/>
    <s v="Uncompleted Lateral Passes"/>
    <s v="Completed Lateral Passes %"/>
    <s v="Uncompleted Lateral Passes %"/>
    <s v="Total Backward Passes"/>
    <s v="Completed Backward Passes"/>
    <s v="Uncompleted Backward Passes"/>
    <s v="Completed Backward Passes %"/>
    <s v="Uncompleted Backward Passes %"/>
    <s v="Total Long Passes"/>
    <s v="Completed Long Passes"/>
    <s v="Uncompleted Long Passes"/>
    <s v="Completed Long Passes %"/>
    <s v="Uncompleted Long Passes %"/>
    <s v="Total Balls in Behind"/>
    <s v="Completed Balls in Behind"/>
    <s v="Uncompleted Balls in Behind"/>
    <s v="Completed Balls in Behind %"/>
    <s v="Uncompleted Balls in Behind %"/>
    <s v="Total Through Passes"/>
    <s v="Total Diagonal Passes"/>
    <s v="Completed Diagonal Passes"/>
    <s v="Uncompleted Diagonal Passes"/>
    <s v="Completed Diagonal Passes %"/>
    <s v="Uncompleted Diagonal Passes %"/>
    <s v="Total Pass Received"/>
    <s v="Pass Received &amp; Pass completed"/>
    <s v="Pass Received &amp; Pass Uncompleted"/>
    <s v="Ball Kept"/>
    <s v="Ball Lost"/>
    <s v="Ball Lost in Final 1/3"/>
    <s v="Ball Lost in Middle 1/3"/>
    <s v="Ball Lost in Own 1/3"/>
    <s v="Touches in the Box"/>
    <s v="Total 1v1"/>
    <s v="Successful 1v1"/>
    <s v="Unsuccessful 1v1"/>
    <s v="Completed 1v1 %"/>
    <s v="Uncompleted 1v1 %"/>
    <s v="Total Cross"/>
    <s v="Completed Cross"/>
    <s v="Uncompleted Cross"/>
    <s v="Completed Cross %"/>
    <s v="Uncompleted Cross %"/>
    <s v="Total Shots"/>
    <s v="On Target"/>
    <s v="Off Target"/>
    <s v="Blocked"/>
    <s v="Goal"/>
    <s v="Assist"/>
    <s v="Total Offensive duel"/>
    <s v="Successful Offensive Duel"/>
    <s v="Unsuccessful Offensive Duel"/>
    <s v="Successful Offensive Duel %"/>
    <s v="Unsuccessful Offensive Duel %"/>
    <s v="Total Acceleration"/>
    <s v="Total Into Pocket"/>
    <s v="Total Wide Area"/>
    <s v="Total Back to Goal"/>
    <s v="Total Over/Underlaps"/>
    <s v="Total Runs in Behind"/>
    <s v="Total Half-space Runs"/>
    <s v="Total Duel"/>
    <s v="Successful Duel"/>
    <s v="Unsuccesful Duel"/>
    <s v="Successful Duel %"/>
    <s v="Unsuccesful Duel %"/>
    <s v="Total Defensive Duel"/>
    <s v="Successful Defensive Duel"/>
    <s v="Unsuccesful Defensive Duel"/>
    <s v="Successful Defensive Duel %"/>
    <s v="Unsuccesful Defensive Duel %"/>
    <s v="Total Aerial Duel"/>
    <s v="Succesful Aerial Duel"/>
    <s v="Unsuccessful Aerial Duel"/>
    <s v="Succesful Aerial Duel %"/>
    <s v="Unsuccessful Aerial Duel %"/>
    <s v="Total 1v1 Defence"/>
    <s v="Successful 1v1 Defence"/>
    <s v="Unsuccessful 1v1 Defence"/>
    <s v="Successful 1v1 Defence %"/>
    <s v="Unsuccessful 1v1 Defence %"/>
    <s v="Total Tackles"/>
    <s v="Successful Tackles"/>
    <s v="Unsuccessful Tackles"/>
    <s v="Successful Tackles %"/>
    <s v="Unsuccessful Tackles %"/>
    <s v="Total 2nd Balls"/>
    <s v="Successful 2nd Ball"/>
    <s v="Unsuccessful 2nd Ball"/>
    <s v="Successful 2nd Ball %"/>
    <s v="Unsuccessful 2nd Ball %"/>
    <s v="Clearance"/>
    <s v="Interception"/>
    <s v="Turnover Won"/>
    <s v="Recovery"/>
    <s v="Blocked Shots"/>
    <s v="Missed Man-marking"/>
    <s v="Fouls"/>
    <s v="Won Fouls"/>
    <s v="GK 1v1"/>
    <s v="GK On target"/>
    <s v="GK Off Target"/>
    <s v="Defence the Space"/>
    <s v="Goal Conceded"/>
    <s v="Save"/>
    <s v="Defend the line (Cross)"/>
    <s v="Counter Kick"/>
    <x v="12"/>
  </r>
  <r>
    <x v="3"/>
    <x v="0"/>
    <x v="0"/>
    <x v="0"/>
    <n v="33"/>
    <n v="25"/>
    <n v="8"/>
    <n v="0.75757575757575757"/>
    <n v="0.24242424242424243"/>
    <n v="30"/>
    <n v="22"/>
    <n v="8"/>
    <n v="0.73333333333333328"/>
    <n v="0.26666666666666666"/>
    <n v="3"/>
    <n v="3"/>
    <n v="0"/>
    <n v="1"/>
    <n v="0"/>
    <n v="0"/>
    <n v="0"/>
    <n v="0"/>
    <s v="-"/>
    <s v="-"/>
    <n v="14"/>
    <n v="9"/>
    <n v="5"/>
    <n v="0.6428571428571429"/>
    <n v="0.35714285714285715"/>
    <n v="1"/>
    <n v="0"/>
    <n v="1"/>
    <n v="0"/>
    <n v="1"/>
    <n v="0"/>
    <n v="0"/>
    <n v="0"/>
    <n v="0"/>
    <s v="-"/>
    <s v="-"/>
    <n v="26"/>
    <n v="19"/>
    <n v="6"/>
    <n v="0"/>
    <n v="1"/>
    <n v="0"/>
    <n v="0"/>
    <n v="1"/>
    <n v="0"/>
    <n v="0"/>
    <n v="0"/>
    <n v="0"/>
    <s v="-"/>
    <s v="-"/>
    <n v="0"/>
    <n v="0"/>
    <n v="0"/>
    <s v="-"/>
    <s v="-"/>
    <n v="0"/>
    <n v="0"/>
    <n v="0"/>
    <n v="0"/>
    <n v="0"/>
    <n v="1"/>
    <n v="0"/>
    <n v="0"/>
    <n v="0"/>
    <s v="-"/>
    <s v="-"/>
    <n v="0"/>
    <n v="0"/>
    <n v="0"/>
    <n v="0"/>
    <n v="0"/>
    <n v="0"/>
    <n v="0"/>
    <n v="0"/>
    <n v="0"/>
    <n v="0"/>
    <s v="-"/>
    <s v="-"/>
    <n v="0"/>
    <n v="0"/>
    <n v="0"/>
    <s v="-"/>
    <s v="-"/>
    <n v="0"/>
    <n v="0"/>
    <n v="0"/>
    <s v="-"/>
    <s v="-"/>
    <n v="0"/>
    <n v="0"/>
    <n v="0"/>
    <s v="-"/>
    <s v="-"/>
    <n v="0"/>
    <n v="0"/>
    <n v="0"/>
    <s v="-"/>
    <s v="-"/>
    <n v="0"/>
    <n v="0"/>
    <n v="0"/>
    <s v="-"/>
    <s v="-"/>
    <n v="0"/>
    <n v="0"/>
    <n v="0"/>
    <n v="0"/>
    <n v="0"/>
    <n v="0"/>
    <n v="0"/>
    <n v="0"/>
    <n v="1"/>
    <n v="6"/>
    <n v="3"/>
    <n v="2"/>
    <n v="2"/>
    <n v="2"/>
    <n v="2"/>
    <n v="1"/>
    <x v="0"/>
  </r>
  <r>
    <x v="3"/>
    <x v="13"/>
    <x v="0"/>
    <x v="1"/>
    <n v="20"/>
    <n v="16"/>
    <n v="4"/>
    <n v="0.8"/>
    <n v="0.2"/>
    <n v="7"/>
    <n v="3"/>
    <n v="4"/>
    <n v="0.42857142857142855"/>
    <n v="0.5714285714285714"/>
    <n v="5"/>
    <n v="5"/>
    <n v="0"/>
    <n v="1"/>
    <n v="0"/>
    <n v="8"/>
    <n v="8"/>
    <n v="0"/>
    <n v="1"/>
    <n v="0"/>
    <n v="0"/>
    <n v="0"/>
    <n v="0"/>
    <s v="-"/>
    <s v="-"/>
    <n v="0"/>
    <n v="0"/>
    <n v="0"/>
    <s v="-"/>
    <s v="-"/>
    <n v="0"/>
    <n v="0"/>
    <n v="0"/>
    <n v="0"/>
    <s v="-"/>
    <s v="-"/>
    <n v="12"/>
    <n v="9"/>
    <n v="3"/>
    <n v="1"/>
    <n v="0"/>
    <n v="0"/>
    <n v="0"/>
    <n v="0"/>
    <n v="0"/>
    <n v="1"/>
    <n v="1"/>
    <n v="0"/>
    <n v="1"/>
    <n v="0"/>
    <n v="0"/>
    <n v="0"/>
    <n v="0"/>
    <s v="-"/>
    <s v="-"/>
    <n v="0"/>
    <n v="0"/>
    <n v="0"/>
    <n v="0"/>
    <n v="0"/>
    <n v="0"/>
    <n v="0"/>
    <n v="0"/>
    <n v="0"/>
    <s v="-"/>
    <s v="-"/>
    <n v="1"/>
    <n v="0"/>
    <n v="1"/>
    <n v="0"/>
    <n v="0"/>
    <n v="0"/>
    <n v="0"/>
    <n v="5"/>
    <n v="2"/>
    <n v="3"/>
    <n v="0.4"/>
    <n v="0.6"/>
    <n v="2"/>
    <n v="0"/>
    <n v="2"/>
    <n v="0"/>
    <n v="1"/>
    <n v="3"/>
    <n v="2"/>
    <n v="1"/>
    <n v="1"/>
    <n v="0.5"/>
    <n v="0"/>
    <n v="0"/>
    <n v="0"/>
    <s v="-"/>
    <s v="-"/>
    <n v="0"/>
    <n v="0"/>
    <n v="0"/>
    <s v="-"/>
    <s v="-"/>
    <n v="0"/>
    <n v="0"/>
    <n v="0"/>
    <s v="-"/>
    <s v="-"/>
    <n v="3"/>
    <n v="1"/>
    <n v="0"/>
    <n v="1"/>
    <n v="2"/>
    <n v="1"/>
    <n v="1"/>
    <n v="0"/>
    <n v="0"/>
    <n v="0"/>
    <n v="0"/>
    <n v="0"/>
    <n v="0"/>
    <n v="0"/>
    <n v="0"/>
    <n v="0"/>
    <x v="13"/>
  </r>
  <r>
    <x v="3"/>
    <x v="2"/>
    <x v="3"/>
    <x v="1"/>
    <n v="12"/>
    <n v="11"/>
    <n v="1"/>
    <n v="0.91666666666666663"/>
    <n v="8.3333333333333329E-2"/>
    <n v="7"/>
    <n v="6"/>
    <n v="1"/>
    <n v="0.8571428571428571"/>
    <n v="0.14285714285714285"/>
    <n v="2"/>
    <n v="2"/>
    <n v="0"/>
    <n v="1"/>
    <n v="0"/>
    <n v="3"/>
    <n v="3"/>
    <n v="0"/>
    <n v="1"/>
    <n v="0"/>
    <n v="0"/>
    <n v="0"/>
    <n v="0"/>
    <s v="-"/>
    <s v="-"/>
    <n v="0"/>
    <n v="0"/>
    <n v="0"/>
    <s v="-"/>
    <s v="-"/>
    <n v="0"/>
    <n v="0"/>
    <n v="0"/>
    <n v="0"/>
    <s v="-"/>
    <s v="-"/>
    <n v="5"/>
    <n v="5"/>
    <n v="0"/>
    <n v="1"/>
    <n v="0"/>
    <n v="0"/>
    <n v="0"/>
    <n v="0"/>
    <n v="0"/>
    <n v="0"/>
    <n v="0"/>
    <n v="0"/>
    <s v="-"/>
    <s v="-"/>
    <n v="0"/>
    <n v="0"/>
    <n v="0"/>
    <s v="-"/>
    <s v="-"/>
    <n v="0"/>
    <n v="0"/>
    <n v="0"/>
    <n v="0"/>
    <n v="0"/>
    <n v="0"/>
    <n v="1"/>
    <n v="1"/>
    <n v="0"/>
    <n v="1"/>
    <n v="0"/>
    <n v="1"/>
    <n v="0"/>
    <n v="1"/>
    <n v="0"/>
    <n v="0"/>
    <n v="0"/>
    <n v="0"/>
    <n v="3"/>
    <n v="3"/>
    <n v="0"/>
    <n v="1"/>
    <n v="0"/>
    <n v="1"/>
    <n v="1"/>
    <n v="0"/>
    <n v="1"/>
    <n v="0"/>
    <n v="1"/>
    <n v="1"/>
    <n v="0"/>
    <n v="1"/>
    <n v="0"/>
    <n v="1"/>
    <n v="1"/>
    <n v="0"/>
    <n v="1"/>
    <n v="0"/>
    <n v="0"/>
    <n v="0"/>
    <n v="0"/>
    <s v="-"/>
    <s v="-"/>
    <n v="0"/>
    <n v="0"/>
    <n v="0"/>
    <s v="-"/>
    <s v="-"/>
    <n v="0"/>
    <n v="1"/>
    <n v="1"/>
    <n v="1"/>
    <n v="0"/>
    <n v="0"/>
    <n v="0"/>
    <n v="0"/>
    <n v="0"/>
    <n v="0"/>
    <n v="0"/>
    <n v="0"/>
    <n v="0"/>
    <n v="0"/>
    <n v="0"/>
    <n v="0"/>
    <x v="2"/>
  </r>
  <r>
    <x v="3"/>
    <x v="1"/>
    <x v="3"/>
    <x v="1"/>
    <n v="17"/>
    <n v="16"/>
    <n v="1"/>
    <n v="0.94117647058823528"/>
    <n v="5.8823529411764705E-2"/>
    <n v="8"/>
    <n v="7"/>
    <n v="1"/>
    <n v="0.875"/>
    <n v="0.125"/>
    <n v="3"/>
    <n v="3"/>
    <n v="0"/>
    <n v="1"/>
    <n v="0"/>
    <n v="6"/>
    <n v="6"/>
    <n v="0"/>
    <n v="1"/>
    <n v="0"/>
    <n v="2"/>
    <n v="1"/>
    <n v="1"/>
    <n v="0.5"/>
    <n v="0.5"/>
    <n v="0"/>
    <n v="0"/>
    <n v="0"/>
    <s v="-"/>
    <s v="-"/>
    <n v="1"/>
    <n v="0"/>
    <n v="0"/>
    <n v="0"/>
    <s v="-"/>
    <s v="-"/>
    <n v="10"/>
    <n v="9"/>
    <n v="1"/>
    <n v="1"/>
    <n v="0"/>
    <n v="0"/>
    <n v="0"/>
    <n v="0"/>
    <n v="0"/>
    <n v="2"/>
    <n v="2"/>
    <n v="0"/>
    <n v="1"/>
    <n v="0"/>
    <n v="0"/>
    <n v="0"/>
    <n v="0"/>
    <s v="-"/>
    <s v="-"/>
    <n v="0"/>
    <n v="0"/>
    <n v="0"/>
    <n v="0"/>
    <n v="0"/>
    <n v="0"/>
    <n v="0"/>
    <n v="0"/>
    <n v="0"/>
    <s v="-"/>
    <s v="-"/>
    <n v="2"/>
    <n v="1"/>
    <n v="0"/>
    <n v="0"/>
    <n v="0"/>
    <n v="0"/>
    <n v="0"/>
    <n v="0"/>
    <n v="0"/>
    <n v="0"/>
    <s v="-"/>
    <s v="-"/>
    <n v="0"/>
    <n v="0"/>
    <n v="0"/>
    <s v="-"/>
    <s v="-"/>
    <n v="0"/>
    <n v="0"/>
    <n v="0"/>
    <s v="-"/>
    <s v="-"/>
    <n v="0"/>
    <n v="0"/>
    <n v="0"/>
    <s v="-"/>
    <s v="-"/>
    <n v="1"/>
    <n v="1"/>
    <n v="0"/>
    <n v="1"/>
    <n v="0"/>
    <n v="0"/>
    <n v="0"/>
    <n v="0"/>
    <s v="-"/>
    <s v="-"/>
    <n v="1"/>
    <n v="1"/>
    <n v="3"/>
    <n v="1"/>
    <n v="0"/>
    <n v="1"/>
    <n v="0"/>
    <n v="0"/>
    <n v="0"/>
    <n v="0"/>
    <n v="0"/>
    <n v="0"/>
    <n v="0"/>
    <n v="0"/>
    <n v="0"/>
    <n v="0"/>
    <x v="1"/>
  </r>
  <r>
    <x v="3"/>
    <x v="3"/>
    <x v="0"/>
    <x v="2"/>
    <n v="14"/>
    <n v="12"/>
    <n v="2"/>
    <n v="0.8571428571428571"/>
    <n v="0.14285714285714285"/>
    <n v="6"/>
    <n v="4"/>
    <n v="2"/>
    <n v="0.66666666666666663"/>
    <n v="0.33333333333333331"/>
    <n v="0"/>
    <n v="0"/>
    <n v="0"/>
    <s v="-"/>
    <s v="-"/>
    <n v="8"/>
    <n v="8"/>
    <n v="0"/>
    <n v="1"/>
    <n v="0"/>
    <n v="1"/>
    <n v="1"/>
    <n v="0"/>
    <n v="1"/>
    <n v="0"/>
    <n v="1"/>
    <n v="1"/>
    <n v="0"/>
    <n v="1"/>
    <n v="0"/>
    <n v="1"/>
    <n v="0"/>
    <n v="0"/>
    <n v="0"/>
    <s v="-"/>
    <s v="-"/>
    <n v="9"/>
    <n v="6"/>
    <n v="1"/>
    <n v="0"/>
    <n v="2"/>
    <n v="0"/>
    <n v="1"/>
    <n v="1"/>
    <n v="0"/>
    <n v="0"/>
    <n v="0"/>
    <n v="0"/>
    <s v="-"/>
    <s v="-"/>
    <n v="0"/>
    <n v="0"/>
    <n v="0"/>
    <s v="-"/>
    <s v="-"/>
    <n v="0"/>
    <n v="0"/>
    <n v="0"/>
    <n v="0"/>
    <n v="0"/>
    <n v="1"/>
    <n v="1"/>
    <n v="1"/>
    <n v="0"/>
    <n v="1"/>
    <n v="0"/>
    <n v="1"/>
    <n v="0"/>
    <n v="3"/>
    <n v="0"/>
    <n v="0"/>
    <n v="0"/>
    <n v="0"/>
    <n v="4"/>
    <n v="2"/>
    <n v="2"/>
    <n v="0.5"/>
    <n v="0.5"/>
    <n v="2"/>
    <n v="1"/>
    <n v="1"/>
    <n v="0.5"/>
    <n v="0.5"/>
    <n v="1"/>
    <n v="0"/>
    <n v="1"/>
    <s v="-"/>
    <s v="-"/>
    <n v="1"/>
    <n v="1"/>
    <n v="0"/>
    <n v="1"/>
    <n v="0"/>
    <n v="0"/>
    <n v="0"/>
    <n v="0"/>
    <s v="-"/>
    <s v="-"/>
    <n v="1"/>
    <n v="0"/>
    <n v="1"/>
    <n v="0"/>
    <n v="1"/>
    <n v="1"/>
    <n v="4"/>
    <n v="2"/>
    <n v="0"/>
    <n v="1"/>
    <n v="2"/>
    <n v="0"/>
    <n v="0"/>
    <n v="0"/>
    <n v="0"/>
    <n v="0"/>
    <n v="0"/>
    <n v="0"/>
    <n v="0"/>
    <n v="0"/>
    <n v="0"/>
    <x v="3"/>
  </r>
  <r>
    <x v="3"/>
    <x v="4"/>
    <x v="0"/>
    <x v="3"/>
    <n v="11"/>
    <n v="8"/>
    <n v="3"/>
    <n v="0.72727272727272729"/>
    <n v="0.27272727272727271"/>
    <n v="6"/>
    <n v="3"/>
    <n v="3"/>
    <n v="0.5"/>
    <n v="0.5"/>
    <n v="2"/>
    <n v="2"/>
    <n v="0"/>
    <n v="1"/>
    <n v="0"/>
    <n v="3"/>
    <n v="3"/>
    <n v="0"/>
    <n v="1"/>
    <n v="0"/>
    <n v="2"/>
    <n v="1"/>
    <n v="1"/>
    <n v="0.5"/>
    <n v="0.5"/>
    <n v="0"/>
    <n v="0"/>
    <n v="0"/>
    <s v="-"/>
    <s v="-"/>
    <n v="0"/>
    <n v="0"/>
    <n v="0"/>
    <n v="0"/>
    <s v="-"/>
    <s v="-"/>
    <n v="7"/>
    <n v="5"/>
    <n v="1"/>
    <n v="2"/>
    <n v="0"/>
    <n v="0"/>
    <n v="0"/>
    <n v="0"/>
    <n v="0"/>
    <n v="2"/>
    <n v="2"/>
    <n v="0"/>
    <n v="1"/>
    <n v="0"/>
    <n v="0"/>
    <n v="0"/>
    <n v="0"/>
    <s v="-"/>
    <s v="-"/>
    <n v="0"/>
    <n v="0"/>
    <n v="0"/>
    <n v="0"/>
    <n v="0"/>
    <n v="0"/>
    <n v="0"/>
    <n v="0"/>
    <n v="0"/>
    <s v="-"/>
    <s v="-"/>
    <n v="1"/>
    <n v="0"/>
    <n v="5"/>
    <n v="0"/>
    <n v="0"/>
    <n v="0"/>
    <n v="0"/>
    <n v="6"/>
    <n v="2"/>
    <n v="4"/>
    <n v="0.33333333333333331"/>
    <n v="0.66666666666666663"/>
    <n v="5"/>
    <n v="1"/>
    <n v="4"/>
    <n v="0.2"/>
    <n v="0.8"/>
    <n v="1"/>
    <n v="1"/>
    <n v="0"/>
    <n v="1"/>
    <n v="0"/>
    <n v="1"/>
    <n v="1"/>
    <n v="0"/>
    <n v="1"/>
    <n v="0"/>
    <n v="1"/>
    <n v="1"/>
    <n v="0"/>
    <n v="1"/>
    <n v="0"/>
    <n v="0"/>
    <n v="0"/>
    <n v="0"/>
    <s v="-"/>
    <s v="-"/>
    <n v="1"/>
    <n v="3"/>
    <n v="0"/>
    <n v="0"/>
    <n v="1"/>
    <n v="0"/>
    <n v="2"/>
    <n v="2"/>
    <n v="0"/>
    <n v="0"/>
    <n v="0"/>
    <n v="0"/>
    <n v="0"/>
    <n v="0"/>
    <n v="0"/>
    <n v="0"/>
    <x v="4"/>
  </r>
  <r>
    <x v="3"/>
    <x v="14"/>
    <x v="0"/>
    <x v="4"/>
    <n v="9"/>
    <n v="5"/>
    <n v="4"/>
    <n v="0.55555555555555558"/>
    <n v="0.44444444444444442"/>
    <n v="6"/>
    <n v="2"/>
    <n v="4"/>
    <n v="0.33333333333333331"/>
    <n v="0.66666666666666663"/>
    <n v="0"/>
    <n v="0"/>
    <n v="0"/>
    <s v="-"/>
    <s v="-"/>
    <n v="3"/>
    <n v="3"/>
    <n v="0"/>
    <n v="1"/>
    <n v="0"/>
    <n v="1"/>
    <n v="0"/>
    <n v="1"/>
    <n v="0"/>
    <n v="1"/>
    <n v="3"/>
    <n v="0"/>
    <n v="3"/>
    <n v="0"/>
    <n v="1"/>
    <n v="0"/>
    <n v="0"/>
    <n v="0"/>
    <n v="0"/>
    <s v="-"/>
    <s v="-"/>
    <n v="7"/>
    <n v="4"/>
    <n v="2"/>
    <n v="3"/>
    <n v="2"/>
    <n v="0"/>
    <n v="1"/>
    <n v="1"/>
    <n v="0"/>
    <n v="2"/>
    <n v="2"/>
    <n v="0"/>
    <n v="1"/>
    <n v="0"/>
    <n v="1"/>
    <n v="0"/>
    <n v="1"/>
    <n v="0"/>
    <n v="1"/>
    <n v="0"/>
    <n v="0"/>
    <n v="0"/>
    <n v="0"/>
    <n v="0"/>
    <n v="0"/>
    <n v="2"/>
    <n v="1"/>
    <n v="1"/>
    <n v="0.5"/>
    <n v="0.5"/>
    <n v="0"/>
    <n v="2"/>
    <n v="0"/>
    <n v="3"/>
    <n v="0"/>
    <n v="0"/>
    <n v="0"/>
    <n v="4"/>
    <n v="1"/>
    <n v="3"/>
    <n v="0.25"/>
    <n v="0.75"/>
    <n v="2"/>
    <n v="0"/>
    <n v="2"/>
    <n v="0"/>
    <n v="1"/>
    <n v="0"/>
    <n v="0"/>
    <n v="0"/>
    <s v="-"/>
    <s v="-"/>
    <n v="0"/>
    <n v="0"/>
    <n v="0"/>
    <s v="-"/>
    <s v="-"/>
    <n v="0"/>
    <n v="0"/>
    <n v="0"/>
    <s v="-"/>
    <s v="-"/>
    <n v="0"/>
    <n v="0"/>
    <n v="0"/>
    <s v="-"/>
    <s v="-"/>
    <n v="0"/>
    <n v="1"/>
    <n v="1"/>
    <n v="2"/>
    <n v="0"/>
    <n v="0"/>
    <n v="1"/>
    <n v="0"/>
    <n v="0"/>
    <n v="0"/>
    <n v="0"/>
    <n v="0"/>
    <n v="0"/>
    <n v="0"/>
    <n v="0"/>
    <n v="0"/>
    <x v="14"/>
  </r>
  <r>
    <x v="3"/>
    <x v="15"/>
    <x v="0"/>
    <x v="4"/>
    <n v="12"/>
    <n v="8"/>
    <n v="4"/>
    <n v="0.66666666666666663"/>
    <n v="0.33333333333333331"/>
    <n v="8"/>
    <n v="5"/>
    <n v="3"/>
    <n v="0.625"/>
    <n v="0.375"/>
    <n v="1"/>
    <n v="0"/>
    <n v="1"/>
    <n v="0"/>
    <n v="1"/>
    <n v="3"/>
    <n v="3"/>
    <n v="0"/>
    <n v="1"/>
    <n v="0"/>
    <n v="0"/>
    <n v="0"/>
    <n v="0"/>
    <s v="-"/>
    <s v="-"/>
    <n v="0"/>
    <n v="0"/>
    <n v="0"/>
    <s v="-"/>
    <s v="-"/>
    <n v="0"/>
    <n v="0"/>
    <n v="0"/>
    <n v="0"/>
    <s v="-"/>
    <s v="-"/>
    <n v="10"/>
    <n v="7"/>
    <n v="1"/>
    <n v="0"/>
    <n v="2"/>
    <n v="0"/>
    <n v="0"/>
    <n v="2"/>
    <n v="0"/>
    <n v="0"/>
    <n v="0"/>
    <n v="0"/>
    <s v="-"/>
    <s v="-"/>
    <n v="0"/>
    <n v="0"/>
    <n v="0"/>
    <s v="-"/>
    <s v="-"/>
    <n v="0"/>
    <n v="0"/>
    <n v="0"/>
    <n v="0"/>
    <n v="0"/>
    <n v="0"/>
    <n v="0"/>
    <n v="0"/>
    <n v="0"/>
    <s v="-"/>
    <s v="-"/>
    <n v="0"/>
    <n v="4"/>
    <n v="0"/>
    <n v="0"/>
    <n v="0"/>
    <n v="0"/>
    <n v="0"/>
    <n v="2"/>
    <n v="0"/>
    <n v="2"/>
    <n v="0"/>
    <n v="1"/>
    <n v="2"/>
    <n v="0"/>
    <n v="2"/>
    <n v="0"/>
    <n v="1"/>
    <n v="0"/>
    <n v="0"/>
    <n v="0"/>
    <s v="-"/>
    <s v="-"/>
    <n v="0"/>
    <n v="0"/>
    <n v="0"/>
    <s v="-"/>
    <s v="-"/>
    <n v="0"/>
    <n v="0"/>
    <n v="0"/>
    <s v="-"/>
    <s v="-"/>
    <n v="1"/>
    <n v="0"/>
    <n v="1"/>
    <n v="0"/>
    <n v="1"/>
    <n v="0"/>
    <n v="2"/>
    <n v="1"/>
    <n v="0"/>
    <n v="0"/>
    <n v="0"/>
    <n v="2"/>
    <n v="1"/>
    <n v="0"/>
    <n v="0"/>
    <n v="0"/>
    <n v="0"/>
    <n v="0"/>
    <n v="0"/>
    <n v="0"/>
    <n v="0"/>
    <x v="15"/>
  </r>
  <r>
    <x v="3"/>
    <x v="6"/>
    <x v="3"/>
    <x v="4"/>
    <n v="11"/>
    <n v="11"/>
    <n v="0"/>
    <n v="1"/>
    <n v="0"/>
    <n v="3"/>
    <n v="3"/>
    <n v="0"/>
    <n v="1"/>
    <n v="0"/>
    <n v="4"/>
    <n v="4"/>
    <n v="0"/>
    <n v="1"/>
    <n v="0"/>
    <n v="4"/>
    <n v="4"/>
    <n v="0"/>
    <n v="1"/>
    <n v="0"/>
    <n v="0"/>
    <n v="0"/>
    <n v="0"/>
    <s v="-"/>
    <s v="-"/>
    <n v="0"/>
    <n v="0"/>
    <n v="0"/>
    <s v="-"/>
    <s v="-"/>
    <n v="0"/>
    <n v="0"/>
    <n v="0"/>
    <n v="0"/>
    <s v="-"/>
    <s v="-"/>
    <n v="6"/>
    <n v="5"/>
    <n v="0"/>
    <n v="1"/>
    <n v="1"/>
    <n v="0"/>
    <n v="0"/>
    <n v="1"/>
    <n v="0"/>
    <n v="1"/>
    <n v="1"/>
    <n v="0"/>
    <n v="1"/>
    <n v="0"/>
    <n v="0"/>
    <n v="0"/>
    <n v="0"/>
    <s v="-"/>
    <s v="-"/>
    <n v="0"/>
    <n v="0"/>
    <n v="0"/>
    <n v="0"/>
    <n v="0"/>
    <n v="0"/>
    <n v="0"/>
    <n v="0"/>
    <n v="0"/>
    <s v="-"/>
    <s v="-"/>
    <n v="1"/>
    <n v="1"/>
    <n v="0"/>
    <n v="0"/>
    <n v="0"/>
    <n v="0"/>
    <n v="0"/>
    <n v="0"/>
    <n v="0"/>
    <n v="0"/>
    <s v="-"/>
    <s v="-"/>
    <n v="0"/>
    <n v="0"/>
    <n v="0"/>
    <s v="-"/>
    <s v="-"/>
    <n v="0"/>
    <n v="0"/>
    <n v="0"/>
    <s v="-"/>
    <s v="-"/>
    <n v="0"/>
    <n v="0"/>
    <n v="0"/>
    <s v="-"/>
    <s v="-"/>
    <n v="1"/>
    <n v="1"/>
    <n v="0"/>
    <n v="1"/>
    <n v="0"/>
    <n v="2"/>
    <n v="2"/>
    <n v="0"/>
    <n v="1"/>
    <n v="0"/>
    <n v="0"/>
    <n v="0"/>
    <n v="0"/>
    <n v="0"/>
    <n v="0"/>
    <n v="0"/>
    <n v="0"/>
    <n v="0"/>
    <n v="0"/>
    <n v="0"/>
    <n v="0"/>
    <n v="0"/>
    <n v="0"/>
    <n v="0"/>
    <n v="0"/>
    <n v="0"/>
    <x v="6"/>
  </r>
  <r>
    <x v="3"/>
    <x v="5"/>
    <x v="3"/>
    <x v="4"/>
    <n v="7"/>
    <n v="7"/>
    <n v="0"/>
    <n v="1"/>
    <n v="0"/>
    <n v="0"/>
    <n v="0"/>
    <n v="0"/>
    <s v="-"/>
    <s v="-"/>
    <n v="4"/>
    <n v="4"/>
    <n v="0"/>
    <n v="1"/>
    <n v="0"/>
    <n v="3"/>
    <n v="3"/>
    <n v="0"/>
    <n v="1"/>
    <n v="0"/>
    <n v="0"/>
    <n v="0"/>
    <n v="0"/>
    <s v="-"/>
    <s v="-"/>
    <n v="0"/>
    <n v="0"/>
    <n v="0"/>
    <s v="-"/>
    <s v="-"/>
    <n v="0"/>
    <n v="0"/>
    <n v="0"/>
    <n v="0"/>
    <s v="-"/>
    <s v="-"/>
    <n v="4"/>
    <n v="3"/>
    <n v="0"/>
    <n v="0"/>
    <n v="1"/>
    <n v="0"/>
    <n v="1"/>
    <n v="0"/>
    <n v="0"/>
    <n v="1"/>
    <n v="1"/>
    <n v="0"/>
    <n v="1"/>
    <n v="0"/>
    <n v="0"/>
    <n v="0"/>
    <n v="0"/>
    <s v="-"/>
    <s v="-"/>
    <n v="0"/>
    <n v="0"/>
    <n v="0"/>
    <n v="0"/>
    <n v="0"/>
    <n v="0"/>
    <n v="0"/>
    <n v="0"/>
    <n v="0"/>
    <s v="-"/>
    <s v="-"/>
    <n v="0"/>
    <n v="3"/>
    <n v="1"/>
    <n v="0"/>
    <n v="0"/>
    <n v="0"/>
    <n v="0"/>
    <n v="2"/>
    <n v="0"/>
    <n v="1"/>
    <n v="0"/>
    <n v="0.5"/>
    <n v="2"/>
    <n v="0"/>
    <n v="1"/>
    <n v="0"/>
    <n v="0.5"/>
    <n v="0"/>
    <n v="0"/>
    <n v="0"/>
    <s v="-"/>
    <s v="-"/>
    <n v="0"/>
    <n v="0"/>
    <n v="0"/>
    <s v="-"/>
    <s v="-"/>
    <n v="1"/>
    <n v="1"/>
    <n v="0"/>
    <n v="1"/>
    <n v="0"/>
    <n v="0"/>
    <n v="0"/>
    <n v="0"/>
    <s v="-"/>
    <s v="-"/>
    <n v="0"/>
    <n v="0"/>
    <n v="1"/>
    <n v="0"/>
    <n v="0"/>
    <n v="0"/>
    <n v="0"/>
    <n v="0"/>
    <n v="0"/>
    <n v="0"/>
    <n v="0"/>
    <n v="0"/>
    <n v="0"/>
    <n v="0"/>
    <n v="0"/>
    <n v="0"/>
    <x v="5"/>
  </r>
  <r>
    <x v="3"/>
    <x v="16"/>
    <x v="0"/>
    <x v="6"/>
    <n v="4"/>
    <n v="2"/>
    <n v="2"/>
    <n v="0.5"/>
    <n v="0.5"/>
    <n v="2"/>
    <n v="1"/>
    <n v="1"/>
    <n v="0.5"/>
    <n v="0.5"/>
    <n v="0"/>
    <n v="0"/>
    <n v="0"/>
    <s v="-"/>
    <s v="-"/>
    <n v="2"/>
    <n v="1"/>
    <n v="1"/>
    <n v="1"/>
    <n v="1"/>
    <n v="0"/>
    <n v="0"/>
    <n v="0"/>
    <s v="-"/>
    <s v="-"/>
    <n v="1"/>
    <n v="0"/>
    <n v="1"/>
    <n v="0"/>
    <n v="1"/>
    <n v="0"/>
    <n v="0"/>
    <n v="0"/>
    <n v="0"/>
    <s v="-"/>
    <s v="-"/>
    <n v="10"/>
    <n v="1"/>
    <n v="4"/>
    <n v="1"/>
    <n v="5"/>
    <n v="2"/>
    <n v="3"/>
    <n v="0"/>
    <n v="1"/>
    <n v="4"/>
    <n v="2"/>
    <n v="2"/>
    <n v="0.5"/>
    <n v="0.5"/>
    <n v="2"/>
    <n v="0"/>
    <n v="2"/>
    <n v="0"/>
    <n v="1"/>
    <n v="0"/>
    <n v="0"/>
    <n v="0"/>
    <n v="0"/>
    <n v="0"/>
    <n v="0"/>
    <n v="1"/>
    <n v="0"/>
    <n v="1"/>
    <n v="0"/>
    <n v="1"/>
    <n v="0"/>
    <n v="0"/>
    <n v="7"/>
    <n v="0"/>
    <n v="0"/>
    <n v="0"/>
    <n v="0"/>
    <n v="4"/>
    <n v="0"/>
    <n v="4"/>
    <n v="0"/>
    <n v="1"/>
    <n v="3"/>
    <n v="0"/>
    <n v="3"/>
    <n v="0"/>
    <n v="1"/>
    <n v="0"/>
    <n v="0"/>
    <n v="0"/>
    <s v="-"/>
    <s v="-"/>
    <n v="2"/>
    <n v="0"/>
    <n v="2"/>
    <n v="0"/>
    <n v="1"/>
    <n v="0"/>
    <n v="0"/>
    <n v="0"/>
    <s v="-"/>
    <s v="-"/>
    <n v="0"/>
    <n v="0"/>
    <n v="0"/>
    <s v="-"/>
    <s v="-"/>
    <n v="0"/>
    <n v="1"/>
    <n v="0"/>
    <n v="0"/>
    <n v="0"/>
    <n v="0"/>
    <n v="0"/>
    <n v="0"/>
    <n v="0"/>
    <n v="0"/>
    <n v="0"/>
    <n v="0"/>
    <n v="0"/>
    <n v="0"/>
    <n v="0"/>
    <n v="0"/>
    <x v="16"/>
  </r>
  <r>
    <x v="3"/>
    <x v="10"/>
    <x v="0"/>
    <x v="7"/>
    <n v="15"/>
    <n v="12"/>
    <n v="3"/>
    <n v="0.8"/>
    <n v="0.2"/>
    <n v="4"/>
    <n v="3"/>
    <n v="1"/>
    <n v="0.75"/>
    <n v="0.25"/>
    <n v="6"/>
    <n v="4"/>
    <n v="2"/>
    <n v="0.66666666666666663"/>
    <n v="0.33333333333333331"/>
    <n v="5"/>
    <n v="5"/>
    <n v="0"/>
    <n v="1"/>
    <n v="0"/>
    <n v="0"/>
    <n v="0"/>
    <n v="0"/>
    <s v="-"/>
    <s v="-"/>
    <n v="0"/>
    <n v="0"/>
    <n v="0"/>
    <s v="-"/>
    <s v="-"/>
    <n v="0"/>
    <n v="0"/>
    <n v="0"/>
    <n v="0"/>
    <s v="-"/>
    <s v="-"/>
    <n v="15"/>
    <n v="9"/>
    <n v="3"/>
    <n v="5"/>
    <n v="2"/>
    <n v="1"/>
    <n v="1"/>
    <n v="0"/>
    <n v="3"/>
    <n v="3"/>
    <n v="3"/>
    <n v="0"/>
    <n v="1"/>
    <n v="0"/>
    <n v="2"/>
    <n v="1"/>
    <n v="1"/>
    <n v="0.5"/>
    <n v="0.5"/>
    <n v="3"/>
    <n v="2"/>
    <n v="1"/>
    <n v="0"/>
    <n v="2"/>
    <n v="0"/>
    <n v="4"/>
    <n v="4"/>
    <n v="0"/>
    <n v="1"/>
    <n v="0"/>
    <n v="1"/>
    <n v="2"/>
    <n v="0"/>
    <n v="5"/>
    <n v="0"/>
    <n v="3"/>
    <n v="0"/>
    <n v="7"/>
    <n v="7"/>
    <n v="0"/>
    <n v="1"/>
    <n v="0"/>
    <n v="1"/>
    <n v="1"/>
    <n v="0"/>
    <n v="1"/>
    <n v="0"/>
    <n v="2"/>
    <n v="2"/>
    <n v="0"/>
    <n v="1"/>
    <n v="0"/>
    <n v="0"/>
    <n v="0"/>
    <n v="0"/>
    <s v="-"/>
    <s v="-"/>
    <n v="0"/>
    <n v="0"/>
    <n v="0"/>
    <s v="-"/>
    <s v="-"/>
    <n v="1"/>
    <n v="0"/>
    <n v="1"/>
    <n v="0"/>
    <n v="1"/>
    <n v="0"/>
    <n v="0"/>
    <n v="0"/>
    <n v="0"/>
    <n v="0"/>
    <n v="0"/>
    <n v="0"/>
    <n v="0"/>
    <n v="0"/>
    <n v="0"/>
    <n v="0"/>
    <n v="0"/>
    <n v="0"/>
    <n v="0"/>
    <n v="0"/>
    <n v="0"/>
    <x v="10"/>
  </r>
  <r>
    <x v="3"/>
    <x v="8"/>
    <x v="3"/>
    <x v="5"/>
    <n v="5"/>
    <n v="4"/>
    <n v="1"/>
    <n v="0.8"/>
    <n v="0.2"/>
    <n v="1"/>
    <n v="1"/>
    <n v="0"/>
    <n v="1"/>
    <n v="0"/>
    <n v="2"/>
    <n v="1"/>
    <n v="1"/>
    <n v="0.5"/>
    <n v="0.5"/>
    <n v="2"/>
    <n v="2"/>
    <n v="0"/>
    <n v="1"/>
    <n v="0"/>
    <n v="0"/>
    <n v="0"/>
    <n v="0"/>
    <s v="-"/>
    <s v="-"/>
    <n v="1"/>
    <n v="1"/>
    <n v="0"/>
    <n v="1"/>
    <n v="0"/>
    <n v="1"/>
    <n v="0"/>
    <n v="0"/>
    <n v="0"/>
    <s v="-"/>
    <s v="-"/>
    <n v="7"/>
    <n v="4"/>
    <n v="1"/>
    <n v="2"/>
    <n v="2"/>
    <n v="1"/>
    <n v="1"/>
    <n v="0"/>
    <n v="0"/>
    <n v="1"/>
    <n v="1"/>
    <n v="0"/>
    <n v="1"/>
    <n v="0"/>
    <n v="0"/>
    <n v="0"/>
    <n v="0"/>
    <s v="-"/>
    <s v="-"/>
    <n v="0"/>
    <n v="0"/>
    <n v="0"/>
    <n v="0"/>
    <n v="0"/>
    <n v="0"/>
    <n v="1"/>
    <n v="1"/>
    <n v="0"/>
    <n v="1"/>
    <n v="0"/>
    <n v="1"/>
    <n v="2"/>
    <n v="4"/>
    <n v="0"/>
    <n v="0"/>
    <n v="0"/>
    <n v="0"/>
    <n v="1"/>
    <n v="1"/>
    <n v="0"/>
    <n v="1"/>
    <n v="0"/>
    <n v="0"/>
    <n v="0"/>
    <n v="0"/>
    <s v="-"/>
    <s v="-"/>
    <n v="0"/>
    <n v="0"/>
    <n v="0"/>
    <s v="-"/>
    <s v="-"/>
    <n v="0"/>
    <n v="0"/>
    <n v="0"/>
    <s v="-"/>
    <s v="-"/>
    <n v="0"/>
    <n v="0"/>
    <n v="0"/>
    <s v="-"/>
    <s v="-"/>
    <n v="0"/>
    <n v="0"/>
    <n v="0"/>
    <s v="-"/>
    <s v="-"/>
    <n v="0"/>
    <n v="0"/>
    <n v="0"/>
    <n v="0"/>
    <n v="0"/>
    <n v="0"/>
    <n v="0"/>
    <n v="0"/>
    <n v="0"/>
    <n v="0"/>
    <n v="0"/>
    <n v="0"/>
    <n v="0"/>
    <n v="0"/>
    <n v="0"/>
    <n v="0"/>
    <x v="8"/>
  </r>
  <r>
    <x v="3"/>
    <x v="9"/>
    <x v="3"/>
    <x v="6"/>
    <n v="5"/>
    <n v="1"/>
    <n v="4"/>
    <n v="0.2"/>
    <n v="0.8"/>
    <n v="3"/>
    <n v="1"/>
    <n v="2"/>
    <n v="0.33333333333333331"/>
    <n v="0.66666666666666663"/>
    <n v="2"/>
    <n v="0"/>
    <n v="2"/>
    <n v="0"/>
    <n v="1"/>
    <n v="0"/>
    <n v="0"/>
    <n v="0"/>
    <s v="-"/>
    <s v="-"/>
    <n v="1"/>
    <n v="0"/>
    <n v="1"/>
    <n v="0"/>
    <n v="1"/>
    <n v="2"/>
    <n v="1"/>
    <n v="1"/>
    <n v="0.5"/>
    <n v="0.5"/>
    <n v="0"/>
    <n v="0"/>
    <n v="0"/>
    <n v="0"/>
    <s v="-"/>
    <s v="-"/>
    <n v="5"/>
    <n v="0"/>
    <n v="3"/>
    <n v="0"/>
    <n v="2"/>
    <n v="0"/>
    <n v="2"/>
    <n v="0"/>
    <n v="1"/>
    <n v="0"/>
    <n v="0"/>
    <n v="0"/>
    <s v="-"/>
    <s v="-"/>
    <n v="0"/>
    <n v="0"/>
    <n v="0"/>
    <s v="-"/>
    <s v="-"/>
    <n v="1"/>
    <n v="0"/>
    <n v="1"/>
    <n v="0"/>
    <n v="0"/>
    <n v="0"/>
    <n v="1"/>
    <n v="1"/>
    <n v="0"/>
    <n v="1"/>
    <n v="0"/>
    <n v="0"/>
    <n v="0"/>
    <n v="4"/>
    <n v="0"/>
    <n v="0"/>
    <n v="0"/>
    <n v="0"/>
    <n v="4"/>
    <n v="2"/>
    <n v="2"/>
    <n v="0.5"/>
    <n v="0.5"/>
    <n v="3"/>
    <n v="1"/>
    <n v="2"/>
    <n v="0.33333333333333331"/>
    <n v="0.66666666666666663"/>
    <n v="0"/>
    <n v="0"/>
    <n v="0"/>
    <s v="-"/>
    <s v="-"/>
    <n v="0"/>
    <n v="0"/>
    <n v="0"/>
    <s v="-"/>
    <s v="-"/>
    <n v="0"/>
    <n v="0"/>
    <n v="0"/>
    <s v="-"/>
    <s v="-"/>
    <n v="0"/>
    <n v="0"/>
    <n v="0"/>
    <s v="-"/>
    <s v="-"/>
    <n v="0"/>
    <n v="0"/>
    <n v="0"/>
    <n v="0"/>
    <n v="0"/>
    <n v="0"/>
    <n v="1"/>
    <n v="0"/>
    <n v="0"/>
    <n v="0"/>
    <n v="0"/>
    <n v="0"/>
    <n v="0"/>
    <n v="0"/>
    <n v="0"/>
    <n v="0"/>
    <x v="9"/>
  </r>
  <r>
    <x v="1"/>
    <x v="11"/>
    <x v="1"/>
    <x v="8"/>
    <m/>
    <m/>
    <m/>
    <m/>
    <m/>
    <m/>
    <m/>
    <m/>
    <m/>
    <m/>
    <m/>
    <m/>
    <m/>
    <m/>
    <m/>
    <m/>
    <m/>
    <m/>
    <m/>
    <m/>
    <m/>
    <m/>
    <m/>
    <m/>
    <m/>
    <m/>
    <m/>
    <m/>
    <m/>
    <m/>
    <m/>
    <m/>
    <m/>
    <m/>
    <m/>
    <m/>
    <m/>
    <m/>
    <m/>
    <m/>
    <m/>
    <m/>
    <m/>
    <m/>
    <m/>
    <m/>
    <m/>
    <m/>
    <m/>
    <m/>
    <m/>
    <m/>
    <m/>
    <m/>
    <m/>
    <m/>
    <m/>
    <m/>
    <m/>
    <m/>
    <m/>
    <m/>
    <m/>
    <m/>
    <m/>
    <m/>
    <m/>
    <m/>
    <m/>
    <m/>
    <m/>
    <m/>
    <m/>
    <m/>
    <m/>
    <m/>
    <m/>
    <m/>
    <m/>
    <m/>
    <m/>
    <m/>
    <m/>
    <m/>
    <m/>
    <m/>
    <m/>
    <m/>
    <m/>
    <m/>
    <m/>
    <m/>
    <m/>
    <m/>
    <m/>
    <m/>
    <m/>
    <m/>
    <m/>
    <m/>
    <m/>
    <m/>
    <m/>
    <m/>
    <m/>
    <m/>
    <m/>
    <m/>
    <m/>
    <m/>
    <m/>
    <m/>
    <m/>
    <m/>
    <m/>
    <m/>
    <m/>
    <m/>
    <m/>
    <x v="11"/>
  </r>
  <r>
    <x v="2"/>
    <x v="12"/>
    <x v="2"/>
    <x v="9"/>
    <s v="Total Passes"/>
    <s v="Completed Passes"/>
    <s v="Uncompleted Passes"/>
    <s v="Completed Passes %"/>
    <s v="Uncompleted Passes %"/>
    <s v="Total Forward Passes"/>
    <s v="Completed Forward Passes"/>
    <s v="Uncompleted Forward Passes"/>
    <s v="Completed Forward Passes %"/>
    <s v="Uncompleted Forward Passes %"/>
    <s v="Total Lateral Passes"/>
    <s v="Completed Lateral Passes"/>
    <s v="Uncompleted Lateral Passes"/>
    <s v="Completed Lateral Passes %"/>
    <s v="Uncompleted Lateral Passes %"/>
    <s v="Total Backward Passes"/>
    <s v="Completed Backward Passes"/>
    <s v="Uncompleted Backward Passes"/>
    <s v="Completed Backward Passes %"/>
    <s v="Uncompleted Backward Passes %"/>
    <s v="Total Long Passes"/>
    <s v="Completed Long Passes"/>
    <s v="Uncompleted Long Passes"/>
    <s v="Completed Long Passes %"/>
    <s v="Uncompleted Long Passes %"/>
    <s v="Total Balls in Behind"/>
    <s v="Completed Balls in Behind"/>
    <s v="Uncompleted Balls in Behind"/>
    <s v="Completed Balls in Behind %"/>
    <s v="Uncompleted Balls in Behind %"/>
    <s v="Total Through Passes"/>
    <s v="Total Diagonal Passes"/>
    <s v="Completed Diagonal Passes"/>
    <s v="Uncompleted Diagonal Passes"/>
    <s v="Completed Diagonal Passes %"/>
    <s v="Uncompleted Diagonal Passes %"/>
    <s v="Total Pass Received"/>
    <s v="Pass Received &amp; Pass completed"/>
    <s v="Pass Received &amp; Pass Uncompleted"/>
    <s v="Ball Kept"/>
    <s v="Ball Lost"/>
    <s v="Ball Lost in Final 1/3"/>
    <s v="Ball Lost in Middle 1/3"/>
    <s v="Ball Lost in Own 1/3"/>
    <s v="Touches in the Box"/>
    <s v="Total 1v1"/>
    <s v="Successful 1v1"/>
    <s v="Unsuccessful 1v1"/>
    <s v="Completed 1v1 %"/>
    <s v="Uncompleted 1v1 %"/>
    <s v="Total Cross"/>
    <s v="Completed Cross"/>
    <s v="Uncompleted Cross"/>
    <s v="Completed Cross %"/>
    <s v="Uncompleted Cross %"/>
    <s v="Total Shots"/>
    <s v="On Target"/>
    <s v="Off Target"/>
    <s v="Blocked"/>
    <s v="Goal"/>
    <s v="Assist"/>
    <s v="Total Offensive duel"/>
    <s v="Successful Offensive Duel"/>
    <s v="Unsuccessful Offensive Duel"/>
    <s v="Successful Offensive Duel %"/>
    <s v="Unsuccessful Offensive Duel %"/>
    <s v="Total Acceleration"/>
    <s v="Total Into Pocket"/>
    <s v="Total Wide Area"/>
    <s v="Total Back to Goal"/>
    <s v="Total Over/Underlaps"/>
    <s v="Total Runs in Behind"/>
    <s v="Total Half-space Runs"/>
    <s v="Total Duel"/>
    <s v="Successful Duel"/>
    <s v="Unsuccesful Duel"/>
    <s v="Successful Duel %"/>
    <s v="Unsuccesful Duel %"/>
    <s v="Total Defensive Duel"/>
    <s v="Successful Defensive Duel"/>
    <s v="Unsuccesful Defensive Duel"/>
    <s v="Successful Defensive Duel %"/>
    <s v="Unsuccesful Defensive Duel %"/>
    <s v="Total Aerial Duel"/>
    <s v="Succesful Aerial Duel"/>
    <s v="Unsuccessful Aerial Duel"/>
    <s v="Succesful Aerial Duel %"/>
    <s v="Unsuccessful Aerial Duel %"/>
    <s v="Total 1v1 Defence"/>
    <s v="Successful 1v1 Defence"/>
    <s v="Unsuccessful 1v1 Defence"/>
    <s v="Successful 1v1 Defence %"/>
    <s v="Unsuccessful 1v1 Defence %"/>
    <s v="Total Tackles"/>
    <s v="Successful Tackles"/>
    <s v="Unsuccessful Tackles"/>
    <s v="Successful Tackles %"/>
    <s v="Unsuccessful Tackles %"/>
    <s v="Total 2nd Balls"/>
    <s v="Successful 2nd Ball"/>
    <s v="Unsuccessful 2nd Ball"/>
    <s v="Successful 2nd Ball %"/>
    <s v="Unsuccessful 2nd Ball %"/>
    <s v="Clearance"/>
    <s v="Interception"/>
    <s v="Turnover Won"/>
    <s v="Recovery"/>
    <s v="Blocked Shots"/>
    <s v="Missed Man-marking"/>
    <s v="Fouls"/>
    <s v="Won Fouls"/>
    <s v="GK 1v1"/>
    <s v="GK On target"/>
    <s v="GK Off Target"/>
    <s v="Defence the Space"/>
    <s v="Goal Conceded"/>
    <s v="Save"/>
    <s v="Defend the line (Cross)"/>
    <s v="Counter Kick"/>
    <x v="12"/>
  </r>
  <r>
    <x v="4"/>
    <x v="0"/>
    <x v="3"/>
    <x v="0"/>
    <n v="73"/>
    <n v="51"/>
    <n v="22"/>
    <n v="0.69863013698630139"/>
    <n v="0.30136986301369861"/>
    <n v="62"/>
    <n v="42"/>
    <n v="20"/>
    <n v="0.67741935483870963"/>
    <n v="0.32258064516129031"/>
    <n v="11"/>
    <n v="9"/>
    <n v="2"/>
    <n v="0.81818181818181823"/>
    <n v="0.18181818181818182"/>
    <n v="0"/>
    <n v="0"/>
    <n v="0"/>
    <s v="-"/>
    <s v="-"/>
    <n v="24"/>
    <n v="12"/>
    <n v="12"/>
    <n v="0.5"/>
    <n v="0.5"/>
    <n v="2"/>
    <n v="1"/>
    <n v="2"/>
    <n v="0.5"/>
    <n v="1"/>
    <n v="0"/>
    <n v="0"/>
    <n v="0"/>
    <n v="0"/>
    <s v="-"/>
    <s v="-"/>
    <n v="53"/>
    <n v="37"/>
    <n v="15"/>
    <n v="0"/>
    <n v="1"/>
    <n v="0"/>
    <n v="0"/>
    <n v="1"/>
    <n v="0"/>
    <n v="0"/>
    <n v="0"/>
    <n v="0"/>
    <s v="-"/>
    <s v="-"/>
    <n v="0"/>
    <n v="0"/>
    <n v="0"/>
    <s v="-"/>
    <s v="-"/>
    <n v="0"/>
    <n v="0"/>
    <n v="0"/>
    <n v="0"/>
    <n v="0"/>
    <n v="1"/>
    <n v="0"/>
    <n v="0"/>
    <n v="0"/>
    <s v="-"/>
    <s v="-"/>
    <n v="1"/>
    <n v="0"/>
    <n v="0"/>
    <n v="0"/>
    <n v="0"/>
    <n v="0"/>
    <n v="0"/>
    <n v="0"/>
    <n v="0"/>
    <n v="0"/>
    <s v="-"/>
    <s v="-"/>
    <n v="0"/>
    <n v="0"/>
    <n v="0"/>
    <s v="-"/>
    <s v="-"/>
    <n v="0"/>
    <n v="0"/>
    <n v="0"/>
    <s v="-"/>
    <s v="-"/>
    <n v="0"/>
    <n v="0"/>
    <n v="0"/>
    <s v="-"/>
    <s v="-"/>
    <n v="0"/>
    <n v="0"/>
    <n v="0"/>
    <s v="-"/>
    <s v="-"/>
    <n v="0"/>
    <n v="0"/>
    <n v="0"/>
    <s v="-"/>
    <s v="-"/>
    <n v="0"/>
    <n v="0"/>
    <n v="0"/>
    <n v="0"/>
    <n v="0"/>
    <n v="0"/>
    <n v="0"/>
    <n v="0"/>
    <n v="2"/>
    <n v="10"/>
    <n v="7"/>
    <n v="4"/>
    <n v="4"/>
    <n v="3"/>
    <n v="3"/>
    <n v="2"/>
    <x v="0"/>
  </r>
  <r>
    <x v="4"/>
    <x v="1"/>
    <x v="4"/>
    <x v="1"/>
    <n v="39"/>
    <n v="35"/>
    <n v="4"/>
    <n v="0.89743589743589747"/>
    <n v="0.10256410256410256"/>
    <n v="18"/>
    <n v="14"/>
    <n v="4"/>
    <n v="0.77777777777777779"/>
    <n v="0.22222222222222221"/>
    <n v="10"/>
    <n v="10"/>
    <n v="0"/>
    <n v="1"/>
    <n v="0"/>
    <n v="11"/>
    <n v="11"/>
    <n v="0"/>
    <n v="1"/>
    <n v="0"/>
    <n v="3"/>
    <n v="2"/>
    <n v="1"/>
    <n v="0.66666666666666663"/>
    <n v="0.33333333333333331"/>
    <n v="2"/>
    <n v="1"/>
    <n v="1"/>
    <n v="0.5"/>
    <n v="0.5"/>
    <n v="1"/>
    <n v="0"/>
    <n v="0"/>
    <n v="0"/>
    <s v="-"/>
    <s v="-"/>
    <n v="24"/>
    <n v="20"/>
    <n v="3"/>
    <n v="2"/>
    <n v="1"/>
    <n v="0"/>
    <n v="1"/>
    <n v="0"/>
    <n v="0"/>
    <n v="2"/>
    <n v="2"/>
    <n v="0"/>
    <n v="1"/>
    <n v="0"/>
    <n v="0"/>
    <n v="0"/>
    <n v="0"/>
    <s v="-"/>
    <s v="-"/>
    <n v="0"/>
    <n v="0"/>
    <n v="0"/>
    <n v="0"/>
    <n v="0"/>
    <n v="0"/>
    <n v="1"/>
    <n v="1"/>
    <n v="0"/>
    <n v="1"/>
    <n v="0"/>
    <n v="7"/>
    <n v="1"/>
    <n v="5"/>
    <n v="0"/>
    <n v="0"/>
    <n v="0"/>
    <n v="0"/>
    <n v="5"/>
    <n v="5"/>
    <n v="0"/>
    <n v="1"/>
    <n v="0"/>
    <n v="1"/>
    <n v="1"/>
    <n v="0"/>
    <n v="1"/>
    <n v="0"/>
    <n v="3"/>
    <n v="3"/>
    <n v="0"/>
    <n v="1"/>
    <n v="0"/>
    <n v="1"/>
    <n v="1"/>
    <n v="0"/>
    <n v="1"/>
    <n v="0"/>
    <n v="1"/>
    <n v="1"/>
    <n v="0"/>
    <n v="1"/>
    <n v="0"/>
    <n v="0"/>
    <n v="0"/>
    <n v="0"/>
    <s v="-"/>
    <s v="-"/>
    <n v="4"/>
    <n v="1"/>
    <n v="4"/>
    <n v="2"/>
    <n v="1"/>
    <n v="1"/>
    <n v="0"/>
    <n v="0"/>
    <n v="0"/>
    <n v="0"/>
    <n v="0"/>
    <n v="0"/>
    <n v="0"/>
    <n v="0"/>
    <n v="0"/>
    <n v="0"/>
    <x v="1"/>
  </r>
  <r>
    <x v="4"/>
    <x v="13"/>
    <x v="0"/>
    <x v="1"/>
    <n v="20"/>
    <n v="16"/>
    <n v="4"/>
    <n v="0.8"/>
    <n v="0.2"/>
    <n v="7"/>
    <n v="3"/>
    <n v="4"/>
    <n v="0.42857142857142855"/>
    <n v="0.5714285714285714"/>
    <n v="5"/>
    <n v="5"/>
    <n v="0"/>
    <n v="1"/>
    <n v="0"/>
    <n v="8"/>
    <n v="8"/>
    <n v="0"/>
    <n v="1"/>
    <n v="0"/>
    <n v="0"/>
    <n v="0"/>
    <n v="0"/>
    <s v="-"/>
    <s v="-"/>
    <n v="0"/>
    <n v="0"/>
    <n v="0"/>
    <s v="-"/>
    <s v="-"/>
    <n v="0"/>
    <n v="0"/>
    <n v="0"/>
    <n v="0"/>
    <s v="-"/>
    <s v="-"/>
    <n v="12"/>
    <n v="9"/>
    <n v="3"/>
    <n v="1"/>
    <n v="0"/>
    <n v="0"/>
    <n v="0"/>
    <n v="0"/>
    <n v="0"/>
    <n v="1"/>
    <n v="1"/>
    <n v="0"/>
    <n v="1"/>
    <n v="0"/>
    <n v="0"/>
    <n v="0"/>
    <n v="0"/>
    <s v="-"/>
    <s v="-"/>
    <n v="0"/>
    <n v="0"/>
    <n v="0"/>
    <n v="0"/>
    <n v="0"/>
    <n v="0"/>
    <n v="0"/>
    <n v="0"/>
    <n v="0"/>
    <s v="-"/>
    <s v="-"/>
    <n v="1"/>
    <n v="0"/>
    <n v="1"/>
    <n v="0"/>
    <n v="0"/>
    <n v="0"/>
    <n v="0"/>
    <n v="5"/>
    <n v="2"/>
    <n v="3"/>
    <n v="0.4"/>
    <n v="0.6"/>
    <n v="2"/>
    <n v="0"/>
    <n v="2"/>
    <n v="0"/>
    <n v="1"/>
    <n v="3"/>
    <n v="2"/>
    <n v="1"/>
    <n v="1"/>
    <n v="0.5"/>
    <n v="0"/>
    <n v="0"/>
    <n v="0"/>
    <s v="-"/>
    <s v="-"/>
    <n v="0"/>
    <n v="0"/>
    <n v="0"/>
    <s v="-"/>
    <s v="-"/>
    <n v="0"/>
    <n v="0"/>
    <n v="0"/>
    <s v="-"/>
    <s v="-"/>
    <n v="3"/>
    <n v="1"/>
    <n v="0"/>
    <n v="1"/>
    <n v="2"/>
    <n v="1"/>
    <n v="1"/>
    <n v="0"/>
    <n v="0"/>
    <n v="0"/>
    <n v="0"/>
    <n v="0"/>
    <n v="0"/>
    <n v="0"/>
    <n v="0"/>
    <n v="0"/>
    <x v="13"/>
  </r>
  <r>
    <x v="4"/>
    <x v="2"/>
    <x v="0"/>
    <x v="1"/>
    <n v="56"/>
    <n v="44"/>
    <n v="12"/>
    <n v="0.7857142857142857"/>
    <n v="0.21428571428571427"/>
    <n v="23"/>
    <n v="13"/>
    <n v="10"/>
    <n v="0.56521739130434778"/>
    <n v="0.43478260869565216"/>
    <n v="19"/>
    <n v="18"/>
    <n v="1"/>
    <n v="0.94736842105263153"/>
    <n v="5.2631578947368418E-2"/>
    <n v="14"/>
    <n v="13"/>
    <n v="1"/>
    <n v="1"/>
    <n v="7.6923076923076927E-2"/>
    <n v="4"/>
    <n v="1"/>
    <n v="3"/>
    <n v="0.25"/>
    <n v="0.75"/>
    <n v="0"/>
    <n v="0"/>
    <n v="0"/>
    <s v="-"/>
    <s v="-"/>
    <n v="0"/>
    <n v="0"/>
    <n v="0"/>
    <n v="0"/>
    <s v="-"/>
    <s v="-"/>
    <n v="24"/>
    <n v="20"/>
    <n v="5"/>
    <n v="2"/>
    <n v="0"/>
    <n v="0"/>
    <n v="0"/>
    <n v="0"/>
    <n v="0"/>
    <n v="1"/>
    <n v="1"/>
    <n v="0"/>
    <n v="1"/>
    <n v="0"/>
    <n v="0"/>
    <n v="0"/>
    <n v="0"/>
    <s v="-"/>
    <s v="-"/>
    <n v="0"/>
    <n v="0"/>
    <n v="0"/>
    <n v="0"/>
    <n v="0"/>
    <n v="0"/>
    <n v="1"/>
    <n v="1"/>
    <n v="0"/>
    <n v="1"/>
    <n v="0"/>
    <n v="1"/>
    <n v="0"/>
    <n v="2"/>
    <n v="0"/>
    <n v="0"/>
    <n v="0"/>
    <n v="0"/>
    <n v="5"/>
    <n v="5"/>
    <n v="0"/>
    <n v="1"/>
    <n v="0"/>
    <n v="2"/>
    <n v="2"/>
    <n v="0"/>
    <n v="1"/>
    <n v="0"/>
    <n v="2"/>
    <n v="2"/>
    <n v="0"/>
    <n v="1"/>
    <n v="0"/>
    <n v="1"/>
    <n v="1"/>
    <n v="0"/>
    <n v="1"/>
    <n v="0"/>
    <n v="0"/>
    <n v="0"/>
    <n v="0"/>
    <s v="-"/>
    <s v="-"/>
    <n v="0"/>
    <n v="0"/>
    <n v="0"/>
    <s v="-"/>
    <s v="-"/>
    <n v="0"/>
    <n v="2"/>
    <n v="2"/>
    <n v="2"/>
    <n v="0"/>
    <n v="0"/>
    <n v="0"/>
    <n v="0"/>
    <n v="0"/>
    <n v="0"/>
    <n v="0"/>
    <n v="0"/>
    <n v="0"/>
    <n v="0"/>
    <n v="0"/>
    <n v="0"/>
    <x v="2"/>
  </r>
  <r>
    <x v="4"/>
    <x v="3"/>
    <x v="0"/>
    <x v="2"/>
    <n v="35"/>
    <n v="27"/>
    <n v="8"/>
    <n v="0.77142857142857146"/>
    <n v="0.22857142857142856"/>
    <n v="18"/>
    <n v="10"/>
    <n v="8"/>
    <n v="0.55555555555555558"/>
    <n v="0.44444444444444442"/>
    <n v="3"/>
    <n v="3"/>
    <n v="0"/>
    <n v="1"/>
    <n v="0"/>
    <n v="14"/>
    <n v="14"/>
    <n v="0"/>
    <n v="1"/>
    <n v="0"/>
    <n v="3"/>
    <n v="2"/>
    <n v="1"/>
    <n v="0.66666666666666663"/>
    <n v="0.33333333333333331"/>
    <n v="6"/>
    <n v="3"/>
    <n v="3"/>
    <n v="0.5"/>
    <n v="0.5"/>
    <n v="3"/>
    <n v="0"/>
    <n v="0"/>
    <n v="0"/>
    <s v="-"/>
    <s v="-"/>
    <n v="26"/>
    <n v="17"/>
    <n v="6"/>
    <n v="2"/>
    <n v="2"/>
    <n v="0"/>
    <n v="1"/>
    <n v="1"/>
    <n v="0"/>
    <n v="1"/>
    <n v="1"/>
    <n v="0"/>
    <n v="1"/>
    <n v="0"/>
    <n v="2"/>
    <n v="0"/>
    <n v="2"/>
    <n v="0"/>
    <n v="1"/>
    <n v="0"/>
    <n v="0"/>
    <n v="0"/>
    <n v="0"/>
    <n v="0"/>
    <n v="2"/>
    <n v="3"/>
    <n v="3"/>
    <n v="0"/>
    <n v="1"/>
    <n v="0"/>
    <n v="4"/>
    <n v="3"/>
    <n v="9"/>
    <n v="0"/>
    <n v="1"/>
    <n v="1"/>
    <n v="0"/>
    <n v="8"/>
    <n v="6"/>
    <n v="2"/>
    <n v="0.75"/>
    <n v="0.25"/>
    <n v="4"/>
    <n v="3"/>
    <n v="1"/>
    <n v="0.75"/>
    <n v="0.25"/>
    <n v="1"/>
    <n v="0"/>
    <n v="1"/>
    <s v="-"/>
    <s v="-"/>
    <n v="3"/>
    <n v="2"/>
    <n v="1"/>
    <n v="0.66666666666666663"/>
    <n v="0.33333333333333331"/>
    <n v="1"/>
    <n v="1"/>
    <n v="0"/>
    <n v="1"/>
    <n v="0"/>
    <n v="1"/>
    <n v="0"/>
    <n v="1"/>
    <n v="0"/>
    <n v="1"/>
    <n v="1"/>
    <n v="8"/>
    <n v="3"/>
    <n v="1"/>
    <n v="1"/>
    <n v="2"/>
    <n v="3"/>
    <n v="3"/>
    <n v="0"/>
    <n v="0"/>
    <n v="0"/>
    <n v="0"/>
    <n v="0"/>
    <n v="0"/>
    <n v="0"/>
    <n v="0"/>
    <x v="3"/>
  </r>
  <r>
    <x v="4"/>
    <x v="4"/>
    <x v="4"/>
    <x v="3"/>
    <n v="37"/>
    <n v="26"/>
    <n v="11"/>
    <n v="0.70270270270270274"/>
    <n v="0.29729729729729731"/>
    <n v="17"/>
    <n v="8"/>
    <n v="9"/>
    <n v="0.47058823529411764"/>
    <n v="0.52941176470588236"/>
    <n v="6"/>
    <n v="5"/>
    <n v="1"/>
    <n v="0.83333333333333337"/>
    <n v="0.16666666666666666"/>
    <n v="14"/>
    <n v="13"/>
    <n v="1"/>
    <n v="1"/>
    <n v="7.6923076923076927E-2"/>
    <n v="3"/>
    <n v="2"/>
    <n v="2"/>
    <n v="0.66666666666666663"/>
    <n v="0.66666666666666663"/>
    <n v="0"/>
    <n v="0"/>
    <n v="0"/>
    <s v="-"/>
    <s v="-"/>
    <n v="0"/>
    <n v="0"/>
    <n v="0"/>
    <n v="0"/>
    <s v="-"/>
    <s v="-"/>
    <n v="21"/>
    <n v="16"/>
    <n v="3"/>
    <n v="2"/>
    <n v="1"/>
    <n v="0"/>
    <n v="1"/>
    <n v="0"/>
    <n v="0"/>
    <n v="2"/>
    <n v="2"/>
    <n v="0"/>
    <n v="1"/>
    <n v="0"/>
    <n v="1"/>
    <n v="0"/>
    <n v="1"/>
    <n v="0"/>
    <n v="1"/>
    <n v="0"/>
    <n v="0"/>
    <n v="0"/>
    <n v="0"/>
    <n v="0"/>
    <n v="0"/>
    <n v="0"/>
    <n v="0"/>
    <n v="0"/>
    <s v="-"/>
    <s v="-"/>
    <n v="3"/>
    <n v="0"/>
    <n v="16"/>
    <n v="0"/>
    <n v="0"/>
    <n v="0"/>
    <n v="0"/>
    <n v="10"/>
    <n v="4"/>
    <n v="6"/>
    <n v="0.4"/>
    <n v="0.6"/>
    <n v="8"/>
    <n v="2"/>
    <n v="6"/>
    <n v="0.25"/>
    <n v="0.75"/>
    <n v="2"/>
    <n v="2"/>
    <n v="0"/>
    <n v="1"/>
    <n v="0"/>
    <n v="2"/>
    <n v="2"/>
    <n v="0"/>
    <n v="1"/>
    <n v="0"/>
    <n v="2"/>
    <n v="2"/>
    <n v="0"/>
    <n v="1"/>
    <n v="0"/>
    <n v="1"/>
    <n v="1"/>
    <n v="0"/>
    <n v="1"/>
    <n v="0"/>
    <n v="2"/>
    <n v="6"/>
    <n v="2"/>
    <n v="3"/>
    <n v="1"/>
    <n v="0"/>
    <n v="2"/>
    <n v="2"/>
    <n v="0"/>
    <n v="0"/>
    <n v="0"/>
    <n v="0"/>
    <n v="0"/>
    <n v="0"/>
    <n v="0"/>
    <n v="0"/>
    <x v="4"/>
  </r>
  <r>
    <x v="4"/>
    <x v="6"/>
    <x v="0"/>
    <x v="4"/>
    <n v="23"/>
    <n v="22"/>
    <n v="1"/>
    <n v="0.95652173913043481"/>
    <n v="4.3478260869565216E-2"/>
    <n v="7"/>
    <n v="6"/>
    <n v="1"/>
    <n v="0.8571428571428571"/>
    <n v="0.14285714285714285"/>
    <n v="6"/>
    <n v="6"/>
    <n v="0"/>
    <n v="1"/>
    <n v="0"/>
    <n v="10"/>
    <n v="10"/>
    <n v="0"/>
    <n v="1"/>
    <n v="0"/>
    <n v="1"/>
    <n v="0"/>
    <n v="1"/>
    <n v="0"/>
    <n v="1"/>
    <n v="0"/>
    <n v="0"/>
    <n v="0"/>
    <s v="-"/>
    <s v="-"/>
    <n v="1"/>
    <n v="0"/>
    <n v="0"/>
    <n v="0"/>
    <s v="-"/>
    <s v="-"/>
    <n v="15"/>
    <n v="13"/>
    <n v="0"/>
    <n v="2"/>
    <n v="2"/>
    <n v="0"/>
    <n v="1"/>
    <n v="1"/>
    <n v="1"/>
    <n v="1"/>
    <n v="1"/>
    <n v="0"/>
    <n v="1"/>
    <n v="0"/>
    <n v="0"/>
    <n v="0"/>
    <n v="0"/>
    <s v="-"/>
    <s v="-"/>
    <n v="1"/>
    <n v="0"/>
    <n v="0"/>
    <n v="1"/>
    <n v="0"/>
    <n v="0"/>
    <n v="1"/>
    <n v="1"/>
    <n v="0"/>
    <n v="1"/>
    <n v="0"/>
    <n v="1"/>
    <n v="6"/>
    <n v="0"/>
    <n v="0"/>
    <n v="0"/>
    <n v="0"/>
    <n v="0"/>
    <n v="2"/>
    <n v="1"/>
    <n v="1"/>
    <n v="0.5"/>
    <n v="0.5"/>
    <n v="0"/>
    <n v="0"/>
    <n v="0"/>
    <s v="-"/>
    <s v="-"/>
    <n v="1"/>
    <n v="0"/>
    <n v="1"/>
    <s v="-"/>
    <s v="-"/>
    <n v="0"/>
    <n v="0"/>
    <n v="0"/>
    <s v="-"/>
    <s v="-"/>
    <n v="1"/>
    <n v="1"/>
    <n v="0"/>
    <n v="1"/>
    <n v="0"/>
    <n v="4"/>
    <n v="3"/>
    <n v="1"/>
    <n v="0.75"/>
    <n v="0.25"/>
    <n v="0"/>
    <n v="2"/>
    <n v="0"/>
    <n v="0"/>
    <n v="0"/>
    <n v="0"/>
    <n v="0"/>
    <n v="0"/>
    <n v="0"/>
    <n v="0"/>
    <n v="0"/>
    <n v="0"/>
    <n v="0"/>
    <n v="0"/>
    <n v="0"/>
    <n v="0"/>
    <x v="6"/>
  </r>
  <r>
    <x v="4"/>
    <x v="5"/>
    <x v="4"/>
    <x v="4"/>
    <n v="22"/>
    <n v="21"/>
    <n v="1"/>
    <n v="0.95454545454545459"/>
    <n v="4.5454545454545456E-2"/>
    <n v="2"/>
    <n v="2"/>
    <n v="0"/>
    <n v="1"/>
    <n v="0"/>
    <n v="12"/>
    <n v="12"/>
    <n v="0"/>
    <n v="1"/>
    <n v="0"/>
    <n v="8"/>
    <n v="7"/>
    <n v="1"/>
    <n v="1"/>
    <n v="0.14285714285714285"/>
    <n v="1"/>
    <n v="1"/>
    <n v="0"/>
    <n v="1"/>
    <n v="0"/>
    <n v="1"/>
    <n v="1"/>
    <n v="0"/>
    <n v="1"/>
    <n v="0"/>
    <n v="1"/>
    <n v="0"/>
    <n v="0"/>
    <n v="0"/>
    <s v="-"/>
    <s v="-"/>
    <n v="15"/>
    <n v="12"/>
    <n v="1"/>
    <n v="0"/>
    <n v="4"/>
    <n v="0"/>
    <n v="2"/>
    <n v="2"/>
    <n v="0"/>
    <n v="1"/>
    <n v="1"/>
    <n v="0"/>
    <n v="1"/>
    <n v="0"/>
    <n v="0"/>
    <n v="0"/>
    <n v="0"/>
    <s v="-"/>
    <s v="-"/>
    <n v="0"/>
    <n v="0"/>
    <n v="0"/>
    <n v="0"/>
    <n v="0"/>
    <n v="1"/>
    <n v="0"/>
    <n v="0"/>
    <n v="0"/>
    <s v="-"/>
    <s v="-"/>
    <n v="1"/>
    <n v="11"/>
    <n v="1"/>
    <n v="0"/>
    <n v="0"/>
    <n v="0"/>
    <n v="0"/>
    <n v="5"/>
    <n v="1"/>
    <n v="3"/>
    <n v="0.2"/>
    <n v="0.6"/>
    <n v="4"/>
    <n v="1"/>
    <n v="2"/>
    <n v="0.25"/>
    <n v="0.5"/>
    <n v="1"/>
    <n v="0"/>
    <n v="1"/>
    <s v="-"/>
    <s v="-"/>
    <n v="0"/>
    <n v="0"/>
    <n v="0"/>
    <s v="-"/>
    <s v="-"/>
    <n v="2"/>
    <n v="2"/>
    <n v="0"/>
    <n v="1"/>
    <n v="0"/>
    <n v="3"/>
    <n v="1"/>
    <n v="2"/>
    <n v="0.33333333333333331"/>
    <n v="0.66666666666666663"/>
    <n v="0"/>
    <n v="0"/>
    <n v="1"/>
    <n v="0"/>
    <n v="0"/>
    <n v="0"/>
    <n v="0"/>
    <n v="0"/>
    <n v="0"/>
    <n v="0"/>
    <n v="0"/>
    <n v="0"/>
    <n v="0"/>
    <n v="0"/>
    <n v="0"/>
    <n v="0"/>
    <x v="5"/>
  </r>
  <r>
    <x v="4"/>
    <x v="14"/>
    <x v="5"/>
    <x v="4"/>
    <n v="9"/>
    <n v="5"/>
    <n v="4"/>
    <n v="0.55555555555555558"/>
    <n v="0.44444444444444442"/>
    <n v="6"/>
    <n v="2"/>
    <n v="4"/>
    <n v="0.33333333333333331"/>
    <n v="0.66666666666666663"/>
    <n v="0"/>
    <n v="0"/>
    <n v="0"/>
    <s v="-"/>
    <s v="-"/>
    <n v="3"/>
    <n v="3"/>
    <n v="0"/>
    <n v="1"/>
    <n v="0"/>
    <n v="1"/>
    <n v="0"/>
    <n v="1"/>
    <n v="0"/>
    <n v="1"/>
    <n v="3"/>
    <n v="0"/>
    <n v="3"/>
    <n v="0"/>
    <n v="1"/>
    <n v="0"/>
    <n v="0"/>
    <n v="0"/>
    <n v="0"/>
    <s v="-"/>
    <s v="-"/>
    <n v="7"/>
    <n v="4"/>
    <n v="2"/>
    <n v="3"/>
    <n v="2"/>
    <n v="0"/>
    <n v="1"/>
    <n v="1"/>
    <n v="0"/>
    <n v="2"/>
    <n v="2"/>
    <n v="0"/>
    <n v="1"/>
    <n v="0"/>
    <n v="1"/>
    <n v="0"/>
    <n v="1"/>
    <n v="0"/>
    <n v="1"/>
    <n v="0"/>
    <n v="0"/>
    <n v="0"/>
    <n v="0"/>
    <n v="0"/>
    <n v="0"/>
    <n v="2"/>
    <n v="1"/>
    <n v="1"/>
    <n v="0.5"/>
    <n v="0.5"/>
    <n v="0"/>
    <n v="2"/>
    <n v="0"/>
    <n v="3"/>
    <n v="0"/>
    <n v="0"/>
    <n v="0"/>
    <n v="4"/>
    <n v="1"/>
    <n v="3"/>
    <n v="0.25"/>
    <n v="0.75"/>
    <n v="2"/>
    <n v="0"/>
    <n v="2"/>
    <n v="0"/>
    <n v="1"/>
    <n v="0"/>
    <n v="0"/>
    <n v="0"/>
    <s v="-"/>
    <s v="-"/>
    <n v="0"/>
    <n v="0"/>
    <n v="0"/>
    <s v="-"/>
    <s v="-"/>
    <n v="0"/>
    <n v="0"/>
    <n v="0"/>
    <s v="-"/>
    <s v="-"/>
    <n v="0"/>
    <n v="0"/>
    <n v="0"/>
    <s v="-"/>
    <s v="-"/>
    <n v="0"/>
    <n v="1"/>
    <n v="1"/>
    <n v="2"/>
    <n v="0"/>
    <n v="0"/>
    <n v="1"/>
    <n v="0"/>
    <n v="0"/>
    <n v="0"/>
    <n v="0"/>
    <n v="0"/>
    <n v="0"/>
    <n v="0"/>
    <n v="0"/>
    <n v="0"/>
    <x v="14"/>
  </r>
  <r>
    <x v="4"/>
    <x v="7"/>
    <x v="5"/>
    <x v="4"/>
    <n v="7"/>
    <n v="4"/>
    <n v="3"/>
    <n v="0.5714285714285714"/>
    <n v="0.42857142857142855"/>
    <n v="4"/>
    <n v="2"/>
    <n v="2"/>
    <n v="0.5"/>
    <n v="0.5"/>
    <n v="2"/>
    <n v="1"/>
    <n v="1"/>
    <n v="0.5"/>
    <n v="0.5"/>
    <n v="1"/>
    <n v="1"/>
    <n v="0"/>
    <n v="1"/>
    <n v="0"/>
    <n v="1"/>
    <n v="0"/>
    <n v="1"/>
    <n v="0"/>
    <n v="1"/>
    <n v="2"/>
    <n v="1"/>
    <n v="1"/>
    <n v="0.5"/>
    <n v="0.5"/>
    <n v="0"/>
    <n v="0"/>
    <n v="0"/>
    <n v="0"/>
    <s v="-"/>
    <s v="-"/>
    <n v="4"/>
    <n v="1"/>
    <n v="2"/>
    <n v="1"/>
    <n v="1"/>
    <n v="0"/>
    <n v="0"/>
    <n v="1"/>
    <n v="0"/>
    <n v="2"/>
    <n v="2"/>
    <n v="0"/>
    <n v="1"/>
    <n v="0"/>
    <n v="0"/>
    <n v="0"/>
    <n v="0"/>
    <s v="-"/>
    <s v="-"/>
    <n v="0"/>
    <n v="0"/>
    <n v="0"/>
    <n v="0"/>
    <n v="0"/>
    <n v="1"/>
    <n v="0"/>
    <n v="0"/>
    <n v="0"/>
    <s v="-"/>
    <s v="-"/>
    <n v="0"/>
    <n v="3"/>
    <n v="0"/>
    <n v="0"/>
    <n v="0"/>
    <n v="0"/>
    <n v="0"/>
    <n v="2"/>
    <n v="0"/>
    <n v="2"/>
    <n v="0"/>
    <n v="1"/>
    <n v="0"/>
    <n v="0"/>
    <n v="0"/>
    <s v="-"/>
    <s v="-"/>
    <n v="2"/>
    <n v="0"/>
    <n v="2"/>
    <s v="-"/>
    <s v="-"/>
    <n v="0"/>
    <n v="0"/>
    <n v="0"/>
    <s v="-"/>
    <s v="-"/>
    <n v="1"/>
    <n v="1"/>
    <n v="0"/>
    <n v="1"/>
    <n v="0"/>
    <n v="2"/>
    <n v="2"/>
    <n v="0"/>
    <n v="1"/>
    <n v="0"/>
    <n v="0"/>
    <n v="1"/>
    <n v="3"/>
    <n v="1"/>
    <n v="1"/>
    <n v="0"/>
    <n v="0"/>
    <n v="0"/>
    <n v="0"/>
    <n v="0"/>
    <n v="0"/>
    <n v="0"/>
    <n v="0"/>
    <n v="0"/>
    <n v="0"/>
    <n v="0"/>
    <x v="7"/>
  </r>
  <r>
    <x v="4"/>
    <x v="15"/>
    <x v="5"/>
    <x v="4"/>
    <n v="12"/>
    <n v="8"/>
    <n v="4"/>
    <n v="0.66666666666666663"/>
    <n v="0.33333333333333331"/>
    <n v="8"/>
    <n v="5"/>
    <n v="3"/>
    <n v="0.625"/>
    <n v="0.375"/>
    <n v="1"/>
    <n v="0"/>
    <n v="1"/>
    <n v="0"/>
    <n v="1"/>
    <n v="3"/>
    <n v="3"/>
    <n v="0"/>
    <n v="1"/>
    <n v="0"/>
    <n v="0"/>
    <n v="0"/>
    <n v="0"/>
    <s v="-"/>
    <s v="-"/>
    <n v="0"/>
    <n v="0"/>
    <n v="0"/>
    <s v="-"/>
    <s v="-"/>
    <n v="0"/>
    <n v="0"/>
    <n v="0"/>
    <n v="0"/>
    <s v="-"/>
    <s v="-"/>
    <n v="10"/>
    <n v="7"/>
    <n v="1"/>
    <n v="0"/>
    <n v="2"/>
    <n v="0"/>
    <n v="0"/>
    <n v="2"/>
    <n v="0"/>
    <n v="0"/>
    <n v="0"/>
    <n v="0"/>
    <s v="-"/>
    <s v="-"/>
    <n v="0"/>
    <n v="0"/>
    <n v="0"/>
    <s v="-"/>
    <s v="-"/>
    <n v="0"/>
    <n v="0"/>
    <n v="0"/>
    <n v="0"/>
    <n v="0"/>
    <n v="0"/>
    <n v="0"/>
    <n v="0"/>
    <n v="0"/>
    <s v="-"/>
    <s v="-"/>
    <n v="0"/>
    <n v="4"/>
    <n v="0"/>
    <n v="0"/>
    <n v="0"/>
    <n v="0"/>
    <n v="0"/>
    <n v="2"/>
    <n v="0"/>
    <n v="2"/>
    <n v="0"/>
    <n v="1"/>
    <n v="2"/>
    <n v="0"/>
    <n v="2"/>
    <n v="0"/>
    <n v="1"/>
    <n v="0"/>
    <n v="0"/>
    <n v="0"/>
    <s v="-"/>
    <s v="-"/>
    <n v="0"/>
    <n v="0"/>
    <n v="0"/>
    <s v="-"/>
    <s v="-"/>
    <n v="0"/>
    <n v="0"/>
    <n v="0"/>
    <s v="-"/>
    <s v="-"/>
    <n v="1"/>
    <n v="0"/>
    <n v="1"/>
    <n v="0"/>
    <n v="1"/>
    <n v="0"/>
    <n v="2"/>
    <n v="1"/>
    <n v="0"/>
    <n v="0"/>
    <n v="0"/>
    <n v="2"/>
    <n v="1"/>
    <n v="0"/>
    <n v="0"/>
    <n v="0"/>
    <n v="0"/>
    <n v="0"/>
    <n v="0"/>
    <n v="0"/>
    <n v="0"/>
    <x v="15"/>
  </r>
  <r>
    <x v="4"/>
    <x v="9"/>
    <x v="4"/>
    <x v="6"/>
    <n v="14"/>
    <n v="6"/>
    <n v="8"/>
    <n v="0.42857142857142855"/>
    <n v="0.5714285714285714"/>
    <n v="8"/>
    <n v="2"/>
    <n v="6"/>
    <n v="0.25"/>
    <n v="0.75"/>
    <n v="3"/>
    <n v="1"/>
    <n v="2"/>
    <n v="0.33333333333333331"/>
    <n v="0.66666666666666663"/>
    <n v="3"/>
    <n v="3"/>
    <n v="0"/>
    <n v="1"/>
    <n v="0"/>
    <n v="1"/>
    <n v="0"/>
    <n v="1"/>
    <n v="0"/>
    <n v="1"/>
    <n v="2"/>
    <n v="1"/>
    <n v="1"/>
    <n v="0.5"/>
    <n v="0.5"/>
    <n v="0"/>
    <n v="0"/>
    <n v="0"/>
    <n v="0"/>
    <s v="-"/>
    <s v="-"/>
    <n v="16"/>
    <n v="3"/>
    <n v="9"/>
    <n v="2"/>
    <n v="3"/>
    <n v="1"/>
    <n v="2"/>
    <n v="0"/>
    <n v="3"/>
    <n v="1"/>
    <n v="1"/>
    <n v="0"/>
    <n v="1"/>
    <n v="0"/>
    <n v="2"/>
    <n v="0"/>
    <n v="2"/>
    <n v="0"/>
    <n v="1"/>
    <n v="2"/>
    <n v="0"/>
    <n v="2"/>
    <n v="0"/>
    <n v="0"/>
    <n v="0"/>
    <n v="2"/>
    <n v="2"/>
    <n v="0"/>
    <n v="1"/>
    <n v="0"/>
    <n v="0"/>
    <n v="0"/>
    <n v="10"/>
    <n v="0"/>
    <n v="0"/>
    <n v="1"/>
    <n v="0"/>
    <n v="7"/>
    <n v="3"/>
    <n v="4"/>
    <n v="0.42857142857142855"/>
    <n v="0.5714285714285714"/>
    <n v="5"/>
    <n v="1"/>
    <n v="4"/>
    <n v="0.2"/>
    <n v="0.8"/>
    <n v="0"/>
    <n v="0"/>
    <n v="0"/>
    <s v="-"/>
    <s v="-"/>
    <n v="0"/>
    <n v="0"/>
    <n v="0"/>
    <s v="-"/>
    <s v="-"/>
    <n v="0"/>
    <n v="0"/>
    <n v="0"/>
    <s v="-"/>
    <s v="-"/>
    <n v="1"/>
    <n v="0"/>
    <n v="1"/>
    <n v="0"/>
    <n v="1"/>
    <n v="0"/>
    <n v="0"/>
    <n v="2"/>
    <n v="1"/>
    <n v="0"/>
    <n v="0"/>
    <n v="2"/>
    <n v="0"/>
    <n v="0"/>
    <n v="0"/>
    <n v="0"/>
    <n v="0"/>
    <n v="0"/>
    <n v="0"/>
    <n v="0"/>
    <n v="0"/>
    <x v="9"/>
  </r>
  <r>
    <x v="4"/>
    <x v="8"/>
    <x v="0"/>
    <x v="5"/>
    <n v="9"/>
    <n v="7"/>
    <n v="2"/>
    <n v="0.77777777777777779"/>
    <n v="0.22222222222222221"/>
    <n v="2"/>
    <n v="2"/>
    <n v="0"/>
    <n v="1"/>
    <n v="0"/>
    <n v="4"/>
    <n v="2"/>
    <n v="2"/>
    <n v="0.5"/>
    <n v="0.5"/>
    <n v="3"/>
    <n v="3"/>
    <n v="0"/>
    <n v="1"/>
    <n v="0"/>
    <n v="0"/>
    <n v="0"/>
    <n v="0"/>
    <s v="-"/>
    <s v="-"/>
    <n v="1"/>
    <n v="1"/>
    <n v="0"/>
    <n v="1"/>
    <n v="0"/>
    <n v="1"/>
    <n v="0"/>
    <n v="0"/>
    <n v="0"/>
    <s v="-"/>
    <s v="-"/>
    <n v="12"/>
    <n v="7"/>
    <n v="3"/>
    <n v="3"/>
    <n v="2"/>
    <n v="1"/>
    <n v="1"/>
    <n v="0"/>
    <n v="1"/>
    <n v="2"/>
    <n v="2"/>
    <n v="0"/>
    <n v="1"/>
    <n v="0"/>
    <n v="2"/>
    <n v="1"/>
    <n v="1"/>
    <n v="0.5"/>
    <n v="0.5"/>
    <n v="0"/>
    <n v="0"/>
    <n v="0"/>
    <n v="0"/>
    <n v="0"/>
    <n v="0"/>
    <n v="1"/>
    <n v="1"/>
    <n v="0"/>
    <n v="1"/>
    <n v="0"/>
    <n v="1"/>
    <n v="2"/>
    <n v="6"/>
    <n v="1"/>
    <n v="0"/>
    <n v="0"/>
    <n v="0"/>
    <n v="3"/>
    <n v="1"/>
    <n v="2"/>
    <n v="0.33333333333333331"/>
    <n v="0.66666666666666663"/>
    <n v="0"/>
    <n v="0"/>
    <n v="0"/>
    <s v="-"/>
    <s v="-"/>
    <n v="2"/>
    <n v="0"/>
    <n v="2"/>
    <s v="-"/>
    <s v="-"/>
    <n v="0"/>
    <n v="0"/>
    <n v="0"/>
    <s v="-"/>
    <s v="-"/>
    <n v="0"/>
    <n v="0"/>
    <n v="0"/>
    <s v="-"/>
    <s v="-"/>
    <n v="0"/>
    <n v="0"/>
    <n v="0"/>
    <s v="-"/>
    <s v="-"/>
    <n v="0"/>
    <n v="1"/>
    <n v="1"/>
    <n v="0"/>
    <n v="0"/>
    <n v="0"/>
    <n v="0"/>
    <n v="0"/>
    <n v="0"/>
    <n v="0"/>
    <n v="0"/>
    <n v="0"/>
    <n v="0"/>
    <n v="0"/>
    <n v="0"/>
    <n v="0"/>
    <x v="8"/>
  </r>
  <r>
    <x v="4"/>
    <x v="16"/>
    <x v="4"/>
    <x v="6"/>
    <n v="4"/>
    <n v="2"/>
    <n v="2"/>
    <n v="0.5"/>
    <n v="0.5"/>
    <n v="2"/>
    <n v="1"/>
    <n v="1"/>
    <n v="0.5"/>
    <n v="0.5"/>
    <n v="0"/>
    <n v="0"/>
    <n v="0"/>
    <s v="-"/>
    <s v="-"/>
    <n v="2"/>
    <n v="1"/>
    <n v="1"/>
    <n v="1"/>
    <n v="1"/>
    <n v="0"/>
    <n v="0"/>
    <n v="0"/>
    <s v="-"/>
    <s v="-"/>
    <n v="1"/>
    <n v="0"/>
    <n v="1"/>
    <n v="0"/>
    <n v="1"/>
    <n v="0"/>
    <n v="0"/>
    <n v="0"/>
    <n v="0"/>
    <s v="-"/>
    <s v="-"/>
    <n v="10"/>
    <n v="1"/>
    <n v="4"/>
    <n v="1"/>
    <n v="5"/>
    <n v="2"/>
    <n v="3"/>
    <n v="0"/>
    <n v="1"/>
    <n v="4"/>
    <n v="2"/>
    <n v="2"/>
    <n v="0.5"/>
    <n v="0.5"/>
    <n v="2"/>
    <n v="0"/>
    <n v="2"/>
    <n v="0"/>
    <n v="1"/>
    <n v="0"/>
    <n v="0"/>
    <n v="0"/>
    <n v="0"/>
    <n v="0"/>
    <n v="0"/>
    <n v="1"/>
    <n v="0"/>
    <n v="1"/>
    <n v="0"/>
    <n v="1"/>
    <n v="0"/>
    <n v="0"/>
    <n v="7"/>
    <n v="0"/>
    <n v="0"/>
    <n v="0"/>
    <n v="0"/>
    <n v="4"/>
    <n v="0"/>
    <n v="4"/>
    <n v="0"/>
    <n v="1"/>
    <n v="3"/>
    <n v="0"/>
    <n v="3"/>
    <n v="0"/>
    <n v="1"/>
    <n v="0"/>
    <n v="0"/>
    <n v="0"/>
    <s v="-"/>
    <s v="-"/>
    <n v="2"/>
    <n v="0"/>
    <n v="2"/>
    <n v="0"/>
    <n v="1"/>
    <n v="0"/>
    <n v="0"/>
    <n v="0"/>
    <s v="-"/>
    <s v="-"/>
    <n v="0"/>
    <n v="0"/>
    <n v="0"/>
    <s v="-"/>
    <s v="-"/>
    <n v="0"/>
    <n v="1"/>
    <n v="0"/>
    <n v="0"/>
    <n v="0"/>
    <n v="0"/>
    <n v="0"/>
    <n v="0"/>
    <n v="0"/>
    <n v="0"/>
    <n v="0"/>
    <n v="0"/>
    <n v="0"/>
    <n v="0"/>
    <n v="0"/>
    <n v="0"/>
    <x v="16"/>
  </r>
  <r>
    <x v="4"/>
    <x v="10"/>
    <x v="0"/>
    <x v="7"/>
    <n v="28"/>
    <n v="19"/>
    <n v="9"/>
    <n v="0.6785714285714286"/>
    <n v="0.32142857142857145"/>
    <n v="9"/>
    <n v="4"/>
    <n v="5"/>
    <n v="0.44444444444444442"/>
    <n v="0.55555555555555558"/>
    <n v="8"/>
    <n v="5"/>
    <n v="3"/>
    <n v="0.625"/>
    <n v="0.375"/>
    <n v="11"/>
    <n v="10"/>
    <n v="1"/>
    <n v="1"/>
    <n v="0.1"/>
    <n v="1"/>
    <n v="0"/>
    <n v="1"/>
    <n v="0"/>
    <n v="1"/>
    <n v="3"/>
    <n v="1"/>
    <n v="2"/>
    <n v="0.33333333333333331"/>
    <n v="0.66666666666666663"/>
    <n v="0"/>
    <n v="0"/>
    <n v="0"/>
    <n v="0"/>
    <s v="-"/>
    <s v="-"/>
    <n v="23"/>
    <n v="12"/>
    <n v="7"/>
    <n v="7"/>
    <n v="5"/>
    <n v="3"/>
    <n v="2"/>
    <n v="0"/>
    <n v="7"/>
    <n v="3"/>
    <n v="3"/>
    <n v="0"/>
    <n v="1"/>
    <n v="0"/>
    <n v="2"/>
    <n v="1"/>
    <n v="1"/>
    <n v="0.5"/>
    <n v="0.5"/>
    <n v="7"/>
    <n v="4"/>
    <n v="1"/>
    <n v="2"/>
    <n v="4"/>
    <n v="0"/>
    <n v="7"/>
    <n v="7"/>
    <n v="0"/>
    <n v="1"/>
    <n v="0"/>
    <n v="1"/>
    <n v="3"/>
    <n v="0"/>
    <n v="9"/>
    <n v="0"/>
    <n v="7"/>
    <n v="0"/>
    <n v="12"/>
    <n v="10"/>
    <n v="2"/>
    <n v="0.83333333333333337"/>
    <n v="0.16666666666666666"/>
    <n v="2"/>
    <n v="1"/>
    <n v="1"/>
    <n v="0.5"/>
    <n v="0.5"/>
    <n v="3"/>
    <n v="2"/>
    <n v="1"/>
    <n v="1"/>
    <n v="0.5"/>
    <n v="0"/>
    <n v="0"/>
    <n v="0"/>
    <s v="-"/>
    <s v="-"/>
    <n v="1"/>
    <n v="1"/>
    <n v="0"/>
    <n v="1"/>
    <n v="0"/>
    <n v="2"/>
    <n v="1"/>
    <n v="1"/>
    <n v="0.5"/>
    <n v="0.5"/>
    <n v="1"/>
    <n v="0"/>
    <n v="0"/>
    <n v="0"/>
    <n v="0"/>
    <n v="0"/>
    <n v="1"/>
    <n v="0"/>
    <n v="0"/>
    <n v="0"/>
    <n v="0"/>
    <n v="0"/>
    <n v="0"/>
    <n v="0"/>
    <n v="0"/>
    <n v="0"/>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331440-58A4-B54C-8671-EA216DAD3A42}" name="PivotTable1" cacheId="11"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2">
  <location ref="A6:CF22" firstHeaderRow="0" firstDataRow="1" firstDataCol="1" rowPageCount="4" colPageCount="1"/>
  <pivotFields count="124">
    <pivotField axis="axisPage" showAll="0">
      <items count="6">
        <item x="0"/>
        <item x="3"/>
        <item x="4"/>
        <item x="2"/>
        <item x="1"/>
        <item t="default"/>
      </items>
    </pivotField>
    <pivotField axis="axisRow" showAll="0">
      <items count="32">
        <item x="11"/>
        <item x="12"/>
        <item m="1" x="17"/>
        <item x="13"/>
        <item m="1" x="27"/>
        <item m="1" x="19"/>
        <item m="1" x="20"/>
        <item m="1" x="21"/>
        <item m="1" x="22"/>
        <item m="1" x="28"/>
        <item x="8"/>
        <item m="1" x="25"/>
        <item x="10"/>
        <item x="0"/>
        <item x="1"/>
        <item x="3"/>
        <item x="4"/>
        <item x="5"/>
        <item m="1" x="23"/>
        <item m="1" x="24"/>
        <item x="9"/>
        <item m="1" x="26"/>
        <item m="1" x="29"/>
        <item m="1" x="30"/>
        <item m="1" x="18"/>
        <item x="7"/>
        <item x="2"/>
        <item x="6"/>
        <item x="14"/>
        <item x="15"/>
        <item x="16"/>
        <item t="default"/>
      </items>
    </pivotField>
    <pivotField axis="axisPage" dataField="1" showAll="0">
      <items count="9">
        <item x="3"/>
        <item x="2"/>
        <item x="1"/>
        <item x="0"/>
        <item x="5"/>
        <item m="1" x="6"/>
        <item m="1" x="7"/>
        <item x="4"/>
        <item t="default"/>
      </items>
    </pivotField>
    <pivotField axis="axisPage" showAll="0">
      <items count="12">
        <item x="1"/>
        <item x="0"/>
        <item x="8"/>
        <item x="2"/>
        <item x="4"/>
        <item x="3"/>
        <item x="6"/>
        <item x="5"/>
        <item x="9"/>
        <item x="7"/>
        <item m="1" x="10"/>
        <item t="default"/>
      </items>
    </pivotField>
    <pivotField dataField="1" showAll="0"/>
    <pivotField dataField="1" showAll="0"/>
    <pivotField dataField="1" showAll="0"/>
    <pivotField showAll="0"/>
    <pivotField showAll="0"/>
    <pivotField dataField="1" showAll="0"/>
    <pivotField dataField="1" showAll="0"/>
    <pivotField dataFiel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dataField="1" numFmtId="1" showAll="0"/>
    <pivotField showAll="0"/>
    <pivotField showAll="0"/>
    <pivotField dataField="1" showAll="0"/>
    <pivotField showAll="0"/>
    <pivotField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showAll="0"/>
    <pivotField dataFiel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showAll="0"/>
    <pivotField showAll="0"/>
    <pivotField dataField="1" numFmtI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dataField="1" showAll="0"/>
    <pivotField dataField="1" showAll="0"/>
    <pivotField dataFiel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showAll="0"/>
    <pivotField dataField="1" showAll="0"/>
    <pivotField axis="axisPage" showAll="0">
      <items count="32">
        <item x="12"/>
        <item x="11"/>
        <item m="1" x="17"/>
        <item x="13"/>
        <item m="1" x="27"/>
        <item m="1" x="19"/>
        <item m="1" x="20"/>
        <item m="1" x="21"/>
        <item m="1" x="22"/>
        <item m="1" x="28"/>
        <item x="8"/>
        <item m="1" x="25"/>
        <item x="10"/>
        <item x="0"/>
        <item x="1"/>
        <item x="3"/>
        <item x="4"/>
        <item x="5"/>
        <item m="1" x="23"/>
        <item m="1" x="24"/>
        <item x="9"/>
        <item m="1" x="26"/>
        <item m="1" x="29"/>
        <item m="1" x="30"/>
        <item m="1" x="18"/>
        <item x="7"/>
        <item x="2"/>
        <item x="6"/>
        <item x="14"/>
        <item x="15"/>
        <item x="16"/>
        <item t="default"/>
      </items>
    </pivotField>
  </pivotFields>
  <rowFields count="1">
    <field x="1"/>
  </rowFields>
  <rowItems count="16">
    <i>
      <x v="3"/>
    </i>
    <i>
      <x v="10"/>
    </i>
    <i>
      <x v="12"/>
    </i>
    <i>
      <x v="13"/>
    </i>
    <i>
      <x v="14"/>
    </i>
    <i>
      <x v="15"/>
    </i>
    <i>
      <x v="16"/>
    </i>
    <i>
      <x v="17"/>
    </i>
    <i>
      <x v="20"/>
    </i>
    <i>
      <x v="25"/>
    </i>
    <i>
      <x v="26"/>
    </i>
    <i>
      <x v="27"/>
    </i>
    <i>
      <x v="28"/>
    </i>
    <i>
      <x v="29"/>
    </i>
    <i>
      <x v="30"/>
    </i>
    <i t="grand">
      <x/>
    </i>
  </rowItems>
  <colFields count="1">
    <field x="-2"/>
  </colFields>
  <colItems count="83">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i i="61">
      <x v="61"/>
    </i>
    <i i="62">
      <x v="62"/>
    </i>
    <i i="63">
      <x v="63"/>
    </i>
    <i i="64">
      <x v="64"/>
    </i>
    <i i="65">
      <x v="65"/>
    </i>
    <i i="66">
      <x v="66"/>
    </i>
    <i i="67">
      <x v="67"/>
    </i>
    <i i="68">
      <x v="68"/>
    </i>
    <i i="69">
      <x v="69"/>
    </i>
    <i i="70">
      <x v="70"/>
    </i>
    <i i="71">
      <x v="71"/>
    </i>
    <i i="72">
      <x v="72"/>
    </i>
    <i i="73">
      <x v="73"/>
    </i>
    <i i="74">
      <x v="74"/>
    </i>
    <i i="75">
      <x v="75"/>
    </i>
    <i i="76">
      <x v="76"/>
    </i>
    <i i="77">
      <x v="77"/>
    </i>
    <i i="78">
      <x v="78"/>
    </i>
    <i i="79">
      <x v="79"/>
    </i>
    <i i="80">
      <x v="80"/>
    </i>
    <i i="81">
      <x v="81"/>
    </i>
    <i i="82">
      <x v="82"/>
    </i>
  </colItems>
  <pageFields count="4">
    <pageField fld="3" hier="-1"/>
    <pageField fld="2" hier="-1"/>
    <pageField fld="0" item="2" hier="-1"/>
    <pageField fld="123" hier="-1"/>
  </pageFields>
  <dataFields count="83">
    <dataField name="Sum of Turnover Won" fld="109" baseField="0" baseItem="0"/>
    <dataField name="Sum of Total Half-space Runs" fld="76" baseField="0" baseItem="0"/>
    <dataField name="Sum of Unsuccesful Defensive Duel" fld="84" baseField="0" baseItem="0"/>
    <dataField name="Sum of Successful Defensive Duel" fld="83" baseField="0" baseItem="0"/>
    <dataField name="Sum of Total Defensive Duel" fld="82" baseField="0" baseItem="0"/>
    <dataField name="Sum of Total Acceleration" fld="70" baseField="0" baseItem="0"/>
    <dataField name="Sum of Total Into Pocket" fld="71" baseField="0" baseItem="0"/>
    <dataField name="Sum of Total Wide Area" fld="72" baseField="0" baseItem="0"/>
    <dataField name="Sum of Total Back to Goal" fld="73" baseField="0" baseItem="0"/>
    <dataField name="Sum of Total Over/Underlaps" fld="74" baseField="0" baseItem="0"/>
    <dataField name="Sum of Total Runs in Behind" fld="75" baseField="0" baseItem="0"/>
    <dataField name="Sum of Total Pass Received" fld="40" baseField="0" baseItem="0"/>
    <dataField name="Sum of Duration (mins)" fld="2" baseField="0" baseItem="0"/>
    <dataField name="Sum of Save" fld="120" baseField="0" baseItem="0" numFmtId="1"/>
    <dataField name="Sum of Goal Conceded" fld="119" baseField="0" baseItem="0" numFmtId="1"/>
    <dataField name="Sum of Counter Kick" fld="122" baseField="0" baseItem="0"/>
    <dataField name="Sum of Defend the line (Cross)" fld="121" baseField="0" baseItem="0"/>
    <dataField name="Sum of Defence the Space" fld="118" baseField="0" baseItem="0" numFmtId="1"/>
    <dataField name="Sum of GK Off Target" fld="117" baseField="0" baseItem="0" numFmtId="1"/>
    <dataField name="Sum of GK On target" fld="116" baseField="0" baseItem="0" numFmtId="1"/>
    <dataField name="Sum of GK 1v1" fld="115" baseField="0" baseItem="0" numFmtId="1"/>
    <dataField name="Sum of Fouls" fld="113" baseField="0" baseItem="0" numFmtId="1"/>
    <dataField name="Sum of Won Fouls" fld="114" baseField="0" baseItem="0" numFmtId="1"/>
    <dataField name="Sum of Missed Man-marking" fld="112" baseField="0" baseItem="0" numFmtId="1"/>
    <dataField name="Sum of Blocked Shots" fld="111" baseField="0" baseItem="0" numFmtId="1"/>
    <dataField name="Sum of Recovery" fld="110" baseField="0" baseItem="0" numFmtId="1"/>
    <dataField name="Sum of Interception" fld="108" baseField="0" baseItem="0" numFmtId="1"/>
    <dataField name="Sum of Clearance" fld="107" baseField="0" baseItem="0" numFmtId="1"/>
    <dataField name="Sum of Unsuccessful 2nd Ball" fld="104" baseField="0" baseItem="0" numFmtId="1"/>
    <dataField name="Sum of Successful 2nd Ball" fld="103" baseField="0" baseItem="0" numFmtId="1"/>
    <dataField name="Sum of Total 2nd Ball" fld="102" baseField="0" baseItem="0" numFmtId="1"/>
    <dataField name="Sum of Unsuccessful Tackles" fld="99" baseField="0" baseItem="0" numFmtId="1"/>
    <dataField name="Sum of Successful Tackles" fld="98" baseField="0" baseItem="0" numFmtId="1"/>
    <dataField name="Sum of Total Tackles" fld="97" baseField="0" baseItem="0" numFmtId="1"/>
    <dataField name="Sum of Unsuccessful 1v1 Defence" fld="94" baseField="0" baseItem="0" numFmtId="1"/>
    <dataField name="Sum of Successful 1v1 Defence" fld="93" baseField="0" baseItem="0" numFmtId="1"/>
    <dataField name="Sum of Total 1v1 Defence" fld="92" baseField="0" baseItem="0" numFmtId="1"/>
    <dataField name="Sum of Unsuccessful Aerial Duel" fld="89" baseField="0" baseItem="0" numFmtId="1"/>
    <dataField name="Sum of Succesful Aerial Duel" fld="88" baseField="0" baseItem="0" numFmtId="1"/>
    <dataField name="Sum of Total Aerial Duel" fld="87" baseField="0" baseItem="0" numFmtId="1"/>
    <dataField name="Sum of Unsuccessful Offensive Duel" fld="67" baseField="0" baseItem="0" numFmtId="1"/>
    <dataField name="Sum of Successful Offensive Duel" fld="66" baseField="0" baseItem="0" numFmtId="1"/>
    <dataField name="Sum of Total Offensive Duel" fld="65" baseField="0" baseItem="0" numFmtId="1"/>
    <dataField name="Sum of Assist" fld="64" baseField="0" baseItem="0" numFmtId="1"/>
    <dataField name="Sum of Goal" fld="63" baseField="0" baseItem="0" numFmtId="1"/>
    <dataField name="Sum of Blocked" fld="62" baseField="0" baseItem="0" numFmtId="1"/>
    <dataField name="Sum of On Target" fld="60" baseField="0" baseItem="0" numFmtId="1"/>
    <dataField name="Sum of Off Target" fld="61" baseField="0" baseItem="0" numFmtId="1"/>
    <dataField name="Sum of Total Shots" fld="59" baseField="0" baseItem="0" numFmtId="1"/>
    <dataField name="Sum of Uncompleted Cross" fld="56" baseField="0" baseItem="0" numFmtId="1"/>
    <dataField name="Sum of Completed Cross" fld="55" baseField="0" baseItem="0" numFmtId="1"/>
    <dataField name="Sum of Total Cross" fld="54" baseField="0" baseItem="0" numFmtId="1"/>
    <dataField name="Sum of Unsuccessful 1v1" fld="51" baseField="0" baseItem="0"/>
    <dataField name="Sum of Successful 1v1" fld="50" baseField="0" baseItem="0"/>
    <dataField name="Sum of Total 1v1" fld="49" baseField="0" baseItem="0" numFmtId="1"/>
    <dataField name="Sum of Touches in the Box" fld="48" baseField="0" baseItem="0" numFmtId="1"/>
    <dataField name="Sum of Ball Lost in Own 1/3" fld="47" baseField="0" baseItem="0" numFmtId="1"/>
    <dataField name="Sum of Ball Lost in Middle 1/3" fld="46" baseField="0" baseItem="0" numFmtId="1"/>
    <dataField name="Sum of Ball Lost in Final 1/3" fld="45" baseField="0" baseItem="0" numFmtId="1"/>
    <dataField name="Sum of Ball Lost" fld="44" baseField="0" baseItem="0" numFmtId="1"/>
    <dataField name="Sum of Ball Kept" fld="43" baseField="0" baseItem="0" numFmtId="1"/>
    <dataField name="Sum of Uncompleted Diagonal Passes" fld="37" baseField="0" baseItem="0" numFmtId="1"/>
    <dataField name="Sum of Completed Diagonal Passes" fld="36" baseField="0" baseItem="0" numFmtId="1"/>
    <dataField name="Sum of Total Diagonal Passes" fld="35" baseField="0" baseItem="0" numFmtId="1"/>
    <dataField name="Sum of Total Through Passes" fld="34" baseField="0" baseItem="0" numFmtId="1"/>
    <dataField name="Sum of Uncompleted Balls in Behind" fld="31" baseField="0" baseItem="0" numFmtId="1"/>
    <dataField name="Sum of Completed Balls in Behind" fld="30" baseField="0" baseItem="0" numFmtId="1"/>
    <dataField name="Sum of Total Balls in Behind" fld="29" baseField="0" baseItem="0" numFmtId="1"/>
    <dataField name="Sum of Uncompleted Long Passes" fld="26" baseField="0" baseItem="0" numFmtId="1"/>
    <dataField name="Sum of Completed Long Passes" fld="25" baseField="0" baseItem="0" numFmtId="1"/>
    <dataField name="Sum of Total Long Passes" fld="24" baseField="0" baseItem="0" numFmtId="1"/>
    <dataField name="Sum of Uncompleted Backward Passes" fld="21" baseField="0" baseItem="0" numFmtId="1"/>
    <dataField name="Sum of Completed Backward Passes" fld="20" baseField="0" baseItem="0" numFmtId="1"/>
    <dataField name="Sum of Total Backward Passes" fld="19" baseField="0" baseItem="0" numFmtId="1"/>
    <dataField name="Sum of Uncompleted Lateral Passes" fld="16" baseField="0" baseItem="0" numFmtId="1"/>
    <dataField name="Sum of Completed Lateral Passes" fld="15" baseField="0" baseItem="0" numFmtId="1"/>
    <dataField name="Sum of Total Lateral Passes" fld="14" baseField="0" baseItem="0" numFmtId="1"/>
    <dataField name="Sum of Uncompleted Forward Passes" fld="11" baseField="0" baseItem="0"/>
    <dataField name="Sum of Completed Forward Passes" fld="10" baseField="0" baseItem="0"/>
    <dataField name="Sum of Total Forward Passes" fld="9" baseField="0" baseItem="0"/>
    <dataField name="Sum of Uncompleted Passes" fld="6" baseField="0" baseItem="0"/>
    <dataField name="Sum of Completed Passes" fld="5" baseField="0" baseItem="0"/>
    <dataField name="Sum of Total Pass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1" xr10:uid="{896B0D1A-14E0-5844-85E2-21053260DC57}" sourceName="Position">
  <pivotTables>
    <pivotTable tabId="12" name="PivotTable1"/>
  </pivotTables>
  <data>
    <tabular pivotCacheId="1162592132">
      <items count="11">
        <i x="1" s="1"/>
        <i x="4" s="1"/>
        <i x="0" s="1"/>
        <i x="3" s="1"/>
        <i x="5" s="1"/>
        <i x="2" s="1"/>
        <i x="6" s="1"/>
        <i x="7" s="1"/>
        <i x="10" s="1" nd="1"/>
        <i x="9" s="1" nd="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 xr10:uid="{75074900-4E69-DB45-9E3A-3A5F9B0ADA36}" sourceName="Time">
  <pivotTables>
    <pivotTable tabId="12" name="PivotTable1"/>
  </pivotTables>
  <data>
    <tabular pivotCacheId="1162592132">
      <items count="5">
        <i x="0"/>
        <i x="3"/>
        <i x="4" s="1"/>
        <i x="2"/>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_2" xr10:uid="{8D7DB5E9-D467-784E-9C40-D7475CDEF4A7}" sourceName="Player 2">
  <pivotTables>
    <pivotTable tabId="12" name="PivotTable1"/>
  </pivotTables>
  <data>
    <tabular pivotCacheId="1162592132">
      <items count="31">
        <i x="4" s="1"/>
        <i x="8" s="1"/>
        <i x="7" s="1"/>
        <i x="2" s="1"/>
        <i x="14" s="1"/>
        <i x="9" s="1"/>
        <i x="0" s="1"/>
        <i x="1" s="1"/>
        <i x="16" s="1"/>
        <i x="6" s="1"/>
        <i x="3" s="1"/>
        <i x="13" s="1"/>
        <i x="15" s="1"/>
        <i x="10" s="1"/>
        <i x="5" s="1"/>
        <i x="27" s="1" nd="1"/>
        <i x="18" s="1" nd="1"/>
        <i x="30" s="1" nd="1"/>
        <i x="25" s="1" nd="1"/>
        <i x="22" s="1" nd="1"/>
        <i x="26" s="1" nd="1"/>
        <i x="23" s="1" nd="1"/>
        <i x="21" s="1" nd="1"/>
        <i x="17" s="1" nd="1"/>
        <i x="12" s="1" nd="1"/>
        <i x="29" s="1" nd="1"/>
        <i x="20" s="1" nd="1"/>
        <i x="19" s="1" nd="1"/>
        <i x="28" s="1" nd="1"/>
        <i x="24" s="1" nd="1"/>
        <i x="1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ition 3" xr10:uid="{6C93E4ED-0F83-474C-A33F-2FDD1F2F9AD4}" cache="Slicer_Position1" caption="Position" rowHeight="251883"/>
  <slicer name="Time 1" xr10:uid="{1A64E7F6-FB95-E74B-918E-DEC79E2E6869}" cache="Slicer_Time" caption="Time" rowHeight="251883"/>
  <slicer name="Player 3" xr10:uid="{F9E7D1D5-EDAE-A241-B7AC-5FA4345792C2}" cache="Slicer_Player_2" caption="Player 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ition 2" xr10:uid="{E97BEBDB-B1FC-5C4F-891C-5DB67E217A57}" cache="Slicer_Position1" caption="Position" rowHeight="251883"/>
  <slicer name="Time" xr10:uid="{EE68E3A5-0083-D044-A83A-BE8180D3DF70}" cache="Slicer_Time" caption="Time" rowHeight="251883"/>
  <slicer name="Player 2" xr10:uid="{97878B06-B1D3-A346-A7FA-3C6DCBA78D09}" cache="Slicer_Player_2" caption="Player 2" startItem="23"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C7B4F-83D7-D741-8A85-FCDC3BE5FB87}">
  <dimension ref="A1:AF74"/>
  <sheetViews>
    <sheetView showGridLines="0" topLeftCell="A24" zoomScale="105" zoomScaleNormal="100" workbookViewId="0">
      <selection activeCell="T43" sqref="T43"/>
    </sheetView>
  </sheetViews>
  <sheetFormatPr baseColWidth="10" defaultRowHeight="16"/>
  <cols>
    <col min="1" max="13" width="7.83203125" style="5" customWidth="1"/>
    <col min="14" max="14" width="7.5" style="5" customWidth="1"/>
    <col min="15" max="15" width="0.83203125" style="5" hidden="1" customWidth="1"/>
    <col min="16" max="28" width="7.83203125" style="5" customWidth="1"/>
    <col min="29" max="16384" width="10.83203125" style="5"/>
  </cols>
  <sheetData>
    <row r="1" spans="2:28" ht="25" customHeight="1"/>
    <row r="2" spans="2:28" ht="25" customHeight="1"/>
    <row r="3" spans="2:28" ht="25" customHeight="1"/>
    <row r="4" spans="2:28" ht="25" customHeight="1"/>
    <row r="5" spans="2:28" ht="25" customHeight="1"/>
    <row r="6" spans="2:28" ht="25" customHeight="1"/>
    <row r="7" spans="2:28" ht="25" customHeight="1">
      <c r="J7"/>
      <c r="R7" s="30"/>
    </row>
    <row r="8" spans="2:28" ht="25" customHeight="1">
      <c r="H8" s="6"/>
    </row>
    <row r="9" spans="2:28" ht="25" customHeight="1">
      <c r="H9" s="6"/>
      <c r="I9" s="190" t="e" vm="1">
        <v>#VALUE!</v>
      </c>
      <c r="J9" s="190"/>
      <c r="K9" s="190"/>
      <c r="L9" s="190"/>
      <c r="R9" s="190" t="e" vm="2">
        <v>#VALUE!</v>
      </c>
      <c r="S9" s="190"/>
      <c r="T9" s="190"/>
      <c r="U9" s="190"/>
      <c r="V9" s="195" t="s">
        <v>334</v>
      </c>
      <c r="W9" s="195"/>
      <c r="X9" s="195"/>
      <c r="Y9" s="195" t="s">
        <v>416</v>
      </c>
      <c r="Z9" s="195"/>
      <c r="AA9" s="85" t="s">
        <v>415</v>
      </c>
      <c r="AB9" s="37"/>
    </row>
    <row r="10" spans="2:28" ht="25" customHeight="1">
      <c r="H10" s="6"/>
      <c r="I10" s="190"/>
      <c r="J10" s="190"/>
      <c r="K10" s="190"/>
      <c r="L10" s="190"/>
      <c r="R10" s="190"/>
      <c r="S10" s="190"/>
      <c r="T10" s="190"/>
      <c r="U10" s="190"/>
      <c r="V10" s="167"/>
      <c r="W10" s="167"/>
      <c r="X10" s="167"/>
      <c r="Y10" s="191"/>
      <c r="Z10" s="191"/>
      <c r="AA10" s="60"/>
      <c r="AB10" s="6"/>
    </row>
    <row r="11" spans="2:28" ht="25" customHeight="1">
      <c r="F11" s="194">
        <f>Dashboard!P4</f>
        <v>51.342595639765065</v>
      </c>
      <c r="G11" s="194"/>
      <c r="H11" s="6"/>
      <c r="I11" s="190"/>
      <c r="J11" s="190"/>
      <c r="K11" s="190"/>
      <c r="L11" s="190"/>
      <c r="M11" s="196">
        <f>Dashboard!M4</f>
        <v>4</v>
      </c>
      <c r="N11" s="196"/>
      <c r="P11" s="197">
        <f>Dashboard!N4</f>
        <v>4</v>
      </c>
      <c r="Q11" s="197"/>
      <c r="R11" s="190"/>
      <c r="S11" s="190"/>
      <c r="T11" s="190"/>
      <c r="U11" s="190"/>
      <c r="V11" s="167"/>
      <c r="W11" s="167"/>
      <c r="X11" s="167"/>
      <c r="Y11" s="191"/>
      <c r="Z11" s="191"/>
      <c r="AA11" s="60"/>
      <c r="AB11" s="6"/>
    </row>
    <row r="12" spans="2:28" ht="25" customHeight="1">
      <c r="F12" s="194"/>
      <c r="G12" s="194"/>
      <c r="H12" s="6"/>
      <c r="I12" s="190"/>
      <c r="J12" s="190"/>
      <c r="K12" s="190"/>
      <c r="L12" s="190"/>
      <c r="M12" s="196"/>
      <c r="N12" s="196"/>
      <c r="P12" s="197"/>
      <c r="Q12" s="197"/>
      <c r="R12" s="190"/>
      <c r="S12" s="190"/>
      <c r="T12" s="190"/>
      <c r="U12" s="190"/>
      <c r="V12" s="167"/>
      <c r="W12" s="167"/>
      <c r="X12" s="167"/>
      <c r="Y12" s="191"/>
      <c r="Z12" s="191"/>
      <c r="AA12" s="60"/>
    </row>
    <row r="13" spans="2:28" ht="25" customHeight="1">
      <c r="F13" s="190" t="s">
        <v>123</v>
      </c>
      <c r="G13" s="190"/>
      <c r="H13" s="6"/>
      <c r="I13" s="190"/>
      <c r="J13" s="190"/>
      <c r="K13" s="190"/>
      <c r="L13" s="190"/>
      <c r="M13" s="196"/>
      <c r="N13" s="196"/>
      <c r="P13" s="197"/>
      <c r="Q13" s="197"/>
      <c r="R13" s="190"/>
      <c r="S13" s="190"/>
      <c r="T13" s="190"/>
      <c r="U13" s="190"/>
      <c r="V13" s="192"/>
      <c r="W13" s="192"/>
      <c r="X13" s="192"/>
      <c r="Y13" s="192"/>
      <c r="Z13" s="192"/>
      <c r="AA13" s="25"/>
    </row>
    <row r="14" spans="2:28" ht="25" customHeight="1" thickBot="1">
      <c r="E14" s="6"/>
      <c r="F14" s="6"/>
      <c r="G14" s="6"/>
      <c r="H14" s="6"/>
      <c r="I14" s="190"/>
      <c r="J14" s="190"/>
      <c r="K14" s="190"/>
      <c r="L14" s="190"/>
      <c r="M14" s="6"/>
      <c r="N14" s="6"/>
      <c r="R14" s="190"/>
      <c r="S14" s="190"/>
      <c r="T14" s="190"/>
      <c r="U14" s="190"/>
      <c r="V14" s="192"/>
      <c r="W14" s="192"/>
      <c r="X14" s="192"/>
      <c r="Y14" s="193"/>
      <c r="Z14" s="193"/>
    </row>
    <row r="15" spans="2:28" ht="25" customHeight="1" thickBot="1">
      <c r="C15" s="87"/>
      <c r="D15" s="87"/>
      <c r="E15" s="90"/>
      <c r="F15" s="140" t="s">
        <v>221</v>
      </c>
      <c r="G15" s="141"/>
      <c r="H15" s="142"/>
      <c r="I15" s="146">
        <f>Dashboard!V4</f>
        <v>0.60437950879095792</v>
      </c>
      <c r="J15" s="147"/>
      <c r="T15" s="150">
        <f>Dashboard!W4</f>
        <v>0.39562049120904202</v>
      </c>
      <c r="U15" s="151"/>
      <c r="V15" s="154" t="s">
        <v>122</v>
      </c>
      <c r="W15" s="154"/>
      <c r="X15" s="155"/>
      <c r="Y15" s="6"/>
    </row>
    <row r="16" spans="2:28" ht="25" customHeight="1" thickBot="1">
      <c r="B16" s="86"/>
      <c r="C16" s="253" t="s">
        <v>640</v>
      </c>
      <c r="D16" s="253"/>
      <c r="E16" s="253"/>
      <c r="F16" s="143"/>
      <c r="G16" s="144"/>
      <c r="H16" s="145"/>
      <c r="I16" s="148"/>
      <c r="J16" s="149"/>
      <c r="K16" s="88"/>
      <c r="T16" s="152"/>
      <c r="U16" s="153"/>
      <c r="V16" s="156"/>
      <c r="W16" s="156"/>
      <c r="X16" s="157"/>
      <c r="Y16" s="136" t="s">
        <v>183</v>
      </c>
      <c r="Z16" s="158"/>
      <c r="AA16" s="137"/>
    </row>
    <row r="17" spans="1:29" ht="25" customHeight="1" thickBot="1">
      <c r="B17" s="86"/>
      <c r="C17" s="217" t="s">
        <v>180</v>
      </c>
      <c r="D17" s="218"/>
      <c r="E17" s="219"/>
      <c r="F17" s="91"/>
      <c r="G17" s="92"/>
      <c r="H17" s="92"/>
      <c r="I17" s="93"/>
      <c r="J17" s="93"/>
      <c r="T17" s="27"/>
      <c r="U17" s="27"/>
      <c r="V17" s="17"/>
      <c r="W17" s="17"/>
      <c r="X17" s="17"/>
      <c r="Y17" s="159" t="s">
        <v>180</v>
      </c>
      <c r="Z17" s="160"/>
      <c r="AA17" s="161"/>
    </row>
    <row r="18" spans="1:29" ht="25" customHeight="1" thickBot="1">
      <c r="B18" s="86"/>
      <c r="C18" s="220">
        <f>Dashboard!DT4</f>
        <v>28</v>
      </c>
      <c r="D18" s="221"/>
      <c r="E18" s="222"/>
      <c r="F18" s="140" t="s">
        <v>221</v>
      </c>
      <c r="G18" s="141"/>
      <c r="H18" s="142"/>
      <c r="I18" s="223">
        <f>Dashboard!DS4</f>
        <v>35</v>
      </c>
      <c r="J18" s="209"/>
      <c r="T18" s="212">
        <f>Dashboard!DU4</f>
        <v>54</v>
      </c>
      <c r="U18" s="213"/>
      <c r="V18" s="154" t="s">
        <v>122</v>
      </c>
      <c r="W18" s="154"/>
      <c r="X18" s="155"/>
      <c r="Y18" s="168">
        <f>Dashboard!DV4</f>
        <v>24</v>
      </c>
      <c r="Z18" s="169"/>
      <c r="AA18" s="170"/>
    </row>
    <row r="19" spans="1:29" ht="25" customHeight="1" thickBot="1">
      <c r="B19" s="86"/>
      <c r="C19" s="173" t="s">
        <v>181</v>
      </c>
      <c r="D19" s="174"/>
      <c r="E19" s="175"/>
      <c r="F19" s="143"/>
      <c r="G19" s="144"/>
      <c r="H19" s="145"/>
      <c r="I19" s="224"/>
      <c r="J19" s="211"/>
      <c r="T19" s="214"/>
      <c r="U19" s="215"/>
      <c r="V19" s="156"/>
      <c r="W19" s="156"/>
      <c r="X19" s="157"/>
      <c r="Y19" s="159" t="s">
        <v>181</v>
      </c>
      <c r="Z19" s="160"/>
      <c r="AA19" s="161"/>
    </row>
    <row r="20" spans="1:29" ht="25" customHeight="1" thickBot="1">
      <c r="B20" s="86"/>
      <c r="C20" s="162">
        <f>Dashboard!DF4</f>
        <v>6</v>
      </c>
      <c r="D20" s="163"/>
      <c r="E20" s="164"/>
      <c r="F20" s="89"/>
      <c r="G20" s="87"/>
      <c r="H20" s="87"/>
      <c r="I20" s="87"/>
      <c r="J20" s="87"/>
      <c r="Y20" s="168">
        <f>Dashboard!DL4</f>
        <v>9</v>
      </c>
      <c r="Z20" s="169"/>
      <c r="AA20" s="170"/>
    </row>
    <row r="21" spans="1:29" ht="25" customHeight="1" thickBot="1">
      <c r="B21" s="86"/>
      <c r="C21" s="173" t="s">
        <v>182</v>
      </c>
      <c r="D21" s="174"/>
      <c r="E21" s="175"/>
      <c r="F21" s="140" t="s">
        <v>221</v>
      </c>
      <c r="G21" s="141"/>
      <c r="H21" s="141"/>
      <c r="I21" s="208">
        <f>Dashboard!DX4</f>
        <v>13</v>
      </c>
      <c r="J21" s="209"/>
      <c r="T21" s="212">
        <f>Dashboard!DY4</f>
        <v>18</v>
      </c>
      <c r="U21" s="213"/>
      <c r="V21" s="154" t="s">
        <v>122</v>
      </c>
      <c r="W21" s="154"/>
      <c r="X21" s="155"/>
      <c r="Y21" s="159" t="s">
        <v>182</v>
      </c>
      <c r="Z21" s="160"/>
      <c r="AA21" s="161"/>
    </row>
    <row r="22" spans="1:29" ht="25" customHeight="1" thickBot="1">
      <c r="B22" s="86"/>
      <c r="C22" s="216">
        <f>Dashboard!CU4</f>
        <v>1</v>
      </c>
      <c r="D22" s="190"/>
      <c r="E22" s="200"/>
      <c r="F22" s="143"/>
      <c r="G22" s="144"/>
      <c r="H22" s="144"/>
      <c r="I22" s="210"/>
      <c r="J22" s="211"/>
      <c r="K22" s="87"/>
      <c r="L22" s="87"/>
      <c r="M22" s="87"/>
      <c r="N22" s="87"/>
      <c r="T22" s="214"/>
      <c r="U22" s="215"/>
      <c r="V22" s="156"/>
      <c r="W22" s="156"/>
      <c r="X22" s="157"/>
      <c r="Y22" s="168">
        <f>Dashboard!DB4</f>
        <v>21</v>
      </c>
      <c r="Z22" s="169"/>
      <c r="AA22" s="170"/>
    </row>
    <row r="23" spans="1:29" ht="25" customHeight="1" thickBot="1">
      <c r="C23" s="94"/>
      <c r="D23" s="198" t="s">
        <v>213</v>
      </c>
      <c r="E23" s="171"/>
      <c r="F23" s="172"/>
      <c r="G23" s="171" t="s">
        <v>212</v>
      </c>
      <c r="H23" s="171"/>
      <c r="I23" s="172"/>
      <c r="J23" s="144" t="s">
        <v>641</v>
      </c>
      <c r="K23" s="144"/>
      <c r="L23" s="144"/>
      <c r="M23" s="144"/>
      <c r="N23" s="252"/>
      <c r="P23" s="254" t="s">
        <v>128</v>
      </c>
      <c r="Q23" s="132"/>
      <c r="R23" s="132"/>
      <c r="S23" s="132"/>
      <c r="T23" s="133"/>
      <c r="U23" s="136" t="s">
        <v>214</v>
      </c>
      <c r="V23" s="158"/>
      <c r="W23" s="137"/>
      <c r="X23" s="136" t="s">
        <v>213</v>
      </c>
      <c r="Y23" s="158"/>
      <c r="Z23" s="137"/>
    </row>
    <row r="24" spans="1:29" ht="25" customHeight="1" thickBot="1">
      <c r="C24" s="86"/>
      <c r="D24" s="173" t="s">
        <v>207</v>
      </c>
      <c r="E24" s="174"/>
      <c r="F24" s="175"/>
      <c r="G24" s="173" t="s">
        <v>562</v>
      </c>
      <c r="H24" s="174"/>
      <c r="I24" s="175"/>
      <c r="M24" s="176">
        <f>Dashboard!X4</f>
        <v>12</v>
      </c>
      <c r="N24" s="177"/>
      <c r="P24" s="180">
        <f>Dashboard!AN4</f>
        <v>25</v>
      </c>
      <c r="Q24" s="181"/>
      <c r="R24" s="72"/>
      <c r="S24" s="73"/>
      <c r="T24" s="74"/>
      <c r="U24" s="184" t="s">
        <v>566</v>
      </c>
      <c r="V24" s="185"/>
      <c r="W24" s="186"/>
      <c r="X24" s="159" t="s">
        <v>209</v>
      </c>
      <c r="Y24" s="160"/>
      <c r="Z24" s="161"/>
    </row>
    <row r="25" spans="1:29" ht="25" customHeight="1" thickBot="1">
      <c r="C25" s="86"/>
      <c r="D25" s="163">
        <f>Dashboard!AH4</f>
        <v>2</v>
      </c>
      <c r="E25" s="163"/>
      <c r="F25" s="164"/>
      <c r="G25" s="162">
        <f>Dashboard!AG4</f>
        <v>4</v>
      </c>
      <c r="H25" s="163"/>
      <c r="I25" s="164"/>
      <c r="L25" s="98"/>
      <c r="M25" s="178"/>
      <c r="N25" s="179"/>
      <c r="P25" s="182"/>
      <c r="Q25" s="183"/>
      <c r="R25" s="42"/>
      <c r="T25" s="29"/>
      <c r="U25" s="204">
        <f>Dashboard!AW4</f>
        <v>4</v>
      </c>
      <c r="V25" s="205"/>
      <c r="W25" s="206"/>
      <c r="X25" s="168">
        <f>Dashboard!AX4</f>
        <v>4</v>
      </c>
      <c r="Y25" s="169"/>
      <c r="Z25" s="170"/>
      <c r="AC25" s="13">
        <f>L27/$L$26</f>
        <v>0.45454545454545453</v>
      </c>
    </row>
    <row r="26" spans="1:29" ht="25" customHeight="1" thickBot="1">
      <c r="C26" s="86"/>
      <c r="D26" s="173" t="s">
        <v>206</v>
      </c>
      <c r="E26" s="174"/>
      <c r="F26" s="175"/>
      <c r="G26" s="173" t="s">
        <v>563</v>
      </c>
      <c r="H26" s="174"/>
      <c r="I26" s="175"/>
      <c r="K26" s="86"/>
      <c r="L26" s="63">
        <f>SUM(L27:L29)</f>
        <v>11</v>
      </c>
      <c r="M26" s="165" t="s">
        <v>150</v>
      </c>
      <c r="N26" s="201"/>
      <c r="P26" s="202" t="s">
        <v>150</v>
      </c>
      <c r="Q26" s="203"/>
      <c r="R26" s="69">
        <f>SUM(R27:R29)</f>
        <v>23</v>
      </c>
      <c r="T26" s="29"/>
      <c r="U26" s="159" t="s">
        <v>567</v>
      </c>
      <c r="V26" s="160"/>
      <c r="W26" s="161"/>
      <c r="X26" s="159" t="s">
        <v>210</v>
      </c>
      <c r="Y26" s="160"/>
      <c r="Z26" s="161"/>
      <c r="AC26" s="13">
        <f t="shared" ref="AC26:AC27" si="0">L28/$L$26</f>
        <v>0.27272727272727271</v>
      </c>
    </row>
    <row r="27" spans="1:29" ht="25" customHeight="1" thickBot="1">
      <c r="C27" s="86"/>
      <c r="D27" s="163">
        <f>Dashboard!AI4</f>
        <v>3</v>
      </c>
      <c r="E27" s="163"/>
      <c r="F27" s="164"/>
      <c r="G27" s="162">
        <f>Dashboard!AK4</f>
        <v>5</v>
      </c>
      <c r="H27" s="163"/>
      <c r="I27" s="164"/>
      <c r="K27" s="86"/>
      <c r="L27" s="99">
        <f>Dashboard!Z4</f>
        <v>5</v>
      </c>
      <c r="M27" s="165" t="s">
        <v>38</v>
      </c>
      <c r="N27" s="166"/>
      <c r="P27" s="167" t="s">
        <v>38</v>
      </c>
      <c r="Q27" s="167"/>
      <c r="R27" s="70">
        <f>Dashboard!AP4</f>
        <v>10</v>
      </c>
      <c r="S27" s="42"/>
      <c r="T27" s="29"/>
      <c r="U27" s="168">
        <f>Dashboard!BA4</f>
        <v>17</v>
      </c>
      <c r="V27" s="169"/>
      <c r="W27" s="170"/>
      <c r="X27" s="168">
        <f>Dashboard!AY4</f>
        <v>2</v>
      </c>
      <c r="Y27" s="169"/>
      <c r="Z27" s="170"/>
      <c r="AC27" s="13">
        <f t="shared" si="0"/>
        <v>0.27272727272727271</v>
      </c>
    </row>
    <row r="28" spans="1:29" ht="25" customHeight="1" thickBot="1">
      <c r="C28" s="86"/>
      <c r="D28" s="173" t="s">
        <v>208</v>
      </c>
      <c r="E28" s="174"/>
      <c r="F28" s="175"/>
      <c r="G28" s="173" t="s">
        <v>564</v>
      </c>
      <c r="H28" s="174"/>
      <c r="I28" s="175"/>
      <c r="K28" s="86"/>
      <c r="L28" s="100">
        <f>Dashboard!AA4</f>
        <v>3</v>
      </c>
      <c r="M28" s="165" t="s">
        <v>39</v>
      </c>
      <c r="N28" s="166"/>
      <c r="P28" s="167" t="s">
        <v>39</v>
      </c>
      <c r="Q28" s="167"/>
      <c r="R28" s="71">
        <f>Dashboard!AQ4</f>
        <v>10</v>
      </c>
      <c r="T28" s="29"/>
      <c r="U28" s="159" t="s">
        <v>568</v>
      </c>
      <c r="V28" s="160"/>
      <c r="W28" s="161"/>
      <c r="X28" s="159" t="s">
        <v>211</v>
      </c>
      <c r="Y28" s="160"/>
      <c r="Z28" s="161"/>
    </row>
    <row r="29" spans="1:29" ht="25" customHeight="1" thickBot="1">
      <c r="C29" s="63"/>
      <c r="D29" s="207">
        <f>Dashboard!AJ4</f>
        <v>3</v>
      </c>
      <c r="E29" s="190"/>
      <c r="F29" s="200"/>
      <c r="G29" s="199">
        <f>Dashboard!AL4</f>
        <v>1</v>
      </c>
      <c r="H29" s="190"/>
      <c r="I29" s="200"/>
      <c r="K29" s="86"/>
      <c r="L29" s="100">
        <f>Dashboard!AB4</f>
        <v>3</v>
      </c>
      <c r="M29" s="165" t="s">
        <v>37</v>
      </c>
      <c r="N29" s="166"/>
      <c r="P29" s="167" t="s">
        <v>37</v>
      </c>
      <c r="Q29" s="167"/>
      <c r="R29" s="71">
        <f>Dashboard!AR4</f>
        <v>3</v>
      </c>
      <c r="S29" s="42"/>
      <c r="T29" s="29"/>
      <c r="U29" s="168">
        <f>Dashboard!BB4</f>
        <v>2</v>
      </c>
      <c r="V29" s="169"/>
      <c r="W29" s="170"/>
      <c r="X29" s="168">
        <f>Dashboard!AZ4</f>
        <v>3</v>
      </c>
      <c r="Y29" s="169"/>
      <c r="Z29" s="170"/>
    </row>
    <row r="30" spans="1:29" ht="25" customHeight="1" thickBot="1">
      <c r="D30" s="95"/>
      <c r="E30" s="95"/>
      <c r="F30" s="96"/>
      <c r="G30" s="173" t="s">
        <v>565</v>
      </c>
      <c r="H30" s="174"/>
      <c r="I30" s="175"/>
      <c r="J30" s="87"/>
      <c r="K30" s="90"/>
      <c r="L30" s="98">
        <f>Dashboard!AF4</f>
        <v>8</v>
      </c>
      <c r="M30" s="229" t="s">
        <v>219</v>
      </c>
      <c r="N30" s="230"/>
      <c r="P30" s="167" t="s">
        <v>219</v>
      </c>
      <c r="Q30" s="167"/>
      <c r="R30" s="69">
        <f>Dashboard!AV4</f>
        <v>12</v>
      </c>
      <c r="S30" s="43"/>
      <c r="T30" s="32"/>
      <c r="U30" s="184" t="s">
        <v>569</v>
      </c>
      <c r="V30" s="185"/>
      <c r="W30" s="186"/>
    </row>
    <row r="31" spans="1:29" ht="25" customHeight="1" thickBot="1">
      <c r="D31" s="6"/>
      <c r="E31" s="6"/>
      <c r="F31" s="97"/>
      <c r="G31" s="199">
        <f>Dashboard!AM4</f>
        <v>2</v>
      </c>
      <c r="H31" s="163"/>
      <c r="I31" s="200"/>
      <c r="R31" s="33"/>
      <c r="U31" s="204">
        <f>Dashboard!BC4</f>
        <v>2</v>
      </c>
      <c r="V31" s="205"/>
      <c r="W31" s="206"/>
    </row>
    <row r="32" spans="1:29" ht="25" customHeight="1" thickBot="1">
      <c r="A32" s="31"/>
      <c r="C32" s="66"/>
      <c r="D32" s="187" t="s">
        <v>32</v>
      </c>
      <c r="E32" s="122"/>
      <c r="F32" s="122"/>
      <c r="G32" s="123"/>
      <c r="I32" s="256" t="s">
        <v>129</v>
      </c>
      <c r="J32" s="257"/>
      <c r="K32" s="257"/>
      <c r="L32" s="257"/>
      <c r="M32" s="257"/>
      <c r="N32" s="258"/>
      <c r="P32" s="49"/>
      <c r="Q32" s="131" t="s">
        <v>427</v>
      </c>
      <c r="R32" s="158"/>
      <c r="S32" s="158"/>
      <c r="T32" s="158"/>
      <c r="U32" s="158"/>
      <c r="V32" s="137"/>
      <c r="X32" s="131" t="s">
        <v>42</v>
      </c>
      <c r="Y32" s="132"/>
      <c r="Z32" s="132"/>
      <c r="AA32" s="133"/>
    </row>
    <row r="33" spans="2:29" ht="25" customHeight="1" thickBot="1">
      <c r="C33" s="86"/>
      <c r="D33" s="188">
        <f>Dashboard!BL4</f>
        <v>42</v>
      </c>
      <c r="E33" s="189"/>
      <c r="F33" s="235" t="s">
        <v>134</v>
      </c>
      <c r="G33" s="236"/>
      <c r="I33" s="105">
        <f>Dashboard!BI4</f>
        <v>15</v>
      </c>
      <c r="J33" s="235" t="s">
        <v>132</v>
      </c>
      <c r="K33" s="236"/>
      <c r="L33" s="105">
        <f>Dashboard!BD4</f>
        <v>47</v>
      </c>
      <c r="M33" s="235" t="s">
        <v>134</v>
      </c>
      <c r="N33" s="236"/>
      <c r="Q33" s="134" t="s">
        <v>134</v>
      </c>
      <c r="R33" s="135"/>
      <c r="S33" s="45">
        <f>Dashboard!CA4</f>
        <v>3</v>
      </c>
      <c r="T33" s="134" t="s">
        <v>43</v>
      </c>
      <c r="U33" s="135"/>
      <c r="V33" s="45">
        <f>Dashboard!CF4</f>
        <v>1</v>
      </c>
      <c r="X33" s="134" t="s">
        <v>134</v>
      </c>
      <c r="Y33" s="135"/>
      <c r="Z33" s="45">
        <f>Dashboard!CI4</f>
        <v>7</v>
      </c>
      <c r="AA33" s="44"/>
    </row>
    <row r="34" spans="2:29" ht="25" customHeight="1" thickBot="1">
      <c r="C34" s="86"/>
      <c r="D34" s="188">
        <f>Dashboard!BM4</f>
        <v>12</v>
      </c>
      <c r="E34" s="189"/>
      <c r="F34" s="231" t="s">
        <v>130</v>
      </c>
      <c r="G34" s="232"/>
      <c r="I34" s="105">
        <f>Dashboard!BJ4</f>
        <v>18</v>
      </c>
      <c r="J34" s="235" t="s">
        <v>31</v>
      </c>
      <c r="K34" s="236"/>
      <c r="L34" s="105">
        <f>Dashboard!BE4</f>
        <v>18</v>
      </c>
      <c r="M34" s="231" t="s">
        <v>130</v>
      </c>
      <c r="N34" s="232"/>
      <c r="P34" s="29"/>
      <c r="Q34" s="233" t="s">
        <v>130</v>
      </c>
      <c r="R34" s="234"/>
      <c r="S34" s="45">
        <f>Dashboard!CB4</f>
        <v>2</v>
      </c>
      <c r="T34" s="134" t="s">
        <v>133</v>
      </c>
      <c r="U34" s="135"/>
      <c r="V34" s="45">
        <f>Dashboard!CG4</f>
        <v>1</v>
      </c>
      <c r="X34" s="233" t="s">
        <v>130</v>
      </c>
      <c r="Y34" s="234"/>
      <c r="Z34" s="45">
        <f>Dashboard!CJ4</f>
        <v>5</v>
      </c>
    </row>
    <row r="35" spans="2:29" ht="25" customHeight="1" thickBot="1">
      <c r="C35" s="86"/>
      <c r="D35" s="188">
        <f>Dashboard!BN4</f>
        <v>30</v>
      </c>
      <c r="E35" s="189"/>
      <c r="F35" s="225" t="s">
        <v>131</v>
      </c>
      <c r="G35" s="226"/>
      <c r="I35" s="105">
        <f>Dashboard!BK4</f>
        <v>12</v>
      </c>
      <c r="J35" s="235" t="s">
        <v>29</v>
      </c>
      <c r="K35" s="236"/>
      <c r="L35" s="105">
        <f>Dashboard!BF4</f>
        <v>29</v>
      </c>
      <c r="M35" s="225" t="s">
        <v>131</v>
      </c>
      <c r="N35" s="226"/>
      <c r="P35" s="29"/>
      <c r="Q35" s="227" t="s">
        <v>131</v>
      </c>
      <c r="R35" s="228"/>
      <c r="S35" s="76">
        <f>Dashboard!CC4</f>
        <v>1</v>
      </c>
      <c r="T35" s="134" t="s">
        <v>456</v>
      </c>
      <c r="U35" s="135"/>
      <c r="V35" s="45">
        <f>Dashboard!CH4</f>
        <v>1</v>
      </c>
      <c r="X35" s="227" t="s">
        <v>131</v>
      </c>
      <c r="Y35" s="228"/>
      <c r="Z35" s="76">
        <f>Dashboard!CK4</f>
        <v>2</v>
      </c>
    </row>
    <row r="36" spans="2:29" ht="25" customHeight="1" thickBot="1">
      <c r="E36" s="101"/>
      <c r="F36" s="101"/>
      <c r="G36" s="101"/>
      <c r="S36" s="33"/>
      <c r="Z36" s="33"/>
    </row>
    <row r="37" spans="2:29" ht="25" customHeight="1" thickBot="1">
      <c r="E37" s="121" t="s">
        <v>220</v>
      </c>
      <c r="F37" s="122"/>
      <c r="G37" s="123"/>
      <c r="K37" s="20"/>
      <c r="L37" s="121" t="s">
        <v>53</v>
      </c>
      <c r="M37" s="122"/>
      <c r="N37" s="123"/>
      <c r="O37" s="34"/>
      <c r="Q37" s="131" t="s">
        <v>53</v>
      </c>
      <c r="R37" s="132"/>
      <c r="S37" s="133"/>
      <c r="X37" s="131" t="s">
        <v>44</v>
      </c>
      <c r="Y37" s="132"/>
      <c r="Z37" s="132"/>
      <c r="AA37" s="133"/>
    </row>
    <row r="38" spans="2:29" ht="25" customHeight="1" thickBot="1">
      <c r="E38" s="105">
        <f>COUNTIF('Raw data'!D:D,"P'Boro Offside")</f>
        <v>2</v>
      </c>
      <c r="F38" s="235" t="s">
        <v>221</v>
      </c>
      <c r="G38" s="236"/>
      <c r="L38" s="105">
        <f>Dashboard!BQ4</f>
        <v>11</v>
      </c>
      <c r="M38" s="235" t="s">
        <v>134</v>
      </c>
      <c r="N38" s="236"/>
      <c r="P38" s="49"/>
      <c r="Q38" s="134" t="s">
        <v>134</v>
      </c>
      <c r="R38" s="135"/>
      <c r="S38" s="45">
        <f>Dashboard!BV4</f>
        <v>14</v>
      </c>
      <c r="X38" s="134" t="s">
        <v>134</v>
      </c>
      <c r="Y38" s="135"/>
      <c r="Z38" s="45">
        <f>Dashboard!CN4</f>
        <v>5</v>
      </c>
    </row>
    <row r="39" spans="2:29" ht="25" customHeight="1" thickBot="1">
      <c r="E39" s="105">
        <f>COUNTIF('Raw data'!D:D,"Opp Offside")</f>
        <v>6</v>
      </c>
      <c r="F39" s="235" t="s">
        <v>122</v>
      </c>
      <c r="G39" s="236"/>
      <c r="L39" s="105">
        <f>Dashboard!BR4</f>
        <v>3</v>
      </c>
      <c r="M39" s="231" t="s">
        <v>130</v>
      </c>
      <c r="N39" s="232"/>
      <c r="P39" s="49"/>
      <c r="Q39" s="233" t="s">
        <v>130</v>
      </c>
      <c r="R39" s="234"/>
      <c r="S39" s="45">
        <f>Dashboard!BW4</f>
        <v>7</v>
      </c>
      <c r="X39" s="233" t="s">
        <v>130</v>
      </c>
      <c r="Y39" s="234"/>
      <c r="Z39" s="45">
        <f>Dashboard!CO4</f>
        <v>4</v>
      </c>
    </row>
    <row r="40" spans="2:29" ht="25" customHeight="1" thickBot="1">
      <c r="F40" s="62"/>
      <c r="G40" s="62"/>
      <c r="H40" s="62"/>
      <c r="L40" s="105">
        <f>Dashboard!BS4</f>
        <v>8</v>
      </c>
      <c r="M40" s="239" t="s">
        <v>131</v>
      </c>
      <c r="N40" s="240"/>
      <c r="P40" s="50"/>
      <c r="Q40" s="227" t="s">
        <v>131</v>
      </c>
      <c r="R40" s="228"/>
      <c r="S40" s="45">
        <f>Dashboard!BX4</f>
        <v>7</v>
      </c>
      <c r="X40" s="227" t="s">
        <v>131</v>
      </c>
      <c r="Y40" s="228"/>
      <c r="Z40" s="45">
        <f>Dashboard!CP4</f>
        <v>1</v>
      </c>
    </row>
    <row r="41" spans="2:29" ht="25" customHeight="1" thickBot="1">
      <c r="C41" s="62"/>
      <c r="D41" s="65"/>
      <c r="E41" s="124" t="s">
        <v>594</v>
      </c>
      <c r="F41" s="125"/>
      <c r="G41" s="125"/>
      <c r="H41" s="126"/>
      <c r="J41" s="121" t="s">
        <v>27</v>
      </c>
      <c r="K41" s="122"/>
      <c r="L41" s="122"/>
      <c r="M41" s="122"/>
      <c r="N41" s="123"/>
      <c r="O41" s="102"/>
      <c r="P41" s="31"/>
      <c r="Q41" s="131" t="s">
        <v>232</v>
      </c>
      <c r="R41" s="132"/>
      <c r="S41" s="132"/>
      <c r="T41" s="132"/>
      <c r="U41" s="133"/>
      <c r="V41" s="20"/>
      <c r="W41" s="131" t="s">
        <v>11</v>
      </c>
      <c r="X41" s="132"/>
      <c r="Y41" s="132"/>
      <c r="Z41" s="133"/>
    </row>
    <row r="42" spans="2:29" ht="25" customHeight="1" thickBot="1">
      <c r="B42" s="63"/>
      <c r="C42" s="237" t="s">
        <v>333</v>
      </c>
      <c r="D42" s="238"/>
      <c r="E42" s="106">
        <f>Dashboard!DC4</f>
        <v>1</v>
      </c>
      <c r="F42" s="244" t="s">
        <v>22</v>
      </c>
      <c r="G42" s="244"/>
      <c r="H42" s="245"/>
      <c r="K42" s="110">
        <f>Dashboard!CS4</f>
        <v>69</v>
      </c>
      <c r="L42" s="241" t="s">
        <v>27</v>
      </c>
      <c r="M42" s="241"/>
      <c r="N42" s="242"/>
      <c r="Q42" s="134" t="s">
        <v>27</v>
      </c>
      <c r="R42" s="138"/>
      <c r="S42" s="135"/>
      <c r="T42" s="45">
        <f>Dashboard!CX4</f>
        <v>75</v>
      </c>
      <c r="W42" s="134" t="s">
        <v>22</v>
      </c>
      <c r="X42" s="138"/>
      <c r="Y42" s="139"/>
      <c r="Z42" s="46">
        <f>Dashboard!DD4</f>
        <v>5</v>
      </c>
      <c r="AA42" s="136" t="s">
        <v>333</v>
      </c>
      <c r="AB42" s="137"/>
    </row>
    <row r="43" spans="2:29" ht="25" customHeight="1" thickBot="1">
      <c r="B43" s="63"/>
      <c r="C43" s="106">
        <f>SUM(Dashboard!DF4:DH4)</f>
        <v>12</v>
      </c>
      <c r="D43" s="68">
        <f>C43/E43</f>
        <v>1</v>
      </c>
      <c r="E43" s="107">
        <f>Dashboard!DE4</f>
        <v>12</v>
      </c>
      <c r="F43" s="190" t="s">
        <v>112</v>
      </c>
      <c r="G43" s="190"/>
      <c r="H43" s="255"/>
      <c r="J43" s="109">
        <f>K43/$K$42</f>
        <v>1.4492753623188406E-2</v>
      </c>
      <c r="K43" s="104">
        <f>Dashboard!CU4</f>
        <v>1</v>
      </c>
      <c r="L43" s="235" t="s">
        <v>217</v>
      </c>
      <c r="M43" s="235"/>
      <c r="N43" s="236"/>
      <c r="P43" s="47"/>
      <c r="Q43" s="134" t="s">
        <v>217</v>
      </c>
      <c r="R43" s="138"/>
      <c r="S43" s="135"/>
      <c r="T43" s="77">
        <f>Dashboard!DB4</f>
        <v>21</v>
      </c>
      <c r="U43" s="51">
        <f>T43/$T$42</f>
        <v>0.28000000000000003</v>
      </c>
      <c r="W43" s="134" t="s">
        <v>112</v>
      </c>
      <c r="X43" s="138"/>
      <c r="Y43" s="139"/>
      <c r="Z43" s="46">
        <f>Dashboard!DI4</f>
        <v>24</v>
      </c>
      <c r="AA43" s="75">
        <f>AB43/Z43</f>
        <v>1</v>
      </c>
      <c r="AB43" s="46">
        <f>SUM(Dashboard!DJ4:DL4)</f>
        <v>24</v>
      </c>
      <c r="AC43" s="42"/>
    </row>
    <row r="44" spans="2:29" ht="25" customHeight="1" thickBot="1">
      <c r="D44" s="63"/>
      <c r="E44" s="108">
        <f>Dashboard!DM4</f>
        <v>12</v>
      </c>
      <c r="F44" s="244" t="s">
        <v>24</v>
      </c>
      <c r="G44" s="244"/>
      <c r="H44" s="245"/>
      <c r="J44" s="109">
        <f>K44/$K$42</f>
        <v>0.39130434782608697</v>
      </c>
      <c r="K44" s="104">
        <f>Dashboard!CV4</f>
        <v>27</v>
      </c>
      <c r="L44" s="235" t="s">
        <v>216</v>
      </c>
      <c r="M44" s="235"/>
      <c r="N44" s="236"/>
      <c r="Q44" s="134" t="s">
        <v>216</v>
      </c>
      <c r="R44" s="138"/>
      <c r="S44" s="135"/>
      <c r="T44" s="77">
        <f>Dashboard!DA4</f>
        <v>30</v>
      </c>
      <c r="U44" s="51">
        <f>T44/$T$42</f>
        <v>0.4</v>
      </c>
      <c r="W44" s="134" t="s">
        <v>24</v>
      </c>
      <c r="X44" s="138"/>
      <c r="Y44" s="139"/>
      <c r="Z44" s="46">
        <f>Dashboard!DO4</f>
        <v>10</v>
      </c>
      <c r="AA44" s="44"/>
    </row>
    <row r="45" spans="2:29" ht="25" customHeight="1" thickBot="1">
      <c r="D45" s="63"/>
      <c r="E45" s="106">
        <f>Dashboard!DQ4</f>
        <v>15</v>
      </c>
      <c r="F45" s="247" t="s">
        <v>25</v>
      </c>
      <c r="G45" s="247"/>
      <c r="H45" s="248"/>
      <c r="J45" s="109">
        <f>K45/$K$42</f>
        <v>0.59420289855072461</v>
      </c>
      <c r="K45" s="104">
        <f>Dashboard!CW4</f>
        <v>41</v>
      </c>
      <c r="L45" s="235" t="s">
        <v>218</v>
      </c>
      <c r="M45" s="235"/>
      <c r="N45" s="236"/>
      <c r="P45" s="48"/>
      <c r="Q45" s="134" t="s">
        <v>218</v>
      </c>
      <c r="R45" s="138"/>
      <c r="S45" s="135"/>
      <c r="T45" s="77">
        <f>Dashboard!CZ4</f>
        <v>24</v>
      </c>
      <c r="U45" s="51">
        <f>T45/$T$42</f>
        <v>0.32</v>
      </c>
      <c r="V45" s="42"/>
      <c r="W45" s="134" t="s">
        <v>25</v>
      </c>
      <c r="X45" s="138"/>
      <c r="Y45" s="139"/>
      <c r="Z45" s="46">
        <f>Dashboard!DR4</f>
        <v>9</v>
      </c>
    </row>
    <row r="46" spans="2:29" ht="25" customHeight="1" thickBot="1">
      <c r="E46" s="61"/>
      <c r="F46" s="61"/>
      <c r="G46" s="61"/>
      <c r="H46" s="61"/>
      <c r="K46" s="105">
        <f>Dashboard!CT4</f>
        <v>5</v>
      </c>
      <c r="L46" s="235" t="s">
        <v>215</v>
      </c>
      <c r="M46" s="235"/>
      <c r="N46" s="236"/>
      <c r="P46" s="29"/>
      <c r="Q46" s="134" t="s">
        <v>215</v>
      </c>
      <c r="R46" s="138"/>
      <c r="S46" s="135"/>
      <c r="T46" s="45">
        <f>Dashboard!CY4</f>
        <v>6</v>
      </c>
      <c r="U46" s="44"/>
      <c r="Z46" s="33"/>
    </row>
    <row r="47" spans="2:29" ht="25" customHeight="1" thickBot="1">
      <c r="D47" s="121" t="s">
        <v>345</v>
      </c>
      <c r="E47" s="122"/>
      <c r="F47" s="123"/>
      <c r="H47" s="121" t="s">
        <v>344</v>
      </c>
      <c r="I47" s="122"/>
      <c r="J47" s="123"/>
      <c r="K47" s="20"/>
      <c r="L47" s="121" t="s">
        <v>233</v>
      </c>
      <c r="M47" s="122"/>
      <c r="N47" s="123"/>
      <c r="Q47" s="131" t="s">
        <v>348</v>
      </c>
      <c r="R47" s="132"/>
      <c r="S47" s="133"/>
      <c r="U47" s="131" t="s">
        <v>48</v>
      </c>
      <c r="V47" s="132"/>
      <c r="W47" s="133"/>
      <c r="Y47" s="131" t="s">
        <v>145</v>
      </c>
      <c r="Z47" s="132"/>
      <c r="AA47" s="133"/>
    </row>
    <row r="48" spans="2:29" ht="25" customHeight="1" thickBot="1">
      <c r="D48" s="111">
        <f>Dashboard!EP4</f>
        <v>105</v>
      </c>
      <c r="E48" s="112">
        <f>Dashboard!EQ4</f>
        <v>100</v>
      </c>
      <c r="F48" s="103">
        <f>E48/D48</f>
        <v>0.95238095238095233</v>
      </c>
      <c r="H48" s="105">
        <f>Dashboard!EF4</f>
        <v>193</v>
      </c>
      <c r="I48" s="113">
        <f>Dashboard!EG4</f>
        <v>116</v>
      </c>
      <c r="J48" s="103">
        <f>I48/H48</f>
        <v>0.60103626943005184</v>
      </c>
      <c r="L48" s="105">
        <f>Dashboard!EA4</f>
        <v>388</v>
      </c>
      <c r="M48" s="113">
        <f>Dashboard!EB4</f>
        <v>293</v>
      </c>
      <c r="N48" s="103">
        <f>M48/L48</f>
        <v>0.75515463917525771</v>
      </c>
      <c r="Q48" s="52">
        <f>Dashboard!HA4</f>
        <v>35</v>
      </c>
      <c r="R48" s="78">
        <f>Dashboard!HB4</f>
        <v>11</v>
      </c>
      <c r="S48" s="79">
        <f>R48/Q48</f>
        <v>0.31428571428571428</v>
      </c>
      <c r="T48" s="39"/>
      <c r="U48" s="52">
        <f>Dashboard!HF4</f>
        <v>20</v>
      </c>
      <c r="V48" s="78">
        <f>Dashboard!HG4</f>
        <v>11</v>
      </c>
      <c r="W48" s="80">
        <f>V48/U48</f>
        <v>0.55000000000000004</v>
      </c>
      <c r="Y48" s="134" t="s">
        <v>49</v>
      </c>
      <c r="Z48" s="135"/>
      <c r="AA48" s="76">
        <f>Dashboard!IA4</f>
        <v>26</v>
      </c>
    </row>
    <row r="49" spans="3:32" ht="25" customHeight="1" thickBot="1">
      <c r="Y49" s="134" t="s">
        <v>350</v>
      </c>
      <c r="Z49" s="135"/>
      <c r="AA49" s="76">
        <f>Dashboard!HZ4</f>
        <v>11</v>
      </c>
    </row>
    <row r="50" spans="3:32" ht="25" customHeight="1" thickBot="1">
      <c r="C50" s="124" t="s">
        <v>246</v>
      </c>
      <c r="D50" s="125"/>
      <c r="E50" s="125"/>
      <c r="F50" s="126"/>
      <c r="H50" s="121" t="s">
        <v>346</v>
      </c>
      <c r="I50" s="122"/>
      <c r="J50" s="123"/>
      <c r="L50" s="121" t="s">
        <v>347</v>
      </c>
      <c r="M50" s="122"/>
      <c r="N50" s="123"/>
      <c r="Q50" s="131" t="s">
        <v>335</v>
      </c>
      <c r="R50" s="132"/>
      <c r="S50" s="133"/>
      <c r="U50" s="131" t="s">
        <v>570</v>
      </c>
      <c r="V50" s="132"/>
      <c r="W50" s="133"/>
      <c r="Y50" s="119" t="s">
        <v>50</v>
      </c>
      <c r="Z50" s="120"/>
      <c r="AA50" s="76">
        <f>Dashboard!IC4</f>
        <v>13</v>
      </c>
    </row>
    <row r="51" spans="3:32" ht="25" customHeight="1" thickBot="1">
      <c r="C51" s="127" t="s">
        <v>298</v>
      </c>
      <c r="D51" s="128"/>
      <c r="E51" s="67">
        <f>Dashboard!FO4</f>
        <v>31</v>
      </c>
      <c r="F51" s="64"/>
      <c r="H51" s="111">
        <f>Dashboard!EK4</f>
        <v>90</v>
      </c>
      <c r="I51" s="112">
        <f>Dashboard!EL4</f>
        <v>77</v>
      </c>
      <c r="J51" s="103">
        <f>I51/H51</f>
        <v>0.85555555555555551</v>
      </c>
      <c r="L51" s="111">
        <f>Dashboard!EU4</f>
        <v>43</v>
      </c>
      <c r="M51" s="112">
        <f>Dashboard!EV4</f>
        <v>20</v>
      </c>
      <c r="N51" s="103">
        <f>M51/L51</f>
        <v>0.46511627906976744</v>
      </c>
      <c r="Q51" s="82">
        <f>Dashboard!HP4</f>
        <v>9</v>
      </c>
      <c r="R51" s="81">
        <f>Dashboard!HQ4</f>
        <v>9</v>
      </c>
      <c r="S51" s="53">
        <f>R51/Q51</f>
        <v>1</v>
      </c>
      <c r="U51" s="52">
        <f>Dashboard!HU4</f>
        <v>15</v>
      </c>
      <c r="V51" s="81">
        <f>Dashboard!HV4</f>
        <v>8</v>
      </c>
      <c r="W51" s="80">
        <f>V51/U51</f>
        <v>0.53333333333333333</v>
      </c>
      <c r="Y51" s="119" t="s">
        <v>608</v>
      </c>
      <c r="Z51" s="120"/>
      <c r="AA51" s="76">
        <f>Dashboard!IB4</f>
        <v>20</v>
      </c>
    </row>
    <row r="52" spans="3:32" ht="25" customHeight="1" thickBot="1">
      <c r="C52" s="127" t="s">
        <v>14</v>
      </c>
      <c r="D52" s="128"/>
      <c r="E52" s="114">
        <f>Dashboard!FP4</f>
        <v>7</v>
      </c>
      <c r="F52" s="68">
        <f>E52/E$51</f>
        <v>0.22580645161290322</v>
      </c>
      <c r="U52" s="6"/>
      <c r="Y52" s="119" t="s">
        <v>55</v>
      </c>
      <c r="Z52" s="120"/>
      <c r="AA52" s="76">
        <f>Dashboard!ID4</f>
        <v>6</v>
      </c>
    </row>
    <row r="53" spans="3:32" ht="25" customHeight="1" thickBot="1">
      <c r="C53" s="127" t="s">
        <v>195</v>
      </c>
      <c r="D53" s="128"/>
      <c r="E53" s="114">
        <f>Dashboard!FQ4</f>
        <v>15</v>
      </c>
      <c r="F53" s="68">
        <f t="shared" ref="F53:F54" si="1">E53/E$51</f>
        <v>0.4838709677419355</v>
      </c>
      <c r="H53" s="121" t="s">
        <v>336</v>
      </c>
      <c r="I53" s="122"/>
      <c r="J53" s="123"/>
      <c r="L53" s="121" t="s">
        <v>644</v>
      </c>
      <c r="M53" s="122"/>
      <c r="N53" s="123"/>
      <c r="Q53" s="121" t="s">
        <v>5</v>
      </c>
      <c r="R53" s="122"/>
      <c r="S53" s="123"/>
      <c r="U53" s="131" t="s">
        <v>349</v>
      </c>
      <c r="V53" s="132"/>
      <c r="W53" s="133"/>
      <c r="Y53" s="119" t="s">
        <v>223</v>
      </c>
      <c r="Z53" s="120"/>
      <c r="AA53" s="76">
        <f>Dashboard!IF4</f>
        <v>12</v>
      </c>
    </row>
    <row r="54" spans="3:32" ht="25" customHeight="1" thickBot="1">
      <c r="C54" s="129" t="s">
        <v>28</v>
      </c>
      <c r="D54" s="130"/>
      <c r="E54" s="114">
        <f>Dashboard!FR4</f>
        <v>9</v>
      </c>
      <c r="F54" s="68">
        <f t="shared" si="1"/>
        <v>0.29032258064516131</v>
      </c>
      <c r="H54" s="111">
        <f>Dashboard!GJ4</f>
        <v>19</v>
      </c>
      <c r="I54" s="112">
        <f>Dashboard!GK4</f>
        <v>17</v>
      </c>
      <c r="J54" s="103">
        <f>I54/H54</f>
        <v>0.89473684210526316</v>
      </c>
      <c r="L54" s="249">
        <f>Dashboard!FE4</f>
        <v>7</v>
      </c>
      <c r="M54" s="250"/>
      <c r="N54" s="251"/>
      <c r="Q54" s="111">
        <f>Dashboard!FT4</f>
        <v>23</v>
      </c>
      <c r="R54" s="112">
        <f>Dashboard!FU4</f>
        <v>21</v>
      </c>
      <c r="S54" s="103">
        <f>R54/Q54</f>
        <v>0.91304347826086951</v>
      </c>
      <c r="U54" s="82">
        <f>Dashboard!HK4</f>
        <v>9</v>
      </c>
      <c r="V54" s="81">
        <f>Dashboard!HL4</f>
        <v>6</v>
      </c>
      <c r="W54" s="53">
        <f>V54/U54</f>
        <v>0.66666666666666663</v>
      </c>
      <c r="Y54" s="119" t="s">
        <v>222</v>
      </c>
      <c r="Z54" s="120"/>
      <c r="AA54" s="76">
        <f>Dashboard!IG4</f>
        <v>6</v>
      </c>
    </row>
    <row r="55" spans="3:32" ht="25" customHeight="1">
      <c r="S55" s="6"/>
      <c r="Z55" s="6"/>
      <c r="AA55" s="6"/>
      <c r="AB55" s="6"/>
      <c r="AC55" s="6"/>
    </row>
    <row r="56" spans="3:32" ht="25" customHeight="1">
      <c r="D56" s="31"/>
      <c r="E56" s="31"/>
      <c r="AC56" s="6"/>
      <c r="AD56" s="6"/>
      <c r="AE56" s="6"/>
      <c r="AF56" s="6"/>
    </row>
    <row r="57" spans="3:32" ht="25" customHeight="1">
      <c r="AC57" s="6"/>
      <c r="AD57" s="6"/>
      <c r="AE57" s="6"/>
      <c r="AF57" s="6"/>
    </row>
    <row r="58" spans="3:32" ht="25" customHeight="1">
      <c r="D58" s="190"/>
      <c r="E58" s="190"/>
      <c r="AC58" s="6"/>
      <c r="AD58" s="6"/>
      <c r="AE58" s="6"/>
      <c r="AF58" s="6"/>
    </row>
    <row r="59" spans="3:32" ht="25" customHeight="1">
      <c r="AC59" s="6"/>
      <c r="AD59" s="6"/>
      <c r="AE59" s="6"/>
      <c r="AF59" s="6"/>
    </row>
    <row r="60" spans="3:32" ht="25" customHeight="1">
      <c r="D60" s="246"/>
      <c r="E60" s="246"/>
    </row>
    <row r="61" spans="3:32" ht="25" customHeight="1">
      <c r="AC61" s="6"/>
      <c r="AD61" s="6"/>
      <c r="AE61" s="6"/>
      <c r="AF61" s="6"/>
    </row>
    <row r="62" spans="3:32" ht="25" customHeight="1">
      <c r="D62" s="243"/>
      <c r="E62" s="243"/>
      <c r="AC62" s="6"/>
      <c r="AD62" s="6"/>
      <c r="AE62" s="6"/>
      <c r="AF62" s="6"/>
    </row>
    <row r="63" spans="3:32" ht="25" customHeight="1">
      <c r="AC63" s="6"/>
      <c r="AD63" s="6"/>
      <c r="AE63" s="6"/>
      <c r="AF63" s="6"/>
    </row>
    <row r="64" spans="3:32" ht="25" customHeight="1">
      <c r="AC64" s="6"/>
      <c r="AD64" s="6"/>
      <c r="AE64" s="6"/>
      <c r="AF64" s="6"/>
    </row>
    <row r="65" ht="25" customHeight="1"/>
    <row r="66" ht="25" customHeight="1"/>
    <row r="67" ht="25" customHeight="1"/>
    <row r="68" ht="25" customHeight="1"/>
    <row r="69" ht="25" customHeight="1"/>
    <row r="70" ht="25" customHeight="1"/>
    <row r="71" ht="25" customHeight="1"/>
    <row r="72" ht="25" customHeight="1"/>
    <row r="73" ht="25" customHeight="1"/>
    <row r="74" ht="25" customHeight="1"/>
  </sheetData>
  <mergeCells count="184">
    <mergeCell ref="U47:W47"/>
    <mergeCell ref="F38:G38"/>
    <mergeCell ref="F39:G39"/>
    <mergeCell ref="G30:I30"/>
    <mergeCell ref="G31:I31"/>
    <mergeCell ref="J23:N23"/>
    <mergeCell ref="C16:E16"/>
    <mergeCell ref="P23:T23"/>
    <mergeCell ref="F43:H43"/>
    <mergeCell ref="Q39:R39"/>
    <mergeCell ref="Q38:R38"/>
    <mergeCell ref="W42:Y42"/>
    <mergeCell ref="W43:Y43"/>
    <mergeCell ref="M38:N38"/>
    <mergeCell ref="X38:Y38"/>
    <mergeCell ref="X37:AA37"/>
    <mergeCell ref="F35:G35"/>
    <mergeCell ref="X35:Y35"/>
    <mergeCell ref="J35:K35"/>
    <mergeCell ref="L37:N37"/>
    <mergeCell ref="Q37:S37"/>
    <mergeCell ref="E37:G37"/>
    <mergeCell ref="J33:K33"/>
    <mergeCell ref="I32:N32"/>
    <mergeCell ref="L47:N47"/>
    <mergeCell ref="H47:J47"/>
    <mergeCell ref="D62:E62"/>
    <mergeCell ref="F42:H42"/>
    <mergeCell ref="Q42:S42"/>
    <mergeCell ref="Q43:S43"/>
    <mergeCell ref="Q44:S44"/>
    <mergeCell ref="D60:E60"/>
    <mergeCell ref="L45:N45"/>
    <mergeCell ref="Q45:S45"/>
    <mergeCell ref="Q46:S46"/>
    <mergeCell ref="D58:E58"/>
    <mergeCell ref="D47:F47"/>
    <mergeCell ref="H50:J50"/>
    <mergeCell ref="Q50:S50"/>
    <mergeCell ref="Q47:S47"/>
    <mergeCell ref="F44:H44"/>
    <mergeCell ref="F45:H45"/>
    <mergeCell ref="L46:N46"/>
    <mergeCell ref="L44:N44"/>
    <mergeCell ref="L43:N43"/>
    <mergeCell ref="L54:N54"/>
    <mergeCell ref="X29:Z29"/>
    <mergeCell ref="F33:G33"/>
    <mergeCell ref="X33:Y33"/>
    <mergeCell ref="E41:H41"/>
    <mergeCell ref="Q40:R40"/>
    <mergeCell ref="Q41:U41"/>
    <mergeCell ref="C42:D42"/>
    <mergeCell ref="M40:N40"/>
    <mergeCell ref="T33:U33"/>
    <mergeCell ref="M34:N34"/>
    <mergeCell ref="Q34:R34"/>
    <mergeCell ref="X40:Y40"/>
    <mergeCell ref="L42:N42"/>
    <mergeCell ref="M39:N39"/>
    <mergeCell ref="X39:Y39"/>
    <mergeCell ref="J41:N41"/>
    <mergeCell ref="D34:E34"/>
    <mergeCell ref="Q33:R33"/>
    <mergeCell ref="U31:W31"/>
    <mergeCell ref="M33:N33"/>
    <mergeCell ref="X24:Z24"/>
    <mergeCell ref="G28:I28"/>
    <mergeCell ref="M29:N29"/>
    <mergeCell ref="X26:Z26"/>
    <mergeCell ref="W45:Y45"/>
    <mergeCell ref="W41:Z41"/>
    <mergeCell ref="T35:U35"/>
    <mergeCell ref="D35:E35"/>
    <mergeCell ref="D27:F27"/>
    <mergeCell ref="X27:Z27"/>
    <mergeCell ref="D28:F28"/>
    <mergeCell ref="M35:N35"/>
    <mergeCell ref="Q35:R35"/>
    <mergeCell ref="X28:Z28"/>
    <mergeCell ref="X32:AA32"/>
    <mergeCell ref="P30:Q30"/>
    <mergeCell ref="M30:N30"/>
    <mergeCell ref="U30:W30"/>
    <mergeCell ref="M27:N27"/>
    <mergeCell ref="P27:Q27"/>
    <mergeCell ref="F34:G34"/>
    <mergeCell ref="X34:Y34"/>
    <mergeCell ref="J34:K34"/>
    <mergeCell ref="T34:U34"/>
    <mergeCell ref="C17:E17"/>
    <mergeCell ref="Y17:AA17"/>
    <mergeCell ref="C18:E18"/>
    <mergeCell ref="F18:H19"/>
    <mergeCell ref="I18:J19"/>
    <mergeCell ref="T18:U19"/>
    <mergeCell ref="V18:X19"/>
    <mergeCell ref="Y18:AA18"/>
    <mergeCell ref="C19:E19"/>
    <mergeCell ref="Y19:AA19"/>
    <mergeCell ref="C20:E20"/>
    <mergeCell ref="Y20:AA20"/>
    <mergeCell ref="C21:E21"/>
    <mergeCell ref="F21:H22"/>
    <mergeCell ref="I21:J22"/>
    <mergeCell ref="T21:U22"/>
    <mergeCell ref="V21:X22"/>
    <mergeCell ref="Y21:AA21"/>
    <mergeCell ref="C22:E22"/>
    <mergeCell ref="Y22:AA22"/>
    <mergeCell ref="D23:F23"/>
    <mergeCell ref="P29:Q29"/>
    <mergeCell ref="U28:W28"/>
    <mergeCell ref="G29:I29"/>
    <mergeCell ref="M26:N26"/>
    <mergeCell ref="P26:Q26"/>
    <mergeCell ref="U29:W29"/>
    <mergeCell ref="G26:I26"/>
    <mergeCell ref="G25:I25"/>
    <mergeCell ref="U25:W25"/>
    <mergeCell ref="D25:F25"/>
    <mergeCell ref="D24:F24"/>
    <mergeCell ref="D29:F29"/>
    <mergeCell ref="X25:Z25"/>
    <mergeCell ref="D26:F26"/>
    <mergeCell ref="D32:G32"/>
    <mergeCell ref="D33:E33"/>
    <mergeCell ref="F13:G13"/>
    <mergeCell ref="V12:X12"/>
    <mergeCell ref="Y12:Z12"/>
    <mergeCell ref="V13:X13"/>
    <mergeCell ref="Y13:Z13"/>
    <mergeCell ref="V14:X14"/>
    <mergeCell ref="Y14:Z14"/>
    <mergeCell ref="F11:G12"/>
    <mergeCell ref="V11:X11"/>
    <mergeCell ref="Y11:Z11"/>
    <mergeCell ref="I9:L14"/>
    <mergeCell ref="R9:U14"/>
    <mergeCell ref="V9:X9"/>
    <mergeCell ref="Y9:Z9"/>
    <mergeCell ref="M11:N13"/>
    <mergeCell ref="P11:Q13"/>
    <mergeCell ref="V10:X10"/>
    <mergeCell ref="Y10:Z10"/>
    <mergeCell ref="Q32:V32"/>
    <mergeCell ref="X23:Z23"/>
    <mergeCell ref="Y47:AA47"/>
    <mergeCell ref="Y48:Z48"/>
    <mergeCell ref="Y49:Z49"/>
    <mergeCell ref="Y50:Z50"/>
    <mergeCell ref="Y51:Z51"/>
    <mergeCell ref="Y52:Z52"/>
    <mergeCell ref="AA42:AB42"/>
    <mergeCell ref="W44:Y44"/>
    <mergeCell ref="F15:H16"/>
    <mergeCell ref="I15:J16"/>
    <mergeCell ref="T15:U16"/>
    <mergeCell ref="V15:X16"/>
    <mergeCell ref="Y16:AA16"/>
    <mergeCell ref="U26:W26"/>
    <mergeCell ref="G27:I27"/>
    <mergeCell ref="M28:N28"/>
    <mergeCell ref="P28:Q28"/>
    <mergeCell ref="U27:W27"/>
    <mergeCell ref="G23:I23"/>
    <mergeCell ref="U23:W23"/>
    <mergeCell ref="G24:I24"/>
    <mergeCell ref="M24:N25"/>
    <mergeCell ref="P24:Q25"/>
    <mergeCell ref="U24:W24"/>
    <mergeCell ref="Y53:Z53"/>
    <mergeCell ref="Y54:Z54"/>
    <mergeCell ref="L50:N50"/>
    <mergeCell ref="C50:F50"/>
    <mergeCell ref="C51:D51"/>
    <mergeCell ref="C52:D52"/>
    <mergeCell ref="C53:D53"/>
    <mergeCell ref="C54:D54"/>
    <mergeCell ref="Q53:S53"/>
    <mergeCell ref="H53:J53"/>
    <mergeCell ref="U53:W53"/>
    <mergeCell ref="U50:W50"/>
    <mergeCell ref="L53:N5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BA5F3-B2DD-7244-B5E4-C1EEE87CF5D3}">
  <dimension ref="C1:AC59"/>
  <sheetViews>
    <sheetView tabSelected="1" topLeftCell="D5" zoomScale="125" workbookViewId="0">
      <selection activeCell="I19" sqref="I19"/>
    </sheetView>
  </sheetViews>
  <sheetFormatPr baseColWidth="10" defaultRowHeight="16"/>
  <cols>
    <col min="1" max="2" width="10.83203125" customWidth="1"/>
    <col min="3" max="3" width="16" customWidth="1"/>
    <col min="4" max="4" width="10.83203125" customWidth="1"/>
    <col min="5" max="5" width="6.5" customWidth="1"/>
    <col min="6" max="6" width="17" customWidth="1"/>
    <col min="7" max="7" width="7.83203125" customWidth="1"/>
    <col min="8" max="11" width="5.83203125" customWidth="1"/>
    <col min="12" max="12" width="19.5" customWidth="1"/>
    <col min="13" max="13" width="7.83203125" customWidth="1"/>
    <col min="14" max="16" width="5.83203125" customWidth="1"/>
    <col min="17" max="17" width="6.33203125" customWidth="1"/>
    <col min="18" max="18" width="17.33203125" customWidth="1"/>
    <col min="19" max="19" width="7.83203125" customWidth="1"/>
    <col min="20" max="20" width="6.83203125" customWidth="1"/>
    <col min="21" max="21" width="9.6640625" customWidth="1"/>
    <col min="22" max="22" width="8.6640625" customWidth="1"/>
    <col min="23" max="23" width="5.83203125" customWidth="1"/>
    <col min="24" max="24" width="8.5" customWidth="1"/>
    <col min="25" max="25" width="10.83203125" customWidth="1"/>
  </cols>
  <sheetData>
    <row r="1" spans="3:29" ht="25" customHeight="1"/>
    <row r="2" spans="3:29" ht="25" customHeight="1"/>
    <row r="3" spans="3:29" ht="25" customHeight="1">
      <c r="G3" s="41"/>
      <c r="H3" s="41"/>
      <c r="I3" s="41"/>
      <c r="J3" s="41"/>
      <c r="K3" s="19"/>
      <c r="L3" s="40"/>
    </row>
    <row r="4" spans="3:29" ht="25" customHeight="1">
      <c r="G4" s="41"/>
      <c r="H4" s="41"/>
      <c r="I4" s="41"/>
      <c r="J4" s="41"/>
      <c r="K4" s="19"/>
      <c r="L4" s="40"/>
    </row>
    <row r="5" spans="3:29" ht="25" customHeight="1">
      <c r="G5" s="41"/>
      <c r="H5" s="41"/>
      <c r="I5" s="41"/>
      <c r="J5" s="41"/>
      <c r="K5" s="19"/>
      <c r="L5" s="40"/>
    </row>
    <row r="6" spans="3:29" ht="25" customHeight="1"/>
    <row r="7" spans="3:29" ht="25" customHeight="1">
      <c r="C7" s="20"/>
      <c r="D7" s="20"/>
      <c r="E7" s="6"/>
      <c r="F7" s="260" t="s">
        <v>425</v>
      </c>
      <c r="G7" s="260"/>
      <c r="H7" s="260"/>
      <c r="I7" s="260"/>
      <c r="J7" s="260"/>
      <c r="K7" s="21"/>
      <c r="L7" s="260" t="s">
        <v>424</v>
      </c>
      <c r="M7" s="260"/>
      <c r="N7" s="260"/>
      <c r="O7" s="260"/>
      <c r="P7" s="260"/>
      <c r="Q7" s="20"/>
      <c r="R7" s="260" t="s">
        <v>595</v>
      </c>
      <c r="S7" s="260"/>
      <c r="U7" s="260" t="s">
        <v>657</v>
      </c>
      <c r="V7" s="260"/>
      <c r="W7" s="260"/>
      <c r="Z7" s="20"/>
    </row>
    <row r="8" spans="3:29" ht="25" customHeight="1">
      <c r="G8" s="12"/>
    </row>
    <row r="9" spans="3:29" ht="25" customHeight="1">
      <c r="C9" s="6"/>
      <c r="D9" s="5"/>
      <c r="F9" s="117" t="s">
        <v>421</v>
      </c>
      <c r="G9" s="10" t="s">
        <v>134</v>
      </c>
      <c r="H9" s="15" t="s">
        <v>20</v>
      </c>
      <c r="I9" s="14" t="s">
        <v>23</v>
      </c>
      <c r="J9" s="16" t="s">
        <v>144</v>
      </c>
      <c r="K9" s="22"/>
      <c r="L9" s="117" t="s">
        <v>420</v>
      </c>
      <c r="M9" s="10" t="s">
        <v>134</v>
      </c>
      <c r="N9" s="15" t="s">
        <v>20</v>
      </c>
      <c r="O9" s="14" t="s">
        <v>23</v>
      </c>
      <c r="P9" s="16" t="s">
        <v>144</v>
      </c>
      <c r="Q9" s="24"/>
      <c r="R9" s="117" t="s">
        <v>577</v>
      </c>
      <c r="S9" s="10" t="s">
        <v>134</v>
      </c>
      <c r="T9" s="22"/>
      <c r="U9" s="261" t="s">
        <v>52</v>
      </c>
      <c r="V9" s="261"/>
      <c r="W9" s="5">
        <f>GETPIVOTDATA("Sum of Goal",'Dashboard (IND)'!AV6)</f>
        <v>4</v>
      </c>
      <c r="Z9" s="5"/>
    </row>
    <row r="10" spans="3:29" ht="25" customHeight="1">
      <c r="C10" s="6"/>
      <c r="D10" s="5"/>
      <c r="F10" s="18" t="s">
        <v>343</v>
      </c>
      <c r="G10" s="5">
        <f>GETPIVOTDATA("Sum of Total Passes",'Dashboard (IND)'!$BW$6)</f>
        <v>388</v>
      </c>
      <c r="H10" s="5">
        <f>GETPIVOTDATA("Sum of Completed Passes",'Dashboard (IND)'!$BV$6)</f>
        <v>293</v>
      </c>
      <c r="I10" s="5">
        <f>GETPIVOTDATA("Sum of Uncompleted Passes",'Dashboard (IND)'!$BU$6)</f>
        <v>95</v>
      </c>
      <c r="J10" s="13">
        <f>IFERROR(H10/G10,"-")</f>
        <v>0.75515463917525771</v>
      </c>
      <c r="K10" s="23"/>
      <c r="L10" s="18" t="s">
        <v>348</v>
      </c>
      <c r="M10" s="5">
        <f>GETPIVOTDATA("Sum of Total Defensive Duel",'Dashboard (IND)'!D6)</f>
        <v>35</v>
      </c>
      <c r="N10" s="5">
        <f>GETPIVOTDATA("Sum of Successful Defensive Duel",'Dashboard (IND)'!C6)</f>
        <v>11</v>
      </c>
      <c r="O10" s="5">
        <f>GETPIVOTDATA("Sum of Unsuccesful Defensive Duel",'Dashboard (IND)'!B6)</f>
        <v>23</v>
      </c>
      <c r="P10" s="13">
        <f>IFERROR(N10/M10,"-")</f>
        <v>0.31428571428571428</v>
      </c>
      <c r="Q10" s="18"/>
      <c r="R10" s="18" t="s">
        <v>460</v>
      </c>
      <c r="S10" s="5">
        <f>GETPIVOTDATA("Sum of Total Runs in Behind",'Dashboard (IND)'!L6)</f>
        <v>9</v>
      </c>
      <c r="U10" s="261" t="s">
        <v>54</v>
      </c>
      <c r="V10" s="261"/>
      <c r="W10" s="5">
        <f>GETPIVOTDATA("Sum of Assist",'Dashboard (IND)'!AU6)</f>
        <v>5</v>
      </c>
      <c r="Z10" s="5"/>
    </row>
    <row r="11" spans="3:29" ht="25" customHeight="1">
      <c r="C11" s="6"/>
      <c r="D11" s="5"/>
      <c r="F11" s="18" t="s">
        <v>344</v>
      </c>
      <c r="G11" s="5">
        <f>GETPIVOTDATA("Sum of Total Forward Passes",'Dashboard (IND)'!$BT$6)</f>
        <v>193</v>
      </c>
      <c r="H11" s="5">
        <f>GETPIVOTDATA("Sum of Completed Forward Passes",'Dashboard (IND)'!$BS$6)</f>
        <v>116</v>
      </c>
      <c r="I11" s="5">
        <f>GETPIVOTDATA("Sum of Uncompleted Forward Passes",'Dashboard (IND)'!$BR$6)</f>
        <v>77</v>
      </c>
      <c r="J11" s="13">
        <f t="shared" ref="J11:J18" si="0">IFERROR(H11/G11,"-")</f>
        <v>0.60103626943005184</v>
      </c>
      <c r="K11" s="23"/>
      <c r="L11" s="18" t="s">
        <v>48</v>
      </c>
      <c r="M11" s="5">
        <f>GETPIVOTDATA("Sum of Total Aerial Duel",'Dashboard (IND)'!AQ6)</f>
        <v>20</v>
      </c>
      <c r="N11" s="5">
        <f>GETPIVOTDATA("Sum of Succesful Aerial Duel",'Dashboard (IND)'!AP6)</f>
        <v>11</v>
      </c>
      <c r="O11" s="5">
        <f>GETPIVOTDATA("Sum of Unsuccessful Aerial Duel",'Dashboard (IND)'!AO6)</f>
        <v>9</v>
      </c>
      <c r="P11" s="13">
        <f t="shared" ref="P11:P14" si="1">IFERROR(N11/M11,"-")</f>
        <v>0.55000000000000004</v>
      </c>
      <c r="Q11" s="18"/>
      <c r="R11" s="18" t="s">
        <v>445</v>
      </c>
      <c r="S11" s="5">
        <f>GETPIVOTDATA("Sum of Total Into Pocket",'Dashboard (IND)'!H6)</f>
        <v>35</v>
      </c>
      <c r="U11" s="261" t="s">
        <v>119</v>
      </c>
      <c r="V11" s="261"/>
      <c r="W11" s="5">
        <f>GETPIVOTDATA("Sum of Total Shots",'Dashboard (IND)'!AZ6)</f>
        <v>10</v>
      </c>
      <c r="Z11" s="5"/>
    </row>
    <row r="12" spans="3:29" ht="25" customHeight="1">
      <c r="C12" s="6"/>
      <c r="D12" s="23"/>
      <c r="F12" s="18" t="s">
        <v>346</v>
      </c>
      <c r="G12" s="5">
        <f>GETPIVOTDATA("Sum of Total Lateral Passes",'Dashboard (IND)'!$BQ$6)</f>
        <v>90</v>
      </c>
      <c r="H12" s="5">
        <f>GETPIVOTDATA("Sum of Completed Lateral Passes",'Dashboard (IND)'!$BP$6)</f>
        <v>77</v>
      </c>
      <c r="I12" s="5">
        <f>GETPIVOTDATA("Sum of Uncompleted Lateral Passes",'Dashboard (IND)'!$BO$6)</f>
        <v>13</v>
      </c>
      <c r="J12" s="13">
        <f t="shared" si="0"/>
        <v>0.85555555555555551</v>
      </c>
      <c r="K12" s="23"/>
      <c r="L12" s="18" t="s">
        <v>349</v>
      </c>
      <c r="M12" s="5">
        <f>GETPIVOTDATA("Sum of Total 1v1 Defence",'Dashboard (IND)'!AN6)</f>
        <v>9</v>
      </c>
      <c r="N12" s="5">
        <f>GETPIVOTDATA("Sum of Successful 1v1 Defence",'Dashboard (IND)'!AM6)</f>
        <v>6</v>
      </c>
      <c r="O12" s="5">
        <f>GETPIVOTDATA("Sum of Unsuccessful 1v1 Defence",'Dashboard (IND)'!AL6)</f>
        <v>3</v>
      </c>
      <c r="P12" s="13">
        <f t="shared" si="1"/>
        <v>0.66666666666666663</v>
      </c>
      <c r="R12" s="18" t="s">
        <v>551</v>
      </c>
      <c r="S12" s="5">
        <f>GETPIVOTDATA("Sum of Total Wide Area",'Dashboard (IND)'!I6)</f>
        <v>57</v>
      </c>
      <c r="U12" s="261" t="s">
        <v>51</v>
      </c>
      <c r="V12" s="261"/>
      <c r="W12" s="5">
        <f>GETPIVOTDATA("Sum of On Target",'Dashboard (IND)'!AX6)</f>
        <v>4</v>
      </c>
      <c r="Z12" s="5"/>
    </row>
    <row r="13" spans="3:29" ht="25" customHeight="1">
      <c r="C13" s="6"/>
      <c r="D13" s="6"/>
      <c r="F13" s="18" t="s">
        <v>345</v>
      </c>
      <c r="G13" s="5">
        <f>GETPIVOTDATA("Sum of Total Backward Passes",'Dashboard (IND)'!$BN$6)</f>
        <v>105</v>
      </c>
      <c r="H13" s="5">
        <f>GETPIVOTDATA("Sum of Completed Backward Passes",'Dashboard (IND)'!$BM$6)</f>
        <v>100</v>
      </c>
      <c r="I13" s="5">
        <f>GETPIVOTDATA("Sum of Uncompleted Backward Passes",'Dashboard (IND)'!$BL$6)</f>
        <v>5</v>
      </c>
      <c r="J13" s="13">
        <f t="shared" si="0"/>
        <v>0.95238095238095233</v>
      </c>
      <c r="K13" s="23"/>
      <c r="L13" s="18" t="s">
        <v>335</v>
      </c>
      <c r="M13" s="5">
        <f>GETPIVOTDATA("Sum of Total Tackles",'Dashboard (IND)'!AK6)</f>
        <v>9</v>
      </c>
      <c r="N13" s="5">
        <f>GETPIVOTDATA("Sum of Successful Tackles",'Dashboard (IND)'!AJ6)</f>
        <v>9</v>
      </c>
      <c r="O13" s="5">
        <f>GETPIVOTDATA("Sum of Unsuccessful Tackles",'Dashboard (IND)'!AI6)</f>
        <v>0</v>
      </c>
      <c r="P13" s="13">
        <f t="shared" si="1"/>
        <v>1</v>
      </c>
      <c r="Q13" s="24"/>
      <c r="R13" s="18" t="s">
        <v>578</v>
      </c>
      <c r="S13" s="5">
        <f>GETPIVOTDATA("Sum of Total Back to Goal",'Dashboard (IND)'!J6)</f>
        <v>13</v>
      </c>
      <c r="U13" s="261" t="s">
        <v>39</v>
      </c>
      <c r="V13" s="261"/>
      <c r="W13" s="5">
        <f>GETPIVOTDATA("Sum of Off Target",'Dashboard (IND)'!AY6)</f>
        <v>3</v>
      </c>
    </row>
    <row r="14" spans="3:29" ht="25" customHeight="1">
      <c r="D14" s="6"/>
      <c r="F14" s="18" t="s">
        <v>347</v>
      </c>
      <c r="G14" s="5">
        <f>GETPIVOTDATA("Sum of Total Long Passes",'Dashboard (IND)'!$BK$6)</f>
        <v>43</v>
      </c>
      <c r="H14" s="5">
        <f>GETPIVOTDATA("Sum of Completed Long Passes",'Dashboard (IND)'!$BJ$6)</f>
        <v>20</v>
      </c>
      <c r="I14" s="5">
        <f>GETPIVOTDATA("Sum of Completed Long Passes",'Dashboard (IND)'!$BI$6)</f>
        <v>20</v>
      </c>
      <c r="J14" s="13">
        <f t="shared" si="0"/>
        <v>0.46511627906976744</v>
      </c>
      <c r="K14" s="23"/>
      <c r="L14" s="18" t="s">
        <v>139</v>
      </c>
      <c r="M14" s="5">
        <f>GETPIVOTDATA("Sum of Total 2nd Ball",'Dashboard (IND)'!AH6)</f>
        <v>15</v>
      </c>
      <c r="N14" s="5">
        <f>GETPIVOTDATA("Sum of Successful 2nd Ball",'Dashboard (IND)'!AG6)</f>
        <v>8</v>
      </c>
      <c r="O14" s="5">
        <f>GETPIVOTDATA("Sum of Unsuccessful 2nd Ball",'Dashboard (IND)'!AF6)</f>
        <v>7</v>
      </c>
      <c r="P14" s="13">
        <f t="shared" si="1"/>
        <v>0.53333333333333333</v>
      </c>
      <c r="Q14" s="6"/>
      <c r="R14" s="18" t="s">
        <v>579</v>
      </c>
      <c r="S14" s="5">
        <f>GETPIVOTDATA("Sum of Total Over/Underlaps",'Dashboard (IND)'!K6)</f>
        <v>1</v>
      </c>
      <c r="U14" s="261" t="s">
        <v>37</v>
      </c>
      <c r="V14" s="261"/>
      <c r="W14" s="5">
        <f>GETPIVOTDATA("Sum of Blocked",'Dashboard (IND)'!AW6)</f>
        <v>3</v>
      </c>
      <c r="Z14" s="5"/>
      <c r="AB14" s="9"/>
      <c r="AC14" s="9"/>
    </row>
    <row r="15" spans="3:29" ht="25" customHeight="1">
      <c r="D15" s="6"/>
      <c r="F15" s="18" t="s">
        <v>417</v>
      </c>
      <c r="G15" s="5">
        <f>GETPIVOTDATA("Sum of Total Balls in Behind",'Dashboard (IND)'!$BH$6)</f>
        <v>23</v>
      </c>
      <c r="H15" s="5">
        <f>GETPIVOTDATA("Sum of Completed Balls in Behind",'Dashboard (IND)'!$BG$6)</f>
        <v>10</v>
      </c>
      <c r="I15" s="5">
        <f>GETPIVOTDATA("Sum of Uncompleted Balls in Behind",'Dashboard (IND)'!$BF$6)</f>
        <v>14</v>
      </c>
      <c r="J15" s="13">
        <f t="shared" si="0"/>
        <v>0.43478260869565216</v>
      </c>
      <c r="K15" s="9"/>
      <c r="L15" s="18" t="s">
        <v>49</v>
      </c>
      <c r="M15" s="5">
        <f>GETPIVOTDATA("Sum of Interception",'Dashboard (IND)'!AD6)</f>
        <v>26</v>
      </c>
      <c r="N15" s="5"/>
      <c r="O15" s="5"/>
      <c r="P15" s="23"/>
      <c r="Q15" s="6"/>
      <c r="R15" s="18" t="s">
        <v>652</v>
      </c>
      <c r="S15" s="5">
        <f>GETPIVOTDATA("Sum of Total Half-space Runs",'Dashboard (IND)'!C6)</f>
        <v>0</v>
      </c>
      <c r="U15" s="6"/>
      <c r="V15" s="6"/>
      <c r="W15" s="5"/>
      <c r="Z15" s="5"/>
      <c r="AA15" s="9"/>
    </row>
    <row r="16" spans="3:29" ht="25" customHeight="1">
      <c r="D16" s="6"/>
      <c r="F16" s="18" t="s">
        <v>53</v>
      </c>
      <c r="G16" s="5">
        <f>GETPIVOTDATA("Sum of Total Cross",'Dashboard (IND)'!$AR$6)</f>
        <v>12</v>
      </c>
      <c r="H16" s="5">
        <f>GETPIVOTDATA("Sum of Completed Cross",'Dashboard (IND)'!$AQ$6)</f>
        <v>2</v>
      </c>
      <c r="I16" s="5">
        <f>GETPIVOTDATA("Sum of Uncompleted Cross",'Dashboard (IND)'!$AP$6)</f>
        <v>10</v>
      </c>
      <c r="J16" s="13">
        <f t="shared" si="0"/>
        <v>0.16666666666666666</v>
      </c>
      <c r="K16" s="22"/>
      <c r="L16" s="18" t="s">
        <v>47</v>
      </c>
      <c r="M16" s="5">
        <f>GETPIVOTDATA("Sum of Clearance",'Dashboard (IND)'!AE6)</f>
        <v>11</v>
      </c>
      <c r="N16" s="5"/>
      <c r="O16" s="5"/>
      <c r="P16" s="23"/>
      <c r="R16" s="18"/>
      <c r="S16" s="5"/>
      <c r="U16" s="260" t="s">
        <v>423</v>
      </c>
      <c r="V16" s="260"/>
      <c r="W16" s="260"/>
      <c r="Z16" s="5"/>
    </row>
    <row r="17" spans="4:29" ht="25" customHeight="1">
      <c r="D17" s="6"/>
      <c r="F17" s="18" t="s">
        <v>5</v>
      </c>
      <c r="G17" s="5">
        <f>GETPIVOTDATA("Sum of Total 1v1",'Dashboard (IND)'!$AS$6)</f>
        <v>23</v>
      </c>
      <c r="H17" s="5">
        <f>GETPIVOTDATA("Sum of Successful 1v1",'Dashboard (IND)'!AT6)</f>
        <v>21</v>
      </c>
      <c r="I17" s="5">
        <f>GETPIVOTDATA("Sum of Unsuccessful 1v1",'Dashboard (IND)'!AS6)</f>
        <v>2</v>
      </c>
      <c r="J17" s="13">
        <f t="shared" si="0"/>
        <v>0.91304347826086951</v>
      </c>
      <c r="K17" s="23"/>
      <c r="L17" s="18" t="s">
        <v>50</v>
      </c>
      <c r="M17" s="5">
        <f>GETPIVOTDATA("Sum of Recovery",'Dashboard (IND)'!AC6)</f>
        <v>13</v>
      </c>
      <c r="N17" s="9"/>
      <c r="O17" s="263" t="s">
        <v>593</v>
      </c>
      <c r="P17" s="263"/>
      <c r="Q17" s="263"/>
      <c r="R17" s="260" t="s">
        <v>580</v>
      </c>
      <c r="S17" s="260"/>
      <c r="T17" s="13"/>
      <c r="U17" s="262" t="s">
        <v>179</v>
      </c>
      <c r="V17" s="262"/>
      <c r="W17" s="5">
        <f>GETPIVOTDATA("Sum of Goal Conceded",'Dashboard (IND)'!R6)</f>
        <v>4</v>
      </c>
      <c r="Z17" s="5"/>
    </row>
    <row r="18" spans="4:29" ht="25" customHeight="1">
      <c r="D18" s="6"/>
      <c r="F18" s="18" t="s">
        <v>419</v>
      </c>
      <c r="G18" s="5">
        <f>GETPIVOTDATA("Sum of Total Offensive Duel",'Dashboard (IND)'!$AI$6)</f>
        <v>19</v>
      </c>
      <c r="H18" s="5">
        <f>GETPIVOTDATA("Sum of Successful Offensive Duel",'Dashboard (IND)'!$AH$6)</f>
        <v>17</v>
      </c>
      <c r="I18" s="5">
        <f>GETPIVOTDATA("Sum of Unsuccessful Offensive Duel",'Dashboard (IND)'!$AG$6)</f>
        <v>2</v>
      </c>
      <c r="J18" s="13">
        <f t="shared" si="0"/>
        <v>0.89473684210526316</v>
      </c>
      <c r="K18" s="23"/>
      <c r="L18" s="18" t="s">
        <v>608</v>
      </c>
      <c r="M18" s="5">
        <f>GETPIVOTDATA("Sum of Turnover Won",'Dashboard (IND)'!B6)</f>
        <v>20</v>
      </c>
      <c r="N18" s="5"/>
      <c r="O18" s="264">
        <f>GETPIVOTDATA("Sum of Duration (mins)",'Dashboard (IND)'!$P$6)</f>
        <v>840</v>
      </c>
      <c r="P18" s="264"/>
      <c r="Q18" s="264"/>
      <c r="R18" s="18" t="s">
        <v>575</v>
      </c>
      <c r="S18" s="5">
        <f>GETPIVOTDATA("Sum of Total Pass Received",'Dashboard (IND)'!M6)</f>
        <v>272</v>
      </c>
      <c r="T18" s="13"/>
      <c r="U18" s="262" t="s">
        <v>38</v>
      </c>
      <c r="V18" s="262"/>
      <c r="W18" s="5">
        <f>GETPIVOTDATA("Sum of GK On target",'Dashboard (IND)'!W6)</f>
        <v>10</v>
      </c>
    </row>
    <row r="19" spans="4:29" ht="25" customHeight="1">
      <c r="D19" s="6"/>
      <c r="F19" s="18" t="s">
        <v>651</v>
      </c>
      <c r="G19" s="5">
        <f>GETPIVOTDATA("Sum of Total Through Passes",'Dashboard (IND)'!BN6)</f>
        <v>7</v>
      </c>
      <c r="H19" s="5"/>
      <c r="I19" s="5"/>
      <c r="J19" s="23"/>
      <c r="K19" s="23"/>
      <c r="L19" s="18" t="s">
        <v>55</v>
      </c>
      <c r="M19" s="5">
        <f>GETPIVOTDATA("Sum of Blocked Shots",'Dashboard (IND)'!AB6)</f>
        <v>6</v>
      </c>
      <c r="N19" s="5"/>
      <c r="O19" s="5"/>
      <c r="P19" s="118"/>
      <c r="Q19" s="26"/>
      <c r="R19" s="18" t="s">
        <v>422</v>
      </c>
      <c r="S19" s="5">
        <f>GETPIVOTDATA("Sum of Ball Lost",'Dashboard (IND)'!BK6)</f>
        <v>31</v>
      </c>
      <c r="T19" s="84"/>
      <c r="U19" s="259" t="s">
        <v>39</v>
      </c>
      <c r="V19" s="259"/>
      <c r="W19" s="5">
        <f>GETPIVOTDATA("Sum of GK Off Target",'Dashboard (IND)'!V6)</f>
        <v>7</v>
      </c>
      <c r="Z19" s="25"/>
      <c r="AA19" s="9"/>
      <c r="AB19" s="22"/>
      <c r="AC19" s="22"/>
    </row>
    <row r="20" spans="4:29" ht="25" customHeight="1">
      <c r="F20" s="18" t="s">
        <v>450</v>
      </c>
      <c r="G20" s="5">
        <f>GETPIVOTDATA("Sum of Total Acceleration",'Dashboard (IND)'!G6)</f>
        <v>21</v>
      </c>
      <c r="H20" s="5"/>
      <c r="I20" s="5"/>
      <c r="J20" s="23"/>
      <c r="K20" s="23"/>
      <c r="L20" s="18" t="s">
        <v>223</v>
      </c>
      <c r="M20" s="5">
        <f>GETPIVOTDATA("Sum of Fouls",'Dashboard (IND)'!Y6)</f>
        <v>12</v>
      </c>
      <c r="N20" s="5"/>
      <c r="R20" s="18" t="s">
        <v>14</v>
      </c>
      <c r="S20" s="5">
        <f>GETPIVOTDATA("Sum of Ball Lost in Final 1/3",'Dashboard (IND)'!BJ6)</f>
        <v>7</v>
      </c>
      <c r="T20" s="84"/>
      <c r="U20" s="259" t="s">
        <v>281</v>
      </c>
      <c r="V20" s="259"/>
      <c r="W20" s="5">
        <f>GETPIVOTDATA("Sum of Save",'Dashboard (IND)'!Q6)</f>
        <v>3</v>
      </c>
      <c r="Y20" s="26"/>
      <c r="Z20" s="5"/>
      <c r="AA20" s="5"/>
      <c r="AB20" s="5"/>
      <c r="AC20" s="23"/>
    </row>
    <row r="21" spans="4:29" ht="25" customHeight="1">
      <c r="F21" s="18" t="s">
        <v>426</v>
      </c>
      <c r="G21" s="5">
        <f>GETPIVOTDATA("Sum of Touches in the Box",'Dashboard (IND)'!AV6)</f>
        <v>13</v>
      </c>
      <c r="K21" s="23"/>
      <c r="L21" s="18" t="s">
        <v>222</v>
      </c>
      <c r="M21" s="5">
        <f>GETPIVOTDATA("Sum of Won Fouls",'Dashboard (IND)'!Z6)</f>
        <v>6</v>
      </c>
      <c r="N21" s="5"/>
      <c r="R21" s="18" t="s">
        <v>195</v>
      </c>
      <c r="S21" s="5">
        <f>GETPIVOTDATA("Sum of Ball Lost in Middle 1/3",'Dashboard (IND)'!BI6)</f>
        <v>15</v>
      </c>
      <c r="T21" s="84"/>
      <c r="U21" s="259" t="s">
        <v>418</v>
      </c>
      <c r="V21" s="259"/>
      <c r="W21" s="5">
        <f>GETPIVOTDATA("Sum of GK 1v1",'Dashboard (IND)'!X6)</f>
        <v>2</v>
      </c>
      <c r="Y21" s="26"/>
      <c r="Z21" s="5"/>
      <c r="AA21" s="5"/>
      <c r="AB21" s="5"/>
      <c r="AC21" s="23"/>
    </row>
    <row r="22" spans="4:29" ht="25" customHeight="1">
      <c r="F22" s="24"/>
      <c r="G22" s="5"/>
      <c r="H22" s="23"/>
      <c r="J22" s="22"/>
      <c r="K22" s="23"/>
      <c r="L22" s="18"/>
      <c r="M22" s="5"/>
      <c r="N22" s="5"/>
      <c r="R22" s="18" t="s">
        <v>28</v>
      </c>
      <c r="S22" s="5">
        <f>GETPIVOTDATA("Sum of Ball Lost in Own 1/3",'Dashboard (IND)'!BH6)</f>
        <v>9</v>
      </c>
      <c r="T22" s="84"/>
      <c r="U22" s="259" t="s">
        <v>449</v>
      </c>
      <c r="V22" s="259"/>
      <c r="W22" s="5">
        <f>GETPIVOTDATA("Sum of Defence the Space",'Dashboard (IND)'!U6)</f>
        <v>4</v>
      </c>
    </row>
    <row r="23" spans="4:29" ht="25" customHeight="1">
      <c r="F23" s="18"/>
      <c r="G23" s="5"/>
      <c r="H23" s="23"/>
      <c r="J23" s="23"/>
      <c r="L23" s="18"/>
      <c r="M23" s="5"/>
      <c r="N23" s="5"/>
      <c r="R23" s="26"/>
      <c r="S23" s="26"/>
      <c r="T23" s="26"/>
      <c r="U23" s="259" t="s">
        <v>576</v>
      </c>
      <c r="V23" s="259"/>
      <c r="W23" s="5">
        <f>GETPIVOTDATA("Sum of Defend the line (Cross)",'Dashboard (IND)'!T6)</f>
        <v>3</v>
      </c>
    </row>
    <row r="24" spans="4:29" ht="25" customHeight="1">
      <c r="F24" s="18"/>
      <c r="G24" s="5"/>
      <c r="H24" s="23"/>
      <c r="J24" s="23"/>
      <c r="K24" s="22"/>
      <c r="L24" s="18"/>
      <c r="M24" s="5"/>
      <c r="N24" s="5"/>
      <c r="R24" s="26"/>
      <c r="S24" s="26"/>
      <c r="T24" s="26"/>
      <c r="U24" s="259" t="s">
        <v>459</v>
      </c>
      <c r="V24" s="259"/>
      <c r="W24" s="5">
        <f>GETPIVOTDATA("Sum of Counter Kick",'Dashboard (IND)'!S6)</f>
        <v>2</v>
      </c>
    </row>
    <row r="25" spans="4:29" ht="25" customHeight="1">
      <c r="F25" s="18"/>
      <c r="G25" s="5"/>
      <c r="H25" s="23"/>
      <c r="J25" s="23"/>
      <c r="K25" s="23"/>
      <c r="L25" s="18"/>
      <c r="M25" s="5"/>
      <c r="N25" s="5"/>
      <c r="O25" s="5"/>
      <c r="P25" s="23"/>
      <c r="Q25" s="26"/>
    </row>
    <row r="26" spans="4:29" ht="25" customHeight="1">
      <c r="F26" s="18"/>
      <c r="G26" s="5"/>
      <c r="H26" s="23"/>
      <c r="J26" s="23"/>
      <c r="K26" s="23"/>
      <c r="O26" s="5"/>
      <c r="P26" s="23"/>
      <c r="Q26" s="26"/>
    </row>
    <row r="27" spans="4:29" ht="25" customHeight="1">
      <c r="F27" s="18"/>
      <c r="J27" s="23"/>
      <c r="K27" s="23"/>
      <c r="O27" s="5"/>
      <c r="P27" s="23"/>
      <c r="Q27" s="26"/>
    </row>
    <row r="28" spans="4:29" ht="25" customHeight="1">
      <c r="F28" s="18"/>
      <c r="J28" s="23"/>
      <c r="K28" s="23"/>
      <c r="O28" s="5"/>
      <c r="P28" s="23"/>
    </row>
    <row r="29" spans="4:29" ht="25" customHeight="1">
      <c r="K29" s="23"/>
    </row>
    <row r="30" spans="4:29" ht="25" customHeight="1"/>
    <row r="31" spans="4:29" ht="25" customHeight="1"/>
    <row r="32" spans="4:29" ht="25" customHeight="1"/>
    <row r="33" ht="25" customHeight="1"/>
    <row r="34" ht="25" customHeight="1"/>
    <row r="35" ht="25" customHeight="1"/>
    <row r="36" ht="25" customHeight="1"/>
    <row r="37" ht="25" customHeight="1"/>
    <row r="38" ht="25" customHeight="1"/>
    <row r="39" ht="25" customHeight="1"/>
    <row r="40" ht="25" customHeight="1"/>
    <row r="41" ht="25" customHeight="1"/>
    <row r="42" ht="25" customHeight="1"/>
    <row r="43" ht="25" customHeight="1"/>
    <row r="44" ht="25" customHeight="1"/>
    <row r="45" ht="25" customHeight="1"/>
    <row r="46" ht="25" customHeight="1"/>
    <row r="47" ht="25" customHeight="1"/>
    <row r="48" ht="25" customHeight="1"/>
    <row r="49" ht="25" customHeight="1"/>
    <row r="50" ht="25" customHeight="1"/>
    <row r="51" ht="25" customHeight="1"/>
    <row r="52" ht="25" customHeight="1"/>
    <row r="53" ht="25" customHeight="1"/>
    <row r="54" ht="25" customHeight="1"/>
    <row r="55" ht="25" customHeight="1"/>
    <row r="56" ht="25" customHeight="1"/>
    <row r="57" ht="25" customHeight="1"/>
    <row r="58" ht="25" customHeight="1"/>
    <row r="59" ht="25" customHeight="1"/>
  </sheetData>
  <mergeCells count="22">
    <mergeCell ref="F7:J7"/>
    <mergeCell ref="L7:P7"/>
    <mergeCell ref="U18:V18"/>
    <mergeCell ref="U19:V19"/>
    <mergeCell ref="O17:Q17"/>
    <mergeCell ref="O18:Q18"/>
    <mergeCell ref="U22:V22"/>
    <mergeCell ref="U20:V20"/>
    <mergeCell ref="U21:V21"/>
    <mergeCell ref="U24:V24"/>
    <mergeCell ref="R7:S7"/>
    <mergeCell ref="R17:S17"/>
    <mergeCell ref="U9:V9"/>
    <mergeCell ref="U10:V10"/>
    <mergeCell ref="U11:V11"/>
    <mergeCell ref="U14:V14"/>
    <mergeCell ref="U16:W16"/>
    <mergeCell ref="U17:V17"/>
    <mergeCell ref="U12:V12"/>
    <mergeCell ref="U13:V13"/>
    <mergeCell ref="U23:V23"/>
    <mergeCell ref="U7:W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AC12D-D380-414F-871E-FECF78A88B13}">
  <dimension ref="A1:IP58"/>
  <sheetViews>
    <sheetView topLeftCell="DT1" zoomScale="94" workbookViewId="0">
      <selection activeCell="DV12" sqref="DV12"/>
    </sheetView>
  </sheetViews>
  <sheetFormatPr baseColWidth="10" defaultRowHeight="16"/>
  <cols>
    <col min="1" max="1" width="38.1640625" customWidth="1"/>
    <col min="2" max="2" width="10" customWidth="1"/>
    <col min="3" max="3" width="10.1640625" customWidth="1"/>
    <col min="4" max="48" width="20.83203125" customWidth="1"/>
    <col min="49" max="49" width="32.33203125" customWidth="1"/>
    <col min="50" max="50" width="26" customWidth="1"/>
    <col min="51" max="51" width="28.33203125" customWidth="1"/>
    <col min="52" max="52" width="31.6640625" customWidth="1"/>
    <col min="53" max="53" width="30" customWidth="1"/>
    <col min="54" max="54" width="28.83203125" customWidth="1"/>
    <col min="55" max="55" width="27" customWidth="1"/>
    <col min="56" max="226" width="20.83203125" customWidth="1"/>
    <col min="227" max="228" width="20.83203125" style="115" customWidth="1"/>
    <col min="229" max="241" width="20.83203125" customWidth="1"/>
  </cols>
  <sheetData>
    <row r="1" spans="1:250">
      <c r="D1" s="2" t="s">
        <v>561</v>
      </c>
      <c r="E1" s="2" t="s">
        <v>282</v>
      </c>
      <c r="F1" s="2" t="s">
        <v>155</v>
      </c>
      <c r="G1" s="2" t="s">
        <v>157</v>
      </c>
      <c r="H1" s="2" t="s">
        <v>154</v>
      </c>
      <c r="I1" s="2" t="s">
        <v>156</v>
      </c>
      <c r="J1" s="2" t="s">
        <v>463</v>
      </c>
      <c r="K1" s="2" t="s">
        <v>464</v>
      </c>
      <c r="L1" s="2" t="s">
        <v>158</v>
      </c>
      <c r="M1" s="2" t="s">
        <v>56</v>
      </c>
      <c r="N1" s="2" t="s">
        <v>57</v>
      </c>
      <c r="O1" s="2" t="s">
        <v>558</v>
      </c>
      <c r="P1" s="2" t="s">
        <v>559</v>
      </c>
      <c r="Q1" s="2" t="s">
        <v>560</v>
      </c>
      <c r="R1" s="2" t="s">
        <v>58</v>
      </c>
      <c r="S1" s="2" t="s">
        <v>59</v>
      </c>
      <c r="T1" s="2" t="s">
        <v>60</v>
      </c>
      <c r="U1" s="2" t="s">
        <v>61</v>
      </c>
      <c r="V1" s="2" t="s">
        <v>62</v>
      </c>
      <c r="W1" s="2" t="s">
        <v>63</v>
      </c>
      <c r="X1" s="2" t="s">
        <v>64</v>
      </c>
      <c r="Y1" s="2" t="s">
        <v>170</v>
      </c>
      <c r="Z1" s="2" t="s">
        <v>65</v>
      </c>
      <c r="AA1" s="2" t="s">
        <v>66</v>
      </c>
      <c r="AB1" s="2" t="s">
        <v>67</v>
      </c>
      <c r="AC1" s="2" t="s">
        <v>68</v>
      </c>
      <c r="AD1" s="2" t="s">
        <v>69</v>
      </c>
      <c r="AE1" s="2" t="s">
        <v>70</v>
      </c>
      <c r="AF1" s="2" t="s">
        <v>198</v>
      </c>
      <c r="AG1" s="2" t="s">
        <v>227</v>
      </c>
      <c r="AH1" s="2" t="s">
        <v>199</v>
      </c>
      <c r="AI1" s="2" t="s">
        <v>200</v>
      </c>
      <c r="AJ1" s="2" t="s">
        <v>201</v>
      </c>
      <c r="AK1" s="2" t="s">
        <v>226</v>
      </c>
      <c r="AL1" s="2" t="s">
        <v>225</v>
      </c>
      <c r="AM1" s="2" t="s">
        <v>224</v>
      </c>
      <c r="AN1" s="2" t="s">
        <v>71</v>
      </c>
      <c r="AO1" s="2" t="s">
        <v>171</v>
      </c>
      <c r="AP1" s="2" t="s">
        <v>72</v>
      </c>
      <c r="AQ1" s="2" t="s">
        <v>73</v>
      </c>
      <c r="AR1" s="2" t="s">
        <v>74</v>
      </c>
      <c r="AS1" s="2" t="s">
        <v>75</v>
      </c>
      <c r="AT1" s="2" t="s">
        <v>76</v>
      </c>
      <c r="AU1" s="2" t="s">
        <v>77</v>
      </c>
      <c r="AV1" s="2" t="s">
        <v>202</v>
      </c>
      <c r="AW1" s="2" t="s">
        <v>231</v>
      </c>
      <c r="AX1" s="2" t="s">
        <v>203</v>
      </c>
      <c r="AY1" s="2" t="s">
        <v>204</v>
      </c>
      <c r="AZ1" s="2" t="s">
        <v>205</v>
      </c>
      <c r="BA1" s="2" t="s">
        <v>230</v>
      </c>
      <c r="BB1" s="2" t="s">
        <v>229</v>
      </c>
      <c r="BC1" s="2" t="s">
        <v>228</v>
      </c>
      <c r="BD1" s="2" t="s">
        <v>78</v>
      </c>
      <c r="BE1" s="2" t="s">
        <v>79</v>
      </c>
      <c r="BF1" s="2" t="s">
        <v>80</v>
      </c>
      <c r="BG1" s="2" t="s">
        <v>159</v>
      </c>
      <c r="BH1" s="2" t="s">
        <v>160</v>
      </c>
      <c r="BI1" s="2" t="s">
        <v>81</v>
      </c>
      <c r="BJ1" s="2" t="s">
        <v>82</v>
      </c>
      <c r="BK1" s="2" t="s">
        <v>83</v>
      </c>
      <c r="BL1" s="2" t="s">
        <v>84</v>
      </c>
      <c r="BM1" s="2" t="s">
        <v>85</v>
      </c>
      <c r="BN1" s="2" t="s">
        <v>86</v>
      </c>
      <c r="BO1" s="2" t="s">
        <v>161</v>
      </c>
      <c r="BP1" s="2" t="s">
        <v>162</v>
      </c>
      <c r="BQ1" s="2" t="s">
        <v>87</v>
      </c>
      <c r="BR1" s="2" t="s">
        <v>88</v>
      </c>
      <c r="BS1" s="2" t="s">
        <v>89</v>
      </c>
      <c r="BT1" s="2" t="s">
        <v>90</v>
      </c>
      <c r="BU1" s="2" t="s">
        <v>163</v>
      </c>
      <c r="BV1" s="2" t="s">
        <v>124</v>
      </c>
      <c r="BW1" s="2" t="s">
        <v>172</v>
      </c>
      <c r="BX1" s="2" t="s">
        <v>173</v>
      </c>
      <c r="BY1" s="2" t="s">
        <v>174</v>
      </c>
      <c r="BZ1" s="2" t="s">
        <v>175</v>
      </c>
      <c r="CA1" s="2" t="s">
        <v>91</v>
      </c>
      <c r="CB1" s="2" t="s">
        <v>93</v>
      </c>
      <c r="CC1" s="2" t="s">
        <v>92</v>
      </c>
      <c r="CD1" s="2" t="s">
        <v>164</v>
      </c>
      <c r="CE1" s="2" t="s">
        <v>165</v>
      </c>
      <c r="CF1" s="2" t="s">
        <v>94</v>
      </c>
      <c r="CG1" s="2" t="s">
        <v>95</v>
      </c>
      <c r="CH1" s="2" t="s">
        <v>457</v>
      </c>
      <c r="CI1" s="2" t="s">
        <v>96</v>
      </c>
      <c r="CJ1" s="2" t="s">
        <v>97</v>
      </c>
      <c r="CK1" s="2" t="s">
        <v>98</v>
      </c>
      <c r="CL1" s="2" t="s">
        <v>166</v>
      </c>
      <c r="CM1" s="2" t="s">
        <v>167</v>
      </c>
      <c r="CN1" s="2" t="s">
        <v>99</v>
      </c>
      <c r="CO1" s="2" t="s">
        <v>100</v>
      </c>
      <c r="CP1" s="2" t="s">
        <v>101</v>
      </c>
      <c r="CQ1" s="2" t="s">
        <v>168</v>
      </c>
      <c r="CR1" s="2" t="s">
        <v>169</v>
      </c>
      <c r="CS1" s="2" t="s">
        <v>102</v>
      </c>
      <c r="CT1" s="2" t="s">
        <v>103</v>
      </c>
      <c r="CU1" s="2" t="s">
        <v>104</v>
      </c>
      <c r="CV1" s="2" t="s">
        <v>105</v>
      </c>
      <c r="CW1" s="2" t="s">
        <v>106</v>
      </c>
      <c r="CX1" s="2" t="s">
        <v>107</v>
      </c>
      <c r="CY1" s="2" t="s">
        <v>108</v>
      </c>
      <c r="CZ1" s="2" t="s">
        <v>109</v>
      </c>
      <c r="DA1" s="2" t="s">
        <v>110</v>
      </c>
      <c r="DB1" s="2" t="s">
        <v>111</v>
      </c>
      <c r="DC1" s="2" t="s">
        <v>22</v>
      </c>
      <c r="DD1" s="2" t="s">
        <v>15</v>
      </c>
      <c r="DE1" s="2" t="s">
        <v>112</v>
      </c>
      <c r="DF1" s="2" t="s">
        <v>113</v>
      </c>
      <c r="DG1" s="2" t="s">
        <v>329</v>
      </c>
      <c r="DH1" s="2" t="s">
        <v>330</v>
      </c>
      <c r="DI1" s="2" t="s">
        <v>114</v>
      </c>
      <c r="DJ1" s="2" t="s">
        <v>115</v>
      </c>
      <c r="DK1" s="2" t="s">
        <v>331</v>
      </c>
      <c r="DL1" s="2" t="s">
        <v>332</v>
      </c>
      <c r="DM1" s="2" t="s">
        <v>24</v>
      </c>
      <c r="DN1" s="2" t="s">
        <v>125</v>
      </c>
      <c r="DO1" s="2" t="s">
        <v>13</v>
      </c>
      <c r="DP1" s="2" t="s">
        <v>126</v>
      </c>
      <c r="DQ1" s="2" t="s">
        <v>25</v>
      </c>
      <c r="DR1" s="2" t="s">
        <v>127</v>
      </c>
      <c r="DS1" s="2" t="s">
        <v>116</v>
      </c>
      <c r="DT1" s="2" t="s">
        <v>117</v>
      </c>
      <c r="DU1" s="2" t="s">
        <v>118</v>
      </c>
      <c r="DV1" s="2" t="s">
        <v>178</v>
      </c>
      <c r="DW1" s="2" t="s">
        <v>176</v>
      </c>
      <c r="DX1" s="2" t="s">
        <v>137</v>
      </c>
      <c r="DY1" s="2" t="s">
        <v>138</v>
      </c>
      <c r="DZ1" s="2" t="s">
        <v>177</v>
      </c>
      <c r="EA1" s="36" t="s">
        <v>233</v>
      </c>
      <c r="EB1" s="36" t="s">
        <v>283</v>
      </c>
      <c r="EC1" s="36" t="s">
        <v>284</v>
      </c>
      <c r="ED1" s="58" t="s">
        <v>465</v>
      </c>
      <c r="EE1" s="58" t="s">
        <v>466</v>
      </c>
      <c r="EF1" s="36" t="s">
        <v>285</v>
      </c>
      <c r="EG1" s="36" t="s">
        <v>286</v>
      </c>
      <c r="EH1" s="36" t="s">
        <v>287</v>
      </c>
      <c r="EI1" s="58" t="s">
        <v>467</v>
      </c>
      <c r="EJ1" s="58" t="s">
        <v>468</v>
      </c>
      <c r="EK1" s="36" t="s">
        <v>239</v>
      </c>
      <c r="EL1" s="36" t="s">
        <v>288</v>
      </c>
      <c r="EM1" s="36" t="s">
        <v>289</v>
      </c>
      <c r="EN1" s="58" t="s">
        <v>469</v>
      </c>
      <c r="EO1" s="58" t="s">
        <v>470</v>
      </c>
      <c r="EP1" s="36" t="s">
        <v>242</v>
      </c>
      <c r="EQ1" s="36" t="s">
        <v>290</v>
      </c>
      <c r="ER1" s="36" t="s">
        <v>291</v>
      </c>
      <c r="ES1" s="58" t="s">
        <v>471</v>
      </c>
      <c r="ET1" s="58" t="s">
        <v>472</v>
      </c>
      <c r="EU1" s="36" t="s">
        <v>251</v>
      </c>
      <c r="EV1" s="36" t="s">
        <v>293</v>
      </c>
      <c r="EW1" s="36" t="s">
        <v>292</v>
      </c>
      <c r="EX1" s="58" t="s">
        <v>473</v>
      </c>
      <c r="EY1" s="58" t="s">
        <v>474</v>
      </c>
      <c r="EZ1" s="36" t="s">
        <v>257</v>
      </c>
      <c r="FA1" s="36" t="s">
        <v>294</v>
      </c>
      <c r="FB1" s="36" t="s">
        <v>295</v>
      </c>
      <c r="FC1" s="58" t="s">
        <v>475</v>
      </c>
      <c r="FD1" s="58" t="s">
        <v>476</v>
      </c>
      <c r="FE1" s="36" t="s">
        <v>260</v>
      </c>
      <c r="FF1" s="36" t="s">
        <v>261</v>
      </c>
      <c r="FG1" s="36" t="s">
        <v>296</v>
      </c>
      <c r="FH1" s="36" t="s">
        <v>297</v>
      </c>
      <c r="FI1" s="58" t="s">
        <v>477</v>
      </c>
      <c r="FJ1" s="58" t="s">
        <v>478</v>
      </c>
      <c r="FK1" s="58" t="s">
        <v>546</v>
      </c>
      <c r="FL1" s="58" t="s">
        <v>646</v>
      </c>
      <c r="FM1" s="58" t="s">
        <v>648</v>
      </c>
      <c r="FN1" s="36" t="s">
        <v>299</v>
      </c>
      <c r="FO1" s="36" t="s">
        <v>298</v>
      </c>
      <c r="FP1" s="36" t="s">
        <v>300</v>
      </c>
      <c r="FQ1" s="36" t="s">
        <v>301</v>
      </c>
      <c r="FR1" s="36" t="s">
        <v>302</v>
      </c>
      <c r="FS1" s="36" t="s">
        <v>303</v>
      </c>
      <c r="FT1" s="36" t="s">
        <v>250</v>
      </c>
      <c r="FU1" s="36" t="s">
        <v>549</v>
      </c>
      <c r="FV1" s="36" t="s">
        <v>550</v>
      </c>
      <c r="FW1" s="58" t="s">
        <v>479</v>
      </c>
      <c r="FX1" s="58" t="s">
        <v>480</v>
      </c>
      <c r="FY1" s="36" t="s">
        <v>304</v>
      </c>
      <c r="FZ1" s="36" t="s">
        <v>305</v>
      </c>
      <c r="GA1" s="36" t="s">
        <v>306</v>
      </c>
      <c r="GB1" s="58" t="s">
        <v>481</v>
      </c>
      <c r="GC1" s="58" t="s">
        <v>482</v>
      </c>
      <c r="GD1" s="36" t="s">
        <v>150</v>
      </c>
      <c r="GE1" s="36" t="s">
        <v>307</v>
      </c>
      <c r="GF1" s="36" t="s">
        <v>308</v>
      </c>
      <c r="GG1" s="36" t="s">
        <v>309</v>
      </c>
      <c r="GH1" s="36" t="s">
        <v>310</v>
      </c>
      <c r="GI1" s="36" t="s">
        <v>311</v>
      </c>
      <c r="GJ1" s="36" t="s">
        <v>338</v>
      </c>
      <c r="GK1" s="36" t="s">
        <v>341</v>
      </c>
      <c r="GL1" s="36" t="s">
        <v>342</v>
      </c>
      <c r="GM1" s="58" t="s">
        <v>483</v>
      </c>
      <c r="GN1" s="58" t="s">
        <v>484</v>
      </c>
      <c r="GO1" s="36" t="s">
        <v>451</v>
      </c>
      <c r="GP1" s="58" t="s">
        <v>557</v>
      </c>
      <c r="GQ1" s="36" t="s">
        <v>553</v>
      </c>
      <c r="GR1" s="36" t="s">
        <v>554</v>
      </c>
      <c r="GS1" s="36" t="s">
        <v>555</v>
      </c>
      <c r="GT1" s="36" t="s">
        <v>556</v>
      </c>
      <c r="GU1" s="36" t="s">
        <v>649</v>
      </c>
      <c r="GV1" s="36" t="s">
        <v>351</v>
      </c>
      <c r="GW1" s="36" t="s">
        <v>352</v>
      </c>
      <c r="GX1" s="36" t="s">
        <v>353</v>
      </c>
      <c r="GY1" s="58" t="s">
        <v>485</v>
      </c>
      <c r="GZ1" s="58" t="s">
        <v>486</v>
      </c>
      <c r="HA1" s="36" t="s">
        <v>487</v>
      </c>
      <c r="HB1" s="36" t="s">
        <v>488</v>
      </c>
      <c r="HC1" s="36" t="s">
        <v>489</v>
      </c>
      <c r="HD1" s="58" t="s">
        <v>490</v>
      </c>
      <c r="HE1" s="58" t="s">
        <v>491</v>
      </c>
      <c r="HF1" s="36" t="s">
        <v>312</v>
      </c>
      <c r="HG1" s="36" t="s">
        <v>313</v>
      </c>
      <c r="HH1" s="36" t="s">
        <v>314</v>
      </c>
      <c r="HI1" s="58" t="s">
        <v>492</v>
      </c>
      <c r="HJ1" s="58" t="s">
        <v>493</v>
      </c>
      <c r="HK1" s="36" t="s">
        <v>267</v>
      </c>
      <c r="HL1" s="36" t="s">
        <v>315</v>
      </c>
      <c r="HM1" s="36" t="s">
        <v>316</v>
      </c>
      <c r="HN1" s="58" t="s">
        <v>494</v>
      </c>
      <c r="HO1" s="58" t="s">
        <v>495</v>
      </c>
      <c r="HP1" s="36" t="s">
        <v>270</v>
      </c>
      <c r="HQ1" s="36" t="s">
        <v>317</v>
      </c>
      <c r="HR1" s="36" t="s">
        <v>318</v>
      </c>
      <c r="HS1" s="58" t="s">
        <v>496</v>
      </c>
      <c r="HT1" s="58" t="s">
        <v>497</v>
      </c>
      <c r="HU1" s="36" t="s">
        <v>273</v>
      </c>
      <c r="HV1" s="36" t="s">
        <v>319</v>
      </c>
      <c r="HW1" s="36" t="s">
        <v>320</v>
      </c>
      <c r="HX1" s="58" t="s">
        <v>498</v>
      </c>
      <c r="HY1" s="58" t="s">
        <v>499</v>
      </c>
      <c r="HZ1" s="36" t="s">
        <v>321</v>
      </c>
      <c r="IA1" s="36" t="s">
        <v>322</v>
      </c>
      <c r="IB1" s="36" t="s">
        <v>608</v>
      </c>
      <c r="IC1" s="36" t="s">
        <v>323</v>
      </c>
      <c r="ID1" s="36" t="s">
        <v>324</v>
      </c>
      <c r="IE1" s="36" t="s">
        <v>325</v>
      </c>
      <c r="IF1" s="36" t="s">
        <v>326</v>
      </c>
      <c r="IG1" s="36" t="s">
        <v>327</v>
      </c>
      <c r="IH1" s="36" t="s">
        <v>277</v>
      </c>
      <c r="II1" s="36" t="s">
        <v>278</v>
      </c>
      <c r="IJ1" s="36" t="s">
        <v>279</v>
      </c>
      <c r="IK1" s="36" t="s">
        <v>280</v>
      </c>
      <c r="IL1" s="36" t="s">
        <v>57</v>
      </c>
      <c r="IM1" s="36" t="s">
        <v>281</v>
      </c>
      <c r="IN1" s="36" t="s">
        <v>458</v>
      </c>
      <c r="IO1" s="83" t="s">
        <v>459</v>
      </c>
    </row>
    <row r="2" spans="1:250">
      <c r="E2" t="s">
        <v>654</v>
      </c>
      <c r="F2" t="s">
        <v>794</v>
      </c>
      <c r="G2" t="s">
        <v>197</v>
      </c>
      <c r="H2" t="s">
        <v>653</v>
      </c>
      <c r="I2" s="28" t="s">
        <v>639</v>
      </c>
      <c r="J2" t="s">
        <v>462</v>
      </c>
      <c r="K2" t="s">
        <v>462</v>
      </c>
      <c r="L2" t="str" cm="1">
        <f t="array" ref="L2">_xlfn.IFS(M2&lt;N2,"L",M2=N2,"D",M2&gt;N2,"W")</f>
        <v>D</v>
      </c>
      <c r="M2">
        <f>COUNTIFS('Raw data'!$Y:$Y,"*1st*",'Raw data'!$D:$D,"P'Boro Goal")</f>
        <v>2</v>
      </c>
      <c r="N2">
        <f>COUNTIFS('Raw data'!$Y:$Y,"*1st*",'Raw data'!$D:$D,"Opp Goal")</f>
        <v>2</v>
      </c>
      <c r="O2" s="8">
        <f>P2+Q2</f>
        <v>45.446166453433193</v>
      </c>
      <c r="P2" s="8">
        <f>SUMIFS('Raw data'!$C:$C,'Raw data'!$D:$D,"Ball in play",'Raw data'!$Y:$Y,"*1st*") /60</f>
        <v>24.820005113843568</v>
      </c>
      <c r="Q2" s="8">
        <f>SUMIFS('Raw data'!$C:$C,'Raw data'!$D:$D,"Out of play",'Raw data'!$Y:$Y,"*1st*") /60</f>
        <v>20.626161339589625</v>
      </c>
      <c r="R2" s="7">
        <f>P2/O2</f>
        <v>0.54614078701831981</v>
      </c>
      <c r="S2" s="7">
        <f>Q2/O2</f>
        <v>0.45385921298168019</v>
      </c>
      <c r="T2" s="8">
        <f>(SUMIFS('Raw data'!$C:$C,'Raw data'!$D:$D,"In Possession",'Raw data'!$Y:$Y,"*1st*")-(3*(COUNTIFS('Raw data'!$D:$D,"In Possession",'Raw data'!$Y:$Y,"*1st*"))))/60</f>
        <v>16.945710000332991</v>
      </c>
      <c r="U2" s="8">
        <f>(SUMIFS('Raw data'!$C:$C,'Raw data'!$D:$D,"Out of Possession",'Raw data'!$Y:$Y,"*1st*")-(3*(COUNTIFS('Raw data'!$D:$D,"Out of Possession",'Raw data'!$Y:$Y,"*1st*"))))/60</f>
        <v>8.3841510648327109</v>
      </c>
      <c r="V2" s="11">
        <f>T2/(T2+U2)</f>
        <v>0.66900130074685571</v>
      </c>
      <c r="W2" s="11">
        <f>U2/(T2+U2)</f>
        <v>0.33099869925314429</v>
      </c>
      <c r="X2">
        <f>COUNTIFS('Raw data'!$D:$D,"P'Boro Chance",'Raw data'!$Y:$Y,"*1st*")</f>
        <v>6</v>
      </c>
      <c r="Y2">
        <f>SUM(Z2:AB2)</f>
        <v>6</v>
      </c>
      <c r="Z2">
        <f>COUNTIFS('Raw data'!$D:$D,"P'Boro Chance",'Raw data'!$Q:$Q,"*On Target*",'Raw data'!$Y:$Y,"*1st*")</f>
        <v>2</v>
      </c>
      <c r="AA2">
        <f>COUNTIFS('Raw data'!$D:$D,"P'Boro Chance",'Raw data'!$Q:$Q,"*Off Target*",'Raw data'!$Y:$Y,"*1st*")</f>
        <v>1</v>
      </c>
      <c r="AB2">
        <f>COUNTIFS('Raw data'!$D:$D,"P'Boro Chance",'Raw data'!$Q:$Q,"*Blocked*",'Raw data'!$Y:$Y,"*1st*")</f>
        <v>3</v>
      </c>
      <c r="AC2" s="7">
        <f>Z2/Y2</f>
        <v>0.33333333333333331</v>
      </c>
      <c r="AD2" s="7">
        <f>AA2/Y2</f>
        <v>0.16666666666666666</v>
      </c>
      <c r="AE2" s="7">
        <f>AB2/Y2</f>
        <v>0.5</v>
      </c>
      <c r="AF2">
        <f>COUNTIFS('Raw data'!$D:$D,"P'Boro Chance",'Raw data'!$Q:$Q,"*Shots in the box*",'Raw data'!$Y:$Y,"*1st*")</f>
        <v>4</v>
      </c>
      <c r="AG2">
        <f>COUNTIFS('Raw data'!$D:$D,"P'Boro Chance",'Raw data'!$Q:$Q,"*Shots from Open Play*",'Raw data'!$Y:$Y,"*1st*")</f>
        <v>3</v>
      </c>
      <c r="AH2">
        <f>COUNTIFS('Raw data'!$D:$D,"P'Boro Chance",'Raw data'!$Q:$Q,"*Cross to Shots*",'Raw data'!$Y:$Y,"*1st*")</f>
        <v>1</v>
      </c>
      <c r="AI2">
        <f>COUNTIFS('Raw data'!$D:$D,"P'Boro Chance",'Raw data'!$Q:$Q,"*Counterattack to Shots*",'Raw data'!$Y:$Y,"*1st*")</f>
        <v>2</v>
      </c>
      <c r="AJ2">
        <f>COUNTIFS('Raw data'!$D:$D,"P'Boro Chance",'Raw data'!$Q:$Q,"*Through Pass to Shots*",'Raw data'!$Y:$Y,"*1st*")</f>
        <v>2</v>
      </c>
      <c r="AK2">
        <f>COUNTIFS('Raw data'!$D:$D,"P'Boro Chance",'Raw data'!$Q:$Q,"*Shots from Transition*",'Raw data'!$Y:$Y,"*1st*")</f>
        <v>3</v>
      </c>
      <c r="AL2">
        <f>COUNTIFS('Raw data'!$D:$D,"P'Boro Chance",'Raw data'!$Q:$Q,"*Shots from Set Play*",'Raw data'!$Y:$Y,"*1st*")</f>
        <v>0</v>
      </c>
      <c r="AM2">
        <f>COUNTIFS('Raw data'!$D:$D,"P'Boro Chance",'Raw data'!$Q:$Q,"*Shots from Restart*",'Raw data'!$Y:$Y,"*1st*")</f>
        <v>0</v>
      </c>
      <c r="AN2">
        <f>COUNTIFS('Raw data'!$D:$D,"Opp Chance",'Raw data'!$Y:$Y,"*1st*")</f>
        <v>12</v>
      </c>
      <c r="AO2">
        <f>SUM(AP2:AR2)</f>
        <v>11</v>
      </c>
      <c r="AP2">
        <f>COUNTIFS('Raw data'!$D:$D,"Opp Chance",'Raw data'!$Q:$Q,"*On Target*",'Raw data'!$Y:$Y,"*1st*")</f>
        <v>4</v>
      </c>
      <c r="AQ2">
        <f>COUNTIFS('Raw data'!$D:$D,"Opp Chance",'Raw data'!$Q:$Q,"*Off Target*",'Raw data'!$Y:$Y,"*1st*")</f>
        <v>6</v>
      </c>
      <c r="AR2">
        <f>COUNTIFS('Raw data'!$D:$D,"Opp Chance",'Raw data'!$Q:$Q,"*Blocked*",'Raw data'!$Y:$Y,"*1st*")</f>
        <v>1</v>
      </c>
      <c r="AS2" s="7">
        <f>AP2/AO2</f>
        <v>0.36363636363636365</v>
      </c>
      <c r="AT2" s="7">
        <f>AQ2/AO2</f>
        <v>0.54545454545454541</v>
      </c>
      <c r="AU2" s="7">
        <f>AR2/AO2</f>
        <v>9.0909090909090912E-2</v>
      </c>
      <c r="AV2">
        <f>COUNTIFS('Raw data'!$D:$D,"Opp Chance",'Raw data'!$Q:$Q,"*Shots in the box*",'Raw data'!$Y:$Y,"*1st*")</f>
        <v>4</v>
      </c>
      <c r="AW2">
        <f>COUNTIFS('Raw data'!$D:$D,"Opp Chance",'Raw data'!$Q:$Q,"*Shots from Open Play*",'Raw data'!$Y:$Y,"*1st*")</f>
        <v>0</v>
      </c>
      <c r="AX2">
        <f>COUNTIFS('Raw data'!$D:$D,"Opp Chance",'Raw data'!$Q:$Q,"*Cross to Shots*",'Raw data'!$Y:$Y,"*1st*")</f>
        <v>1</v>
      </c>
      <c r="AY2">
        <f>COUNTIFS('Raw data'!$D:$D,"Opp Chance",'Raw data'!$Q:$Q,"*Counterattack to Shots*",'Raw data'!$Y:$Y,"*1st*")</f>
        <v>1</v>
      </c>
      <c r="AZ2">
        <f>COUNTIFS('Raw data'!$D:$D,"Opp Chance",'Raw data'!$Q:$Q,"*Through Pass to Shots*",'Raw data'!$Y:$Y,"*1st*")</f>
        <v>2</v>
      </c>
      <c r="BA2">
        <f>COUNTIFS('Raw data'!$D:$D,"Opp Chance",'Raw data'!$Q:$Q,"*Shots from Transition*",'Raw data'!$Y:$Y,"*1st*")</f>
        <v>9</v>
      </c>
      <c r="BB2">
        <f>COUNTIFS('Raw data'!$D:$D,"Opp Chance",'Raw data'!$Q:$Q,"*Shots from Set Play*",'Raw data'!$Y:$Y,"*1st*")</f>
        <v>1</v>
      </c>
      <c r="BC2">
        <f>COUNTIFS('Raw data'!$D:$D,"Opp Chance",'Raw data'!$Q:$Q,"*Shots from Restart*",'Raw data'!$Y:$Y,"*1st*")</f>
        <v>2</v>
      </c>
      <c r="BD2">
        <f>COUNTIFS('Raw data'!$D:$D,"Build the Attack",'Raw data'!$Y:$Y,"*1st*")</f>
        <v>28</v>
      </c>
      <c r="BE2">
        <f>COUNTIFS('Raw data'!$D:$D,"Build the Attack",'Raw data'!$R:$R,"*+*",'Raw data'!$Y:$Y,"*1st*")</f>
        <v>10</v>
      </c>
      <c r="BF2">
        <f>COUNTIFS('Raw data'!$D:$D,"Build the Attack",'Raw data'!$R:$R,"-",'Raw data'!$Y:$Y,"*1st*")</f>
        <v>18</v>
      </c>
      <c r="BG2" s="7">
        <f>BE2/BD2</f>
        <v>0.35714285714285715</v>
      </c>
      <c r="BH2" s="7">
        <f>BF2/BD2</f>
        <v>0.6428571428571429</v>
      </c>
      <c r="BI2">
        <f>COUNTIFS('Raw data'!$D:$D,"Build the Attack",'Raw data'!$P:$P,"*Turnover*",'Raw data'!$Y:$Y,"*1st*")</f>
        <v>7</v>
      </c>
      <c r="BJ2">
        <f>COUNTIFS('Raw data'!$D:$D,"Build the Attack",'Raw data'!$P:$P,"*Direct play*",'Raw data'!$Y:$Y,"*1st*")</f>
        <v>9</v>
      </c>
      <c r="BK2">
        <f>COUNTIFS('Raw data'!$D:$D,"Build the Attack",'Raw data'!$P:$P,"*Reach Opp Half*",'Raw data'!$Y:$Y,"*1st*")</f>
        <v>6</v>
      </c>
      <c r="BL2">
        <f>COUNTIFS('Raw data'!$D:$D,"Create the Attack",'Raw data'!$Y:$Y,"*1st*")</f>
        <v>21</v>
      </c>
      <c r="BM2">
        <f>COUNTIFS('Raw data'!$D:$D,"Create the Attack",'Raw data'!$R:$R,"+",'Raw data'!$Y:$Y,"*1st*")</f>
        <v>7</v>
      </c>
      <c r="BN2">
        <f>COUNTIFS('Raw data'!$D:$D,"Create the Attack",'Raw data'!$R:$R,"-",'Raw data'!$Y:$Y,"*1st*")</f>
        <v>14</v>
      </c>
      <c r="BO2" s="7">
        <f>BM2/BL2</f>
        <v>0.33333333333333331</v>
      </c>
      <c r="BP2" s="7">
        <f>BN2/BL2</f>
        <v>0.66666666666666663</v>
      </c>
      <c r="BQ2">
        <f>COUNTIFS('Raw data'!$D:$D,"P'Boro Cross",'Raw data'!$Y:$Y,"*1st*")</f>
        <v>6</v>
      </c>
      <c r="BR2">
        <f>COUNTIFS('Raw data'!$D:$D,"P'Boro Cross",'Raw data'!$R:$R,"+",'Raw data'!$Y:$Y,"*1st*")</f>
        <v>2</v>
      </c>
      <c r="BS2">
        <f>COUNTIFS('Raw data'!$D:$D,"P'Boro Cross",'Raw data'!$R:$R,"-",'Raw data'!$Y:$Y,"*1st*")</f>
        <v>4</v>
      </c>
      <c r="BT2" s="7">
        <f>BR2/BQ2</f>
        <v>0.33333333333333331</v>
      </c>
      <c r="BU2" s="7">
        <f>BS2/BQ2</f>
        <v>0.66666666666666663</v>
      </c>
      <c r="BV2">
        <f>COUNTIFS('Raw data'!$D:$D,"Opp Cross",'Raw data'!$Y:$Y,"*1st*")</f>
        <v>4</v>
      </c>
      <c r="BW2">
        <f>COUNTIFS('Raw data'!$D:$D,"Opp Cross",'Raw data'!$R:$R,"+",'Raw data'!$Y:$Y,"*1st*")</f>
        <v>1</v>
      </c>
      <c r="BX2">
        <f>COUNTIFS('Raw data'!$D:$D,"Opp Cross",'Raw data'!$R:$R,"-",'Raw data'!$Y:$Y,"*1st*")</f>
        <v>3</v>
      </c>
      <c r="BY2" s="7">
        <f>BW2/BV2</f>
        <v>0.25</v>
      </c>
      <c r="BZ2" s="7">
        <f>BX2/BV2</f>
        <v>0.75</v>
      </c>
      <c r="CA2">
        <f>COUNTIFS('Raw data'!$D:$D,"High Block",'Raw data'!$Y:$Y,"*1st*")</f>
        <v>1</v>
      </c>
      <c r="CB2">
        <f>COUNTIFS('Raw data'!$D:$D,"High Block",'Raw data'!$R:$R,"+",'Raw data'!$Y:$Y,"*1st*")</f>
        <v>1</v>
      </c>
      <c r="CC2">
        <f>COUNTIFS('Raw data'!$D:$D,"High Block",'Raw data'!$R:$R,"-",'Raw data'!$Y:$Y,"*1st*")</f>
        <v>0</v>
      </c>
      <c r="CD2" s="7">
        <f>CB2/CA2</f>
        <v>1</v>
      </c>
      <c r="CE2" s="7">
        <f>CC2/CA2</f>
        <v>0</v>
      </c>
      <c r="CF2">
        <f>COUNTIFS('Raw data'!$D:$D,"High Block",'Raw data'!$S:$S,"Regain Opp Half",'Raw data'!$Y:$Y,"*1st*")</f>
        <v>0</v>
      </c>
      <c r="CG2">
        <f>COUNTIFS('Raw data'!$D:$D,"High Block",'Raw data'!$S:$S,"Force error",'Raw data'!$Y:$Y,"*1st*")</f>
        <v>1</v>
      </c>
      <c r="CH2">
        <f>COUNTIFS('Raw data'!$D:$D,"High Block",'Raw data'!$P:$P,"Direct play",'Raw data'!$Y:$Y,"*1st*")</f>
        <v>0</v>
      </c>
      <c r="CI2">
        <f>COUNTIFS('Raw data'!$D:$D,"Mid Block",'Raw data'!$Y:$Y,"*1st*")</f>
        <v>0</v>
      </c>
      <c r="CJ2">
        <f>COUNTIFS('Raw data'!$D:$D,"Mid Block",'Raw data'!$R:$R,"+",'Raw data'!$Y:$Y,"*1st*")</f>
        <v>0</v>
      </c>
      <c r="CK2">
        <f>COUNTIFS('Raw data'!$D:$D,"Mid Block",'Raw data'!$R:$R,"-",'Raw data'!$Y:$Y,"*1st*")</f>
        <v>0</v>
      </c>
      <c r="CL2" s="7" t="e">
        <f>CJ2/CI2</f>
        <v>#DIV/0!</v>
      </c>
      <c r="CM2" s="7" t="e">
        <f>CK2/CI2</f>
        <v>#DIV/0!</v>
      </c>
      <c r="CN2">
        <f>COUNTIFS('Raw data'!$D:$D,"Low Block",'Raw data'!$Y:$Y,"*1st*")</f>
        <v>0</v>
      </c>
      <c r="CO2">
        <f>COUNTIFS('Raw data'!$D:$D,"Low Block",'Raw data'!$R:$R,"+",'Raw data'!$Y:$Y,"*1st*")</f>
        <v>0</v>
      </c>
      <c r="CP2">
        <f>COUNTIFS('Raw data'!$D:$D,"Low Block",'Raw data'!$R:$R,"-",'Raw data'!$Y:$Y,"*1st*")</f>
        <v>0</v>
      </c>
      <c r="CQ2" s="7" t="e">
        <f>CO2/CN2</f>
        <v>#DIV/0!</v>
      </c>
      <c r="CR2" s="7" t="e">
        <f>CP2/CN2</f>
        <v>#DIV/0!</v>
      </c>
      <c r="CS2">
        <f>SUM(CU2:CW2)</f>
        <v>30</v>
      </c>
      <c r="CT2">
        <f>COUNTIFS('Raw data'!$D:$D,"Transition to Attack",'Raw data'!$U:$U,"*Transition to Att Counter*",'Raw data'!$Y:$Y,"*1st*")</f>
        <v>3</v>
      </c>
      <c r="CU2">
        <f>COUNTIFS('Raw data'!$D:$D,"Transition to Attack",'Raw data'!$U:$U,"*Final 1/3*",'Raw data'!$Y:$Y,"*1st*")</f>
        <v>0</v>
      </c>
      <c r="CV2">
        <f>COUNTIFS('Raw data'!$D:$D,"Transition to Attack",'Raw data'!$U:$U,"*Middle 1/3*",'Raw data'!$Y:$Y,"*1st*")</f>
        <v>17</v>
      </c>
      <c r="CW2">
        <f>COUNTIFS('Raw data'!$D:$D,"Transition to Attack",'Raw data'!$U:$U,"*Own 1/3*",'Raw data'!$Y:$Y,"*1st*")</f>
        <v>13</v>
      </c>
      <c r="CX2">
        <f>SUM(CZ2:DB2)</f>
        <v>36</v>
      </c>
      <c r="CY2">
        <f>COUNTIFS('Raw data'!$D:$D,"Transition to Defense",'Raw data'!$U:$U,"*Transition to def counter*",'Raw data'!$Y:$Y,"*1st*")</f>
        <v>1</v>
      </c>
      <c r="CZ2">
        <f>COUNTIFS('Raw data'!$D:$D,"Transition to Defense",'Raw data'!$U:$U,"*Final 1/3*",'Raw data'!$Y:$Y,"*1st*")</f>
        <v>12</v>
      </c>
      <c r="DA2">
        <f>COUNTIFS('Raw data'!$D:$D,"Transition to Defense",'Raw data'!$U:$U,"*Middle 1/3*",'Raw data'!$Y:$Y,"*1st*")</f>
        <v>14</v>
      </c>
      <c r="DB2">
        <f>COUNTIFS('Raw data'!$D:$D,"Transition to Defense",'Raw data'!$U:$U,"*Own 1/3*",'Raw data'!$Y:$Y,"*1st*")</f>
        <v>10</v>
      </c>
      <c r="DC2">
        <f>COUNTIFS('Raw data'!$T:$T,"P'Boro Corner",'Raw data'!$Y:$Y,"*1st*")</f>
        <v>0</v>
      </c>
      <c r="DD2">
        <f>COUNTIFS('Raw data'!$T:$T,"Opp Corner",'Raw data'!$Y:$Y,"*1st*")</f>
        <v>2</v>
      </c>
      <c r="DE2">
        <f>COUNTIFS('Raw data'!$T:$T,"*P'Boro Throw in*",'Raw data'!$Y:$Y,"*1st*")</f>
        <v>7</v>
      </c>
      <c r="DF2">
        <f>COUNTIFS('Raw data'!$T:$T,"*P'Boro Throw in*",'Raw data'!$U:$U,"*Final 1/3*",'Raw data'!$Y:$Y,"*1st*")</f>
        <v>4</v>
      </c>
      <c r="DG2">
        <f>COUNTIFS('Raw data'!$T:$T,"*P'Boro Throw in*",'Raw data'!$U:$U,"*Middle 1/3*",'Raw data'!$Y:$Y,"*1st*")</f>
        <v>1</v>
      </c>
      <c r="DH2">
        <f>COUNTIFS('Raw data'!$T:$T,"*P'Boro Throw in*",'Raw data'!$U:$U,"*Own 1/3*",'Raw data'!$Y:$Y,"*1st*")</f>
        <v>2</v>
      </c>
      <c r="DI2">
        <f>COUNTIFS('Raw data'!$T:$T,"*Opp Throw in*",'Raw data'!$Y:$Y,"*1st*")</f>
        <v>11</v>
      </c>
      <c r="DJ2">
        <f>COUNTIFS('Raw data'!$T:$T,"*Opp Throw in*",'Raw data'!$U:$U,"*Own 1/3*",'Raw data'!$Y:$Y,"*1st*")</f>
        <v>4</v>
      </c>
      <c r="DK2">
        <f>COUNTIFS('Raw data'!$T:$T,"*Opp Throw in*",'Raw data'!$U:$U,"*Middle 1/3*",'Raw data'!$Y:$Y,"*1st*")</f>
        <v>1</v>
      </c>
      <c r="DL2">
        <f>COUNTIFS('Raw data'!$T:$T,"*Opp Throw in*",'Raw data'!$U:$U,"*Own 1/3*",'Raw data'!$Y:$Y,"*1st*")</f>
        <v>4</v>
      </c>
      <c r="DM2">
        <f>COUNTIFS('Raw data'!$T:$T,"P'Boro Free Kick",'Raw data'!$Y:$Y,"*1st*")</f>
        <v>5</v>
      </c>
      <c r="DN2">
        <f>COUNTIFS('Raw data'!$T:$T,"P'Boro Free kick",'Raw data'!$U:$U,"Final 1/3",'Raw data'!$Y:$Y,"*1st*")</f>
        <v>0</v>
      </c>
      <c r="DO2">
        <f>COUNTIFS('Raw data'!$T:$T,"Opp Free Kick",'Raw data'!$Y:$Y,"*1st*")</f>
        <v>4</v>
      </c>
      <c r="DP2">
        <f>COUNTIFS('Raw data'!$T:$T,"Opp Free kick",'Raw data'!$U:$U,"Final 1/3",'Raw data'!$Y:$Y,"*1st*")</f>
        <v>0</v>
      </c>
      <c r="DQ2">
        <f>COUNTIFS('Raw data'!$T:$T,"P'Boro Goal Kick",'Raw data'!$Y:$Y,"*1st*")</f>
        <v>11</v>
      </c>
      <c r="DR2">
        <f>COUNTIFS('Raw data'!$T:$T,"Opp Goal Kick",'Raw data'!$Y:$Y,"*1st*")</f>
        <v>5</v>
      </c>
      <c r="DS2">
        <f>SUM(DT2,DF2,CU2)</f>
        <v>19</v>
      </c>
      <c r="DT2">
        <f>COUNTIFS('Raw data'!$D:$D,"P'Boro 1/3 Entry",'Raw data'!$Y:$Y,"*1st*")</f>
        <v>15</v>
      </c>
      <c r="DU2">
        <f>SUM(DJ2,DV2,DB2)</f>
        <v>23</v>
      </c>
      <c r="DV2">
        <f>COUNTIFS('Raw data'!$D:$D,"Opp 1/3 Entry",'Raw data'!$Y:$Y,"*1st*")</f>
        <v>9</v>
      </c>
      <c r="DW2">
        <f>SUM(DS2,DU2)</f>
        <v>42</v>
      </c>
      <c r="DX2">
        <f>COUNTIFS('Raw data'!$D:$D,"P'Boro Touches in Box",'Raw data'!$Y:$Y,"*1st*")</f>
        <v>7</v>
      </c>
      <c r="DY2">
        <f>COUNTIFS('Raw data'!$D:$D,"Opp Touches in Box",'Raw data'!$Y:$Y,"*1st*")</f>
        <v>7</v>
      </c>
      <c r="DZ2">
        <f>SUM(DX2:DY2)</f>
        <v>14</v>
      </c>
      <c r="EA2">
        <f>SUM(EA13:EA23)</f>
        <v>213</v>
      </c>
      <c r="EB2" s="8">
        <f>SUM(EB13:EB23)</f>
        <v>155</v>
      </c>
      <c r="EC2" s="8">
        <f>SUM(EC13:EC23)</f>
        <v>58</v>
      </c>
      <c r="ED2" s="54">
        <f>IFERROR(EB2/EA2,"-")</f>
        <v>0.72769953051643188</v>
      </c>
      <c r="EE2" s="54">
        <f>IFERROR(EC2/EA2,"-")</f>
        <v>0.27230046948356806</v>
      </c>
      <c r="EF2">
        <f>SUM(EF13:EF23)</f>
        <v>102</v>
      </c>
      <c r="EG2">
        <f>SUM(EG13:EG23)</f>
        <v>55</v>
      </c>
      <c r="EH2">
        <f>SUM(EH13:EH23)</f>
        <v>47</v>
      </c>
      <c r="EI2" s="54">
        <f>IFERROR(EG2/EF2,"-")</f>
        <v>0.53921568627450978</v>
      </c>
      <c r="EJ2" s="54">
        <f>IFERROR(EH2/EF2,"-")</f>
        <v>0.46078431372549017</v>
      </c>
      <c r="EK2" s="8">
        <f>SUM(EK13:EK23)</f>
        <v>56</v>
      </c>
      <c r="EL2" s="8">
        <f>SUM(EL13:EL23)</f>
        <v>49</v>
      </c>
      <c r="EM2" s="8">
        <f>SUM(EM13:EM23)</f>
        <v>7</v>
      </c>
      <c r="EN2" s="54">
        <f>IFERROR(EL2/EK2,"-")</f>
        <v>0.875</v>
      </c>
      <c r="EO2" s="54">
        <f>IFERROR(EM2/EK2,"-")</f>
        <v>0.125</v>
      </c>
      <c r="EP2" s="8">
        <f>SUM(EP13:EP23)</f>
        <v>55</v>
      </c>
      <c r="EQ2" s="8">
        <f>SUM(EQ13:EQ23)</f>
        <v>51</v>
      </c>
      <c r="ER2" s="8">
        <f>SUM(ER13:ER23)</f>
        <v>4</v>
      </c>
      <c r="ES2" s="54">
        <f>IFERROR(EQ2/EP2,"-")</f>
        <v>0.92727272727272725</v>
      </c>
      <c r="ET2" s="54">
        <f>IFERROR(ER2/EP2,"-")</f>
        <v>7.2727272727272724E-2</v>
      </c>
      <c r="EU2" s="8">
        <f>SUM(EU13:EU23)</f>
        <v>22</v>
      </c>
      <c r="EV2" s="8">
        <f>SUM(EV13:EV23)</f>
        <v>8</v>
      </c>
      <c r="EW2" s="8">
        <f>SUM(EW13:EW23)</f>
        <v>15</v>
      </c>
      <c r="EX2" s="54">
        <f>IFERROR(EV2/EU2,"-")</f>
        <v>0.36363636363636365</v>
      </c>
      <c r="EY2" s="54">
        <f>IFERROR(EW2/EU2,"-")</f>
        <v>0.68181818181818177</v>
      </c>
      <c r="EZ2" s="8">
        <f>SUM(EZ13:EZ23)</f>
        <v>14</v>
      </c>
      <c r="FA2" s="8">
        <f>SUM(FA13:FA23)</f>
        <v>7</v>
      </c>
      <c r="FB2" s="8">
        <f>SUM(FB13:FB23)</f>
        <v>8</v>
      </c>
      <c r="FC2" s="54">
        <f>IFERROR(FA2/EZ2,"-")</f>
        <v>0.5</v>
      </c>
      <c r="FD2" s="54">
        <f>IFERROR(FB2/EZ2,"-")</f>
        <v>0.5714285714285714</v>
      </c>
      <c r="FE2" s="8">
        <f>SUM(FE13:FE23)</f>
        <v>4</v>
      </c>
      <c r="FF2" s="8">
        <f>SUM(FF13:FF23)</f>
        <v>0</v>
      </c>
      <c r="FG2" s="8">
        <f>SUM(FG13:FG23)</f>
        <v>0</v>
      </c>
      <c r="FH2" s="8">
        <f>SUM(FH13:FH23)</f>
        <v>0</v>
      </c>
      <c r="FI2" s="54" t="str">
        <f>IFERROR(FG2/FF2,"-")</f>
        <v>-</v>
      </c>
      <c r="FJ2" s="54" t="str">
        <f>IFERROR(FH2/FF2,"-")</f>
        <v>-</v>
      </c>
      <c r="FK2" s="8">
        <f>SUM(FK13:FK23)</f>
        <v>139</v>
      </c>
      <c r="FL2" s="8">
        <f>SUM(FL13:FL23)</f>
        <v>93</v>
      </c>
      <c r="FM2" s="8">
        <f>SUM(FM13:FM23)</f>
        <v>38</v>
      </c>
      <c r="FN2" s="8">
        <f>SUM(FN13:FN23)</f>
        <v>11</v>
      </c>
      <c r="FO2" s="8">
        <f>SUM(FO13:FO23)</f>
        <v>11</v>
      </c>
      <c r="FP2" s="8">
        <f>SUM(FP13:FP23)</f>
        <v>3</v>
      </c>
      <c r="FQ2" s="8">
        <f>SUM(FQ13:FQ23)</f>
        <v>5</v>
      </c>
      <c r="FR2" s="8">
        <f>SUM(FR13:FR23)</f>
        <v>3</v>
      </c>
      <c r="FS2" s="8">
        <f>SUM(FS13:FS23)</f>
        <v>8</v>
      </c>
      <c r="FT2" s="8">
        <f>SUM(FT13:FT23)</f>
        <v>6</v>
      </c>
      <c r="FU2" s="8">
        <f>SUM(FU13:FU23)</f>
        <v>6</v>
      </c>
      <c r="FV2" s="8">
        <f>SUM(FV13:FV23)</f>
        <v>0</v>
      </c>
      <c r="FW2" s="54">
        <f>IFERROR(FU2/FT2,"-")</f>
        <v>1</v>
      </c>
      <c r="FX2" s="54">
        <f>IFERROR(FV2/FT2,"-")</f>
        <v>0</v>
      </c>
      <c r="FY2" s="8">
        <f>SUM(FY13:FY23)</f>
        <v>7</v>
      </c>
      <c r="FZ2" s="8">
        <f>SUM(FZ13:FZ23)</f>
        <v>1</v>
      </c>
      <c r="GA2" s="8">
        <f>SUM(GA13:GA23)</f>
        <v>6</v>
      </c>
      <c r="GB2" s="54">
        <f>IFERROR(FZ2/FY2,"-")</f>
        <v>0.14285714285714285</v>
      </c>
      <c r="GC2" s="54">
        <f>IFERROR(GA2/FY2,"-")</f>
        <v>0.8571428571428571</v>
      </c>
      <c r="GD2" s="8">
        <f>SUM(GD13:GD23)</f>
        <v>6</v>
      </c>
      <c r="GE2" s="8">
        <f>SUM(GE13:GE23)</f>
        <v>2</v>
      </c>
      <c r="GF2" s="8">
        <f>SUM(GF13:GF23)</f>
        <v>1</v>
      </c>
      <c r="GG2" s="8">
        <f>SUM(GG13:GG23)</f>
        <v>3</v>
      </c>
      <c r="GH2" s="8">
        <f>SUM(GH13:GH23)</f>
        <v>2</v>
      </c>
      <c r="GI2" s="8">
        <f>SUM(GI13:GI23)</f>
        <v>3</v>
      </c>
      <c r="GJ2" s="8">
        <f>SUM(GJ13:GJ23)</f>
        <v>8</v>
      </c>
      <c r="GK2" s="8">
        <f>SUM(GK13:GK23)</f>
        <v>8</v>
      </c>
      <c r="GL2" s="8">
        <f>SUM(GL13:GL23)</f>
        <v>0</v>
      </c>
      <c r="GM2" s="54">
        <f>IFERROR(GK2/GJ2,"-")</f>
        <v>1</v>
      </c>
      <c r="GN2" s="54">
        <f>IFERROR(GL2/GJ2,"-")</f>
        <v>0</v>
      </c>
      <c r="GO2" s="8">
        <f>SUM(GO13:GO23)</f>
        <v>12</v>
      </c>
      <c r="GP2" s="8">
        <f>SUM(GP13:GP23)</f>
        <v>20</v>
      </c>
      <c r="GQ2" s="8">
        <f>SUM(GQ13:GQ23)</f>
        <v>31</v>
      </c>
      <c r="GR2" s="8">
        <f>SUM(GR13:GR23)</f>
        <v>5</v>
      </c>
      <c r="GS2" s="8">
        <f>SUM(GS13:GS23)</f>
        <v>1</v>
      </c>
      <c r="GT2" s="8">
        <f>SUM(GT13:GT23)</f>
        <v>6</v>
      </c>
      <c r="GU2" s="8">
        <f>SUM(GU13:GU23)</f>
        <v>0</v>
      </c>
      <c r="GV2" s="8">
        <f>SUM(GV13:GV23)</f>
        <v>32</v>
      </c>
      <c r="GW2" s="8">
        <f>SUM(GW13:GW23)</f>
        <v>19</v>
      </c>
      <c r="GX2" s="8">
        <f>SUM(GX13:GX23)</f>
        <v>13</v>
      </c>
      <c r="GY2" s="54">
        <f>IFERROR(GW2/GV2,"-")</f>
        <v>0.59375</v>
      </c>
      <c r="GZ2" s="54">
        <f>IFERROR(GX2/GV2,"-")</f>
        <v>0.40625</v>
      </c>
      <c r="HA2" s="8">
        <f>SUM(HA13:HA23)</f>
        <v>12</v>
      </c>
      <c r="HB2" s="8">
        <f>SUM(HB13:HB23)</f>
        <v>6</v>
      </c>
      <c r="HC2" s="8">
        <f>SUM(HC13:HC23)</f>
        <v>6</v>
      </c>
      <c r="HD2" s="54">
        <f>IFERROR(HB2/HA2,"-")</f>
        <v>0.5</v>
      </c>
      <c r="HE2" s="54">
        <f>IFERROR(HC2/HA2,"-")</f>
        <v>0.5</v>
      </c>
      <c r="HF2" s="8">
        <f>SUM(HF13:HF23)</f>
        <v>12</v>
      </c>
      <c r="HG2" s="8">
        <f>SUM(HG13:HG23)</f>
        <v>5</v>
      </c>
      <c r="HH2" s="8">
        <f>SUM(HH13:HH23)</f>
        <v>7</v>
      </c>
      <c r="HI2" s="54">
        <f>IFERROR(HG2/HF2,"-")</f>
        <v>0.41666666666666669</v>
      </c>
      <c r="HJ2" s="54">
        <f>IFERROR(HH2/HF2,"-")</f>
        <v>0.58333333333333337</v>
      </c>
      <c r="HK2" s="8">
        <f>SUM(HK13:HK23)</f>
        <v>4</v>
      </c>
      <c r="HL2" s="8">
        <f>SUM(HL13:HL23)</f>
        <v>3</v>
      </c>
      <c r="HM2" s="8">
        <f>SUM(HM13:HM23)</f>
        <v>1</v>
      </c>
      <c r="HN2" s="54">
        <f>IFERROR(HL2/HK2,"-")</f>
        <v>0.75</v>
      </c>
      <c r="HO2" s="54">
        <f>IFERROR(HM2/HK2,"-")</f>
        <v>0.25</v>
      </c>
      <c r="HP2" s="8">
        <f>SUM(HP13:HP23)</f>
        <v>5</v>
      </c>
      <c r="HQ2" s="8">
        <f>SUM(HQ13:HQ23)</f>
        <v>5</v>
      </c>
      <c r="HR2" s="8">
        <f>SUM(HR13:HR23)</f>
        <v>0</v>
      </c>
      <c r="HS2" s="54">
        <f>IFERROR(HQ2/HP2,"-")</f>
        <v>1</v>
      </c>
      <c r="HT2" s="54">
        <f>IFERROR(HR2/HP2,"-")</f>
        <v>0</v>
      </c>
      <c r="HU2" s="8">
        <f>SUM(HU13:HU23)</f>
        <v>10</v>
      </c>
      <c r="HV2" s="8">
        <f>SUM(HV13:HV23)</f>
        <v>6</v>
      </c>
      <c r="HW2" s="8">
        <f>SUM(HW13:HW23)</f>
        <v>4</v>
      </c>
      <c r="HX2" s="54">
        <f>IFERROR(HV2/HU2,"-")</f>
        <v>0.6</v>
      </c>
      <c r="HY2" s="54">
        <f>IFERROR(HW2/HU2,"-")</f>
        <v>0.4</v>
      </c>
      <c r="HZ2" s="8">
        <f>SUM(HZ13:HZ23)</f>
        <v>5</v>
      </c>
      <c r="IA2" s="8">
        <f>SUM(IA13:IA23)</f>
        <v>12</v>
      </c>
      <c r="IB2" s="8">
        <f>SUM(IB13:IB23)</f>
        <v>11</v>
      </c>
      <c r="IC2" s="8">
        <f>SUM(IC13:IC23)</f>
        <v>8</v>
      </c>
      <c r="ID2" s="8">
        <f>SUM(ID13:ID23)</f>
        <v>2</v>
      </c>
      <c r="IE2" s="8">
        <f>SUM(IE13:IE23)</f>
        <v>0</v>
      </c>
      <c r="IF2" s="8">
        <f>SUM(IF13:IF23)</f>
        <v>5</v>
      </c>
      <c r="IG2" s="8">
        <f>SUM(IG13:IG23)</f>
        <v>3</v>
      </c>
      <c r="IH2" s="8">
        <f>SUM(IH13:IH23)</f>
        <v>1</v>
      </c>
      <c r="II2" s="8">
        <f>SUM(II13:II23)</f>
        <v>4</v>
      </c>
      <c r="IJ2" s="8">
        <f>SUM(IJ13:IJ23)</f>
        <v>4</v>
      </c>
      <c r="IK2" s="8">
        <f>SUM(IK13:IK23)</f>
        <v>2</v>
      </c>
      <c r="IL2" s="8">
        <f>SUM(IL13:IL23)</f>
        <v>2</v>
      </c>
      <c r="IM2" s="8">
        <f>SUM(IM13:IM23)</f>
        <v>1</v>
      </c>
      <c r="IN2" s="8">
        <f>SUM(IN13:IN23)</f>
        <v>1</v>
      </c>
      <c r="IO2" s="8">
        <f>SUM(IO13:IO23)</f>
        <v>1</v>
      </c>
    </row>
    <row r="3" spans="1:250">
      <c r="E3" t="s">
        <v>654</v>
      </c>
      <c r="F3" t="s">
        <v>794</v>
      </c>
      <c r="G3" t="s">
        <v>197</v>
      </c>
      <c r="H3" t="s">
        <v>653</v>
      </c>
      <c r="I3" s="28" t="s">
        <v>639</v>
      </c>
      <c r="J3" t="s">
        <v>461</v>
      </c>
      <c r="K3" t="s">
        <v>461</v>
      </c>
      <c r="L3" t="str" cm="1">
        <f t="array" ref="L3">_xlfn.IFS(M3&lt;N3,"L",M3=N3,"D",M3&gt;N3,"W")</f>
        <v>D</v>
      </c>
      <c r="M3">
        <f>COUNTIFS('Raw data'!$Y:$Y,"*2nd*",'Raw data'!$D:$D,"P'Boro Goal")</f>
        <v>2</v>
      </c>
      <c r="N3">
        <f>COUNTIFS('Raw data'!$Y:$Y,"*2nd*",'Raw data'!$D:$D,"Opp Goal")</f>
        <v>2</v>
      </c>
      <c r="O3" s="8">
        <f>P3+Q3</f>
        <v>40.597097184694363</v>
      </c>
      <c r="P3" s="8">
        <f>SUMIFS('Raw data'!$C:$C,'Raw data'!$D:$D,"Ball in play",'Raw data'!$Y:$Y,"*2nd*") /60</f>
        <v>26.52259052592148</v>
      </c>
      <c r="Q3" s="8">
        <f>SUMIFS('Raw data'!$C:$C,'Raw data'!$D:$D,"Out of play",'Raw data'!$Y:$Y,"*2nd*") /60</f>
        <v>14.074506658772886</v>
      </c>
      <c r="R3" s="7">
        <f>P3/O3</f>
        <v>0.65331248698049382</v>
      </c>
      <c r="S3" s="7">
        <f>Q3/O3</f>
        <v>0.34668751301950623</v>
      </c>
      <c r="T3" s="8">
        <f>(SUMIFS('Raw data'!$C:$C,'Raw data'!$D:$D,"In Possession",'Raw data'!$Y:$Y,"*2nd*")-(3*(COUNTIFS('Raw data'!$D:$D,"In Possession",'Raw data'!$Y:$Y,"*2nd*"))))/60</f>
        <v>14.392849221895187</v>
      </c>
      <c r="U3" s="8">
        <f>(SUMIFS('Raw data'!$C:$C,'Raw data'!$D:$D,"Out of Possession",'Raw data'!$Y:$Y,"*2nd*")-(3*(COUNTIFS('Raw data'!$D:$D,"Out of Possession",'Raw data'!$Y:$Y,"*2nd*"))))/60</f>
        <v>12.129741304026254</v>
      </c>
      <c r="V3" s="11">
        <f>T3/(T3+U3)</f>
        <v>0.54266377968730317</v>
      </c>
      <c r="W3" s="11">
        <f>U3/(T3+U3)</f>
        <v>0.45733622031269683</v>
      </c>
      <c r="X3">
        <f>COUNTIFS('Raw data'!$D:$D,"P'Boro Chance",'Raw data'!$Y:$Y,"*2nd*")</f>
        <v>6</v>
      </c>
      <c r="Y3">
        <f>SUM(Z3:AB3)</f>
        <v>5</v>
      </c>
      <c r="Z3">
        <f>COUNTIFS('Raw data'!$D:$D,"P'Boro Chance",'Raw data'!$Q:$Q,"*On Target*",'Raw data'!$Y:$Y,"*2nd*")</f>
        <v>3</v>
      </c>
      <c r="AA3">
        <f>COUNTIFS('Raw data'!$D:$D,"P'Boro Chance",'Raw data'!$Q:$Q,"*Off Target*",'Raw data'!$Y:$Y,"*2nd*")</f>
        <v>2</v>
      </c>
      <c r="AB3">
        <f>COUNTIFS('Raw data'!$D:$D,"P'Boro Chance",'Raw data'!$Q:$Q,"*Blocked*",'Raw data'!$Y:$Y,"*2nd*")</f>
        <v>0</v>
      </c>
      <c r="AC3" s="7">
        <f>Z3/Y3</f>
        <v>0.6</v>
      </c>
      <c r="AD3" s="7">
        <f>AA3/Y3</f>
        <v>0.4</v>
      </c>
      <c r="AE3" s="7">
        <f>AB3/Y3</f>
        <v>0</v>
      </c>
      <c r="AF3">
        <f>COUNTIFS('Raw data'!$D:$D,"P'Boro Chance",'Raw data'!$Q:$Q,"*Shots in the box*",'Raw data'!$Y:$Y,"*2nd*")</f>
        <v>4</v>
      </c>
      <c r="AG3">
        <f>COUNTIFS('Raw data'!$D:$D,"P'Boro Chance",'Raw data'!$Q:$Q,"*Shots from Open Play*",'Raw data'!$Y:$Y,"*2nd*")</f>
        <v>1</v>
      </c>
      <c r="AH3">
        <f>COUNTIFS('Raw data'!$D:$D,"P'Boro Chance",'Raw data'!$Q:$Q,"*Cross to Shots*",'Raw data'!$Y:$Y,"*2nd*")</f>
        <v>1</v>
      </c>
      <c r="AI3">
        <f>COUNTIFS('Raw data'!$D:$D,"P'Boro Chance",'Raw data'!$Q:$Q,"*Counterattack to Shots*",'Raw data'!$Y:$Y,"*2nd*")</f>
        <v>1</v>
      </c>
      <c r="AJ3">
        <f>COUNTIFS('Raw data'!$D:$D,"P'Boro Chance",'Raw data'!$Q:$Q,"*Through Pass to Shots*",'Raw data'!$Y:$Y,"*2nd*")</f>
        <v>1</v>
      </c>
      <c r="AK3">
        <f>COUNTIFS('Raw data'!$D:$D,"P'Boro Chance",'Raw data'!$Q:$Q,"*Shots from Transition*",'Raw data'!$Y:$Y,"*2nd*")</f>
        <v>2</v>
      </c>
      <c r="AL3">
        <f>COUNTIFS('Raw data'!$D:$D,"P'Boro Chance",'Raw data'!$Q:$Q,"*Shots from Set Play*",'Raw data'!$Y:$Y,"*2nd*")</f>
        <v>1</v>
      </c>
      <c r="AM3">
        <f>COUNTIFS('Raw data'!$D:$D,"P'Boro Chance",'Raw data'!$Q:$Q,"*Shots from Restart*",'Raw data'!$Y:$Y,"*2nd*")</f>
        <v>2</v>
      </c>
      <c r="AN3">
        <f>COUNTIFS('Raw data'!$D:$D,"Opp Chance",'Raw data'!$Y:$Y,"*2nd*")</f>
        <v>13</v>
      </c>
      <c r="AO3">
        <f>SUM(AP3:AR3)</f>
        <v>12</v>
      </c>
      <c r="AP3">
        <f>COUNTIFS('Raw data'!$D:$D,"Opp Chance",'Raw data'!$Q:$Q,"*On Target*",'Raw data'!$Y:$Y,"*2nd*")</f>
        <v>6</v>
      </c>
      <c r="AQ3">
        <f>COUNTIFS('Raw data'!$D:$D,"Opp Chance",'Raw data'!$Q:$Q,"*Off Target*",'Raw data'!$Y:$Y,"*2nd*")</f>
        <v>4</v>
      </c>
      <c r="AR3">
        <f>COUNTIFS('Raw data'!$D:$D,"Opp Chance",'Raw data'!$Q:$Q,"*Blocked*",'Raw data'!$Y:$Y,"*2nd*")</f>
        <v>2</v>
      </c>
      <c r="AS3" s="7">
        <f>AP3/AO3</f>
        <v>0.5</v>
      </c>
      <c r="AT3" s="7">
        <f>AQ3/AO3</f>
        <v>0.33333333333333331</v>
      </c>
      <c r="AU3" s="7">
        <f>AR3/AO3</f>
        <v>0.16666666666666666</v>
      </c>
      <c r="AV3">
        <f>COUNTIFS('Raw data'!$D:$D,"Opp Chance",'Raw data'!$Q:$Q,"*Shots in the box*",'Raw data'!$Y:$Y,"*2nd*")</f>
        <v>8</v>
      </c>
      <c r="AW3">
        <f>COUNTIFS('Raw data'!$D:$D,"Opp Chance",'Raw data'!$Q:$Q,"*Shots from Open Play*",'Raw data'!$Y:$Y,"*2nd*")</f>
        <v>4</v>
      </c>
      <c r="AX3">
        <f>COUNTIFS('Raw data'!$D:$D,"Opp Chance",'Raw data'!$Q:$Q,"*Cross to Shots*",'Raw data'!$Y:$Y,"*2nd*")</f>
        <v>3</v>
      </c>
      <c r="AY3">
        <f>COUNTIFS('Raw data'!$D:$D,"Opp Chance",'Raw data'!$Q:$Q,"*Counterattack to Shots*",'Raw data'!$Y:$Y,"*2nd*")</f>
        <v>1</v>
      </c>
      <c r="AZ3">
        <f>COUNTIFS('Raw data'!$D:$D,"Opp Chance",'Raw data'!$Q:$Q,"*Through Pass to Shots*",'Raw data'!$Y:$Y,"*2nd*")</f>
        <v>1</v>
      </c>
      <c r="BA3">
        <f>COUNTIFS('Raw data'!$D:$D,"Opp Chance",'Raw data'!$Q:$Q,"*Shots from Transition*",'Raw data'!$Y:$Y,"*2nd*")</f>
        <v>8</v>
      </c>
      <c r="BB3">
        <f>COUNTIFS('Raw data'!$D:$D,"Opp Chance",'Raw data'!$Q:$Q,"*Shots from Set Play*",'Raw data'!$Y:$Y,"*2nd*")</f>
        <v>1</v>
      </c>
      <c r="BC3">
        <f>COUNTIFS('Raw data'!$D:$D,"Opp Chance",'Raw data'!$Q:$Q,"*Shots from Restart*",'Raw data'!$Y:$Y,"*2nd*")</f>
        <v>0</v>
      </c>
      <c r="BD3">
        <f>COUNTIFS('Raw data'!$D:$D,"Build the Attack",'Raw data'!$Y:$Y,"*2nd*")</f>
        <v>19</v>
      </c>
      <c r="BE3">
        <f>COUNTIFS('Raw data'!$D:$D,"Build the Attack",'Raw data'!$R:$R,"*+*",'Raw data'!$Y:$Y,"*2nd*")</f>
        <v>8</v>
      </c>
      <c r="BF3">
        <f>COUNTIFS('Raw data'!$D:$D,"Build the Attack",'Raw data'!$R:$R,"-",'Raw data'!$Y:$Y,"*2nd*")</f>
        <v>11</v>
      </c>
      <c r="BG3" s="7">
        <f>BE3/BD3</f>
        <v>0.42105263157894735</v>
      </c>
      <c r="BH3" s="7">
        <f>BF3/BD3</f>
        <v>0.57894736842105265</v>
      </c>
      <c r="BI3">
        <f>COUNTIFS('Raw data'!$D:$D,"Build the Attack",'Raw data'!$P:$P,"*Turnover*",'Raw data'!$Y:$Y,"*2nd*")</f>
        <v>8</v>
      </c>
      <c r="BJ3">
        <f>COUNTIFS('Raw data'!$D:$D,"Build the Attack",'Raw data'!$P:$P,"*Direct play*",'Raw data'!$Y:$Y,"*2nd*")</f>
        <v>9</v>
      </c>
      <c r="BK3">
        <f>COUNTIFS('Raw data'!$D:$D,"Build the Attack",'Raw data'!$P:$P,"*Reach Opp Half*",'Raw data'!$Y:$Y,"*2nd*")</f>
        <v>6</v>
      </c>
      <c r="BL3">
        <f>COUNTIFS('Raw data'!$D:$D,"Create the Attack",'Raw data'!$Y:$Y,"*2nd*")</f>
        <v>21</v>
      </c>
      <c r="BM3">
        <f>COUNTIFS('Raw data'!$D:$D,"Create the Attack",'Raw data'!$R:$R,"+",'Raw data'!$Y:$Y,"*2nd*")</f>
        <v>5</v>
      </c>
      <c r="BN3">
        <f>COUNTIFS('Raw data'!$D:$D,"Create the Attack",'Raw data'!$R:$R,"-",'Raw data'!$Y:$Y,"*2nd*")</f>
        <v>16</v>
      </c>
      <c r="BO3" s="7">
        <f>BM3/BL3</f>
        <v>0.23809523809523808</v>
      </c>
      <c r="BP3" s="7">
        <f>BN3/BL3</f>
        <v>0.76190476190476186</v>
      </c>
      <c r="BQ3">
        <f>COUNTIFS('Raw data'!$D:$D,"P'Boro Cross",'Raw data'!$Y:$Y,"*2nd*")</f>
        <v>5</v>
      </c>
      <c r="BR3">
        <f>COUNTIFS('Raw data'!$D:$D,"P'Boro Cross",'Raw data'!$R:$R,"+",'Raw data'!$Y:$Y,"*2nd*")</f>
        <v>1</v>
      </c>
      <c r="BS3">
        <f>COUNTIFS('Raw data'!$D:$D,"P'Boro Cross",'Raw data'!$R:$R,"-",'Raw data'!$Y:$Y,"*2nd*")</f>
        <v>4</v>
      </c>
      <c r="BT3" s="7">
        <f>BR3/BQ3</f>
        <v>0.2</v>
      </c>
      <c r="BU3" s="7">
        <f>BS3/BQ3</f>
        <v>0.8</v>
      </c>
      <c r="BV3">
        <f>COUNTIFS('Raw data'!$D:$D,"Opp Cross",'Raw data'!$Y:$Y,"*2nd*")</f>
        <v>10</v>
      </c>
      <c r="BW3">
        <f>COUNTIFS('Raw data'!$D:$D,"Opp Cross",'Raw data'!$R:$R,"+",'Raw data'!$Y:$Y,"*2nd*")</f>
        <v>6</v>
      </c>
      <c r="BX3">
        <f>COUNTIFS('Raw data'!$D:$D,"Opp Cross",'Raw data'!$R:$R,"-",'Raw data'!$Y:$Y,"*2nd*")</f>
        <v>4</v>
      </c>
      <c r="BY3" s="7">
        <f>BW3/BV3</f>
        <v>0.6</v>
      </c>
      <c r="BZ3" s="7">
        <f>BX3/BV3</f>
        <v>0.4</v>
      </c>
      <c r="CA3">
        <f>COUNTIFS('Raw data'!$D:$D,"High Block",'Raw data'!$Y:$Y,"*2nd*")</f>
        <v>2</v>
      </c>
      <c r="CB3">
        <f>COUNTIFS('Raw data'!$D:$D,"High Block",'Raw data'!$R:$R,"+",'Raw data'!$Y:$Y,"*2nd*")</f>
        <v>1</v>
      </c>
      <c r="CC3">
        <f>COUNTIFS('Raw data'!$D:$D,"High Block",'Raw data'!$R:$R,"-",'Raw data'!$Y:$Y,"*2nd*")</f>
        <v>1</v>
      </c>
      <c r="CD3" s="7">
        <f>CB3/CA3</f>
        <v>0.5</v>
      </c>
      <c r="CE3" s="7">
        <f>CC3/CA3</f>
        <v>0.5</v>
      </c>
      <c r="CF3">
        <f>COUNTIFS('Raw data'!$D:$D,"High Block",'Raw data'!$S:$S,"Regain Opp Half",'Raw data'!$Y:$Y,"*2nd*")</f>
        <v>1</v>
      </c>
      <c r="CG3">
        <f>COUNTIFS('Raw data'!$D:$D,"High Block",'Raw data'!$S:$S,"Force error",'Raw data'!$Y:$Y,"*2nd*")</f>
        <v>0</v>
      </c>
      <c r="CH3">
        <f>COUNTIFS('Raw data'!$D:$D,"High Block",'Raw data'!$P:$P,"Direct play",'Raw data'!$Y:$Y,"*2nd*")</f>
        <v>1</v>
      </c>
      <c r="CI3">
        <f>COUNTIFS('Raw data'!$D:$D,"Mid Block",'Raw data'!$Y:$Y,"*2nd*")</f>
        <v>7</v>
      </c>
      <c r="CJ3">
        <f>COUNTIFS('Raw data'!$D:$D,"Mid Block",'Raw data'!$R:$R,"+",'Raw data'!$Y:$Y,"*2nd*")</f>
        <v>5</v>
      </c>
      <c r="CK3">
        <f>COUNTIFS('Raw data'!$D:$D,"Mid Block",'Raw data'!$R:$R,"-",'Raw data'!$Y:$Y,"*2nd*")</f>
        <v>2</v>
      </c>
      <c r="CL3" s="7">
        <f>CJ3/CI3</f>
        <v>0.7142857142857143</v>
      </c>
      <c r="CM3" s="7">
        <f>CK3/CI3</f>
        <v>0.2857142857142857</v>
      </c>
      <c r="CN3">
        <f>COUNTIFS('Raw data'!$D:$D,"Low Block",'Raw data'!$Y:$Y,"*2nd*")</f>
        <v>5</v>
      </c>
      <c r="CO3">
        <f>COUNTIFS('Raw data'!$D:$D,"Low Block",'Raw data'!$R:$R,"+",'Raw data'!$Y:$Y,"*2nd*")</f>
        <v>4</v>
      </c>
      <c r="CP3">
        <f>COUNTIFS('Raw data'!$D:$D,"Low Block",'Raw data'!$R:$R,"-",'Raw data'!$Y:$Y,"*2nd*")</f>
        <v>1</v>
      </c>
      <c r="CQ3" s="7">
        <f>CO3/CN3</f>
        <v>0.8</v>
      </c>
      <c r="CR3" s="7">
        <f>CP3/CN3</f>
        <v>0.2</v>
      </c>
      <c r="CS3">
        <f>SUM(CU3:CW3)</f>
        <v>39</v>
      </c>
      <c r="CT3">
        <f>COUNTIFS('Raw data'!$D:$D,"Transition to Attack",'Raw data'!$U:$U,"*Transition to Att Counter*",'Raw data'!$Y:$Y,"*2nd*")</f>
        <v>2</v>
      </c>
      <c r="CU3">
        <f>COUNTIFS('Raw data'!$D:$D,"Transition to Attack",'Raw data'!$U:$U,"*Final 1/3*",'Raw data'!$Y:$Y,"*2nd*")</f>
        <v>1</v>
      </c>
      <c r="CV3">
        <f>COUNTIFS('Raw data'!$D:$D,"Transition to Attack",'Raw data'!$U:$U,"*Middle 1/3*",'Raw data'!$Y:$Y,"*2nd*")</f>
        <v>10</v>
      </c>
      <c r="CW3">
        <f>COUNTIFS('Raw data'!$D:$D,"Transition to Attack",'Raw data'!$U:$U,"*Own 1/3*",'Raw data'!$Y:$Y,"*2nd*")</f>
        <v>28</v>
      </c>
      <c r="CX3">
        <f>SUM(CZ3:DB3)</f>
        <v>39</v>
      </c>
      <c r="CY3">
        <f>COUNTIFS('Raw data'!$D:$D,"Transition to Defense",'Raw data'!$U:$U,"*Transition to def counter*",'Raw data'!$Y:$Y,"*2nd*")</f>
        <v>5</v>
      </c>
      <c r="CZ3">
        <f>COUNTIFS('Raw data'!$D:$D,"Transition to Defense",'Raw data'!$U:$U,"*Final 1/3*",'Raw data'!$Y:$Y,"*2nd*")</f>
        <v>12</v>
      </c>
      <c r="DA3">
        <f>COUNTIFS('Raw data'!$D:$D,"Transition to Defense",'Raw data'!$U:$U,"*Middle 1/3*",'Raw data'!$Y:$Y,"*2nd*")</f>
        <v>16</v>
      </c>
      <c r="DB3">
        <f>COUNTIFS('Raw data'!$D:$D,"Transition to Defense",'Raw data'!$U:$U,"*Own 1/3*",'Raw data'!$Y:$Y,"*2nd*")</f>
        <v>11</v>
      </c>
      <c r="DC3">
        <f>COUNTIFS('Raw data'!$T:$T,"P'Boro Corner",'Raw data'!$Y:$Y,"*2nd*")</f>
        <v>1</v>
      </c>
      <c r="DD3">
        <f>COUNTIFS('Raw data'!$T:$T,"Opp Corner",'Raw data'!$Y:$Y,"*2nd*")</f>
        <v>3</v>
      </c>
      <c r="DE3">
        <f>COUNTIFS('Raw data'!$T:$T,"*P'Boro Throw in*",'Raw data'!$Y:$Y,"*2nd*")</f>
        <v>5</v>
      </c>
      <c r="DF3">
        <f>COUNTIFS('Raw data'!$T:$T,"*P'Boro Throw in*",'Raw data'!$U:$U,"*Final 1/3*",'Raw data'!$Y:$Y,"*2nd*")</f>
        <v>2</v>
      </c>
      <c r="DG3">
        <f>COUNTIFS('Raw data'!$T:$T,"*P'Boro Throw in*",'Raw data'!$U:$U,"*Middle 1/3*",'Raw data'!$Y:$Y,"*2nd*")</f>
        <v>1</v>
      </c>
      <c r="DH3">
        <f>COUNTIFS('Raw data'!$T:$T,"*P'Boro Throw in*",'Raw data'!$U:$U,"*Own 1/3*",'Raw data'!$Y:$Y,"*2nd*")</f>
        <v>2</v>
      </c>
      <c r="DI3">
        <f>COUNTIFS('Raw data'!$T:$T,"*Opp Throw in*",'Raw data'!$Y:$Y,"*2nd*")</f>
        <v>13</v>
      </c>
      <c r="DJ3">
        <f>COUNTIFS('Raw data'!$T:$T,"*Opp Throw in*",'Raw data'!$U:$U,"*Own 1/3*",'Raw data'!$Y:$Y,"*2nd*")</f>
        <v>5</v>
      </c>
      <c r="DK3">
        <f>COUNTIFS('Raw data'!$T:$T,"*Opp Throw in*",'Raw data'!$U:$U,"*Middle 1/3*",'Raw data'!$Y:$Y,"*2nd*")</f>
        <v>5</v>
      </c>
      <c r="DL3">
        <f>COUNTIFS('Raw data'!$T:$T,"*Opp Throw in*",'Raw data'!$U:$U,"*Own 1/3*",'Raw data'!$Y:$Y,"*2nd*")</f>
        <v>5</v>
      </c>
      <c r="DM3">
        <f>COUNTIFS('Raw data'!$T:$T,"P'Boro Free Kick",'Raw data'!$Y:$Y,"*2nd*")</f>
        <v>7</v>
      </c>
      <c r="DN3">
        <f>COUNTIFS('Raw data'!$T:$T,"P'Boro Free kick",'Raw data'!$U:$U,"Final 1/3",'Raw data'!$Y:$Y,"*2nd*")</f>
        <v>0</v>
      </c>
      <c r="DO3">
        <f>COUNTIFS('Raw data'!$T:$T,"Opp Free Kick",'Raw data'!$Y:$Y,"*2nd*")</f>
        <v>6</v>
      </c>
      <c r="DP3">
        <f>COUNTIFS('Raw data'!$T:$T,"Opp Free kick",'Raw data'!$U:$U,"Final 1/3",'Raw data'!$Y:$Y,"*2nd*")</f>
        <v>0</v>
      </c>
      <c r="DQ3">
        <f>COUNTIFS('Raw data'!$T:$T,"P'Boro Goal Kick",'Raw data'!$Y:$Y,"*2nd*")</f>
        <v>4</v>
      </c>
      <c r="DR3">
        <f>COUNTIFS('Raw data'!$T:$T,"Opp Goal Kick",'Raw data'!$Y:$Y,"*2nd*")</f>
        <v>4</v>
      </c>
      <c r="DS3">
        <f>SUM(DT3,DF3,CU3)</f>
        <v>16</v>
      </c>
      <c r="DT3">
        <f>COUNTIFS('Raw data'!$D:$D,"P'Boro 1/3 Entry",'Raw data'!$Y:$Y,"*2nd*")</f>
        <v>13</v>
      </c>
      <c r="DU3">
        <f>SUM(DJ3,DV3,DB3)</f>
        <v>31</v>
      </c>
      <c r="DV3">
        <f>COUNTIFS('Raw data'!$D:$D,"Opp 1/3 Entry",'Raw data'!$Y:$Y,"*2nd*")</f>
        <v>15</v>
      </c>
      <c r="DW3">
        <f>SUM(DS3,DU3)</f>
        <v>47</v>
      </c>
      <c r="DX3">
        <f>COUNTIFS('Raw data'!$D:$D,"P'Boro Touches in Box",'Raw data'!$Y:$Y,"*2nd*")</f>
        <v>6</v>
      </c>
      <c r="DY3">
        <f>COUNTIFS('Raw data'!$D:$D,"Opp Touches in Box",'Raw data'!$Y:$Y,"*2nd*")</f>
        <v>11</v>
      </c>
      <c r="DZ3">
        <f>SUM(DX3:DY3)</f>
        <v>17</v>
      </c>
      <c r="EA3">
        <f>SUM(EA26:EA39)</f>
        <v>175</v>
      </c>
      <c r="EB3" s="8">
        <f>SUM(EB26:EB39)</f>
        <v>138</v>
      </c>
      <c r="EC3" s="8">
        <f>SUM(EC26:EC39)</f>
        <v>37</v>
      </c>
      <c r="ED3" s="54">
        <f>IFERROR(EB3/EA3,"-")</f>
        <v>0.78857142857142859</v>
      </c>
      <c r="EE3" s="54">
        <f>IFERROR(EC3/EA3,"-")</f>
        <v>0.21142857142857144</v>
      </c>
      <c r="EF3">
        <f>SUM(EF26:EF39)</f>
        <v>91</v>
      </c>
      <c r="EG3">
        <f>SUM(EG26:EG39)</f>
        <v>61</v>
      </c>
      <c r="EH3">
        <f>SUM(EH26:EH39)</f>
        <v>30</v>
      </c>
      <c r="EI3" s="54">
        <f>IFERROR(EG3/EF3,"-")</f>
        <v>0.67032967032967028</v>
      </c>
      <c r="EJ3" s="54">
        <f>IFERROR(EH3/EF3,"-")</f>
        <v>0.32967032967032966</v>
      </c>
      <c r="EK3" s="8">
        <f>SUM(EK26:EK39)</f>
        <v>34</v>
      </c>
      <c r="EL3" s="8">
        <f>SUM(EL26:EL39)</f>
        <v>28</v>
      </c>
      <c r="EM3" s="8">
        <f>SUM(EM26:EM39)</f>
        <v>6</v>
      </c>
      <c r="EN3" s="54">
        <f>IFERROR(EL3/EK3,"-")</f>
        <v>0.82352941176470584</v>
      </c>
      <c r="EO3" s="54">
        <f>IFERROR(EM3/EK3,"-")</f>
        <v>0.17647058823529413</v>
      </c>
      <c r="EP3" s="8">
        <f>SUM(EP26:EP39)</f>
        <v>50</v>
      </c>
      <c r="EQ3" s="8">
        <f>SUM(EQ26:EQ39)</f>
        <v>49</v>
      </c>
      <c r="ER3" s="8">
        <f>SUM(ER26:ER39)</f>
        <v>1</v>
      </c>
      <c r="ES3" s="54">
        <f>IFERROR(EQ3/EP3,"-")</f>
        <v>0.98</v>
      </c>
      <c r="ET3" s="54">
        <f>IFERROR(ER3/EP3,"-")</f>
        <v>0.02</v>
      </c>
      <c r="EU3" s="8">
        <f>SUM(EU26:EU39)</f>
        <v>21</v>
      </c>
      <c r="EV3" s="8">
        <f>SUM(EV26:EV39)</f>
        <v>12</v>
      </c>
      <c r="EW3" s="8">
        <f>SUM(EW26:EW39)</f>
        <v>9</v>
      </c>
      <c r="EX3" s="54">
        <f>IFERROR(EV3/EU3,"-")</f>
        <v>0.5714285714285714</v>
      </c>
      <c r="EY3" s="54">
        <f>IFERROR(EW3/EU3,"-")</f>
        <v>0.42857142857142855</v>
      </c>
      <c r="EZ3" s="8">
        <f>SUM(EZ26:EZ39)</f>
        <v>9</v>
      </c>
      <c r="FA3" s="8">
        <f>SUM(FA26:FA39)</f>
        <v>3</v>
      </c>
      <c r="FB3" s="8">
        <f>SUM(FB26:FB39)</f>
        <v>6</v>
      </c>
      <c r="FC3" s="54">
        <f>IFERROR(FA3/EZ3,"-")</f>
        <v>0.33333333333333331</v>
      </c>
      <c r="FD3" s="54">
        <f>IFERROR(FB3/EZ3,"-")</f>
        <v>0.66666666666666663</v>
      </c>
      <c r="FE3" s="8">
        <f>SUM(FE26:FE39)</f>
        <v>3</v>
      </c>
      <c r="FF3" s="8">
        <f>SUM(FF26:FF39)</f>
        <v>0</v>
      </c>
      <c r="FG3" s="8">
        <f>SUM(FG26:FG39)</f>
        <v>0</v>
      </c>
      <c r="FH3" s="8">
        <f>SUM(FH26:FH39)</f>
        <v>0</v>
      </c>
      <c r="FI3" s="54" t="str">
        <f>IFERROR(FG3/FF3,"-")</f>
        <v>-</v>
      </c>
      <c r="FJ3" s="54" t="str">
        <f>IFERROR(FH3/FF3,"-")</f>
        <v>-</v>
      </c>
      <c r="FK3" s="8">
        <f>SUM(FK26:FK39)</f>
        <v>133</v>
      </c>
      <c r="FL3" s="8">
        <f>SUM(FL26:FL39)</f>
        <v>86</v>
      </c>
      <c r="FM3" s="8">
        <f>SUM(FM26:FM39)</f>
        <v>26</v>
      </c>
      <c r="FN3" s="8">
        <f>SUM(FN26:FN39)</f>
        <v>17</v>
      </c>
      <c r="FO3" s="8">
        <f>SUM(FO26:FO39)</f>
        <v>20</v>
      </c>
      <c r="FP3" s="8">
        <f>SUM(FP26:FP39)</f>
        <v>4</v>
      </c>
      <c r="FQ3" s="8">
        <f>SUM(FQ26:FQ39)</f>
        <v>10</v>
      </c>
      <c r="FR3" s="8">
        <f>SUM(FR26:FR39)</f>
        <v>6</v>
      </c>
      <c r="FS3" s="8">
        <f>SUM(FS26:FS39)</f>
        <v>5</v>
      </c>
      <c r="FT3" s="8">
        <f>SUM(FT26:FT39)</f>
        <v>17</v>
      </c>
      <c r="FU3" s="8">
        <f>SUM(FU26:FU39)</f>
        <v>15</v>
      </c>
      <c r="FV3" s="8">
        <f>SUM(FV26:FV39)</f>
        <v>2</v>
      </c>
      <c r="FW3" s="54">
        <f>IFERROR(FU3/FT3,"-")</f>
        <v>0.88235294117647056</v>
      </c>
      <c r="FX3" s="54">
        <f>IFERROR(FV3/FT3,"-")</f>
        <v>0.11764705882352941</v>
      </c>
      <c r="FY3" s="8">
        <f>SUM(FY26:FY39)</f>
        <v>5</v>
      </c>
      <c r="FZ3" s="8">
        <f>SUM(FZ26:FZ39)</f>
        <v>1</v>
      </c>
      <c r="GA3" s="8">
        <f>SUM(GA26:GA39)</f>
        <v>4</v>
      </c>
      <c r="GB3" s="54">
        <f>IFERROR(FZ3/FY3,"-")</f>
        <v>0.2</v>
      </c>
      <c r="GC3" s="54">
        <f>IFERROR(GA3/FY3,"-")</f>
        <v>0.8</v>
      </c>
      <c r="GD3" s="8">
        <f>SUM(GD26:GD39)</f>
        <v>4</v>
      </c>
      <c r="GE3" s="8">
        <f>SUM(GE26:GE39)</f>
        <v>2</v>
      </c>
      <c r="GF3" s="8">
        <f>SUM(GF26:GF39)</f>
        <v>2</v>
      </c>
      <c r="GG3" s="8">
        <f>SUM(GG26:GG39)</f>
        <v>0</v>
      </c>
      <c r="GH3" s="8">
        <f>SUM(GH26:GH39)</f>
        <v>2</v>
      </c>
      <c r="GI3" s="8">
        <f>SUM(GI26:GI39)</f>
        <v>2</v>
      </c>
      <c r="GJ3" s="8">
        <f>SUM(GJ26:GJ39)</f>
        <v>11</v>
      </c>
      <c r="GK3" s="8">
        <f>SUM(GK26:GK39)</f>
        <v>9</v>
      </c>
      <c r="GL3" s="8">
        <f>SUM(GL26:GL39)</f>
        <v>2</v>
      </c>
      <c r="GM3" s="54">
        <f>IFERROR(GK3/GJ3,"-")</f>
        <v>0.81818181818181823</v>
      </c>
      <c r="GN3" s="54">
        <f>IFERROR(GL3/GJ3,"-")</f>
        <v>0.18181818181818182</v>
      </c>
      <c r="GO3" s="8">
        <f>SUM(GO26:GO39)</f>
        <v>9</v>
      </c>
      <c r="GP3" s="8">
        <f>SUM(GP26:GP39)</f>
        <v>15</v>
      </c>
      <c r="GQ3" s="8">
        <f>SUM(GQ26:GQ39)</f>
        <v>26</v>
      </c>
      <c r="GR3" s="8">
        <f>SUM(GR26:GR39)</f>
        <v>8</v>
      </c>
      <c r="GS3" s="8">
        <f>SUM(GS26:GS39)</f>
        <v>0</v>
      </c>
      <c r="GT3" s="8">
        <f>SUM(GT26:GT39)</f>
        <v>3</v>
      </c>
      <c r="GU3" s="8">
        <f>SUM(GU26:GU39)</f>
        <v>0</v>
      </c>
      <c r="GV3" s="8">
        <f>SUM(GV26:GV39)</f>
        <v>42</v>
      </c>
      <c r="GW3" s="8">
        <f>SUM(GW26:GW39)</f>
        <v>20</v>
      </c>
      <c r="GX3" s="8">
        <f>SUM(GX26:GX39)</f>
        <v>21</v>
      </c>
      <c r="GY3" s="54">
        <f>IFERROR(GW3/GV3,"-")</f>
        <v>0.47619047619047616</v>
      </c>
      <c r="GZ3" s="54">
        <f>IFERROR(GX3/GV3,"-")</f>
        <v>0.5</v>
      </c>
      <c r="HA3" s="8">
        <f>SUM(HA26:HA39)</f>
        <v>23</v>
      </c>
      <c r="HB3" s="8">
        <f>SUM(HB26:HB39)</f>
        <v>5</v>
      </c>
      <c r="HC3" s="8">
        <f>SUM(HC26:HC39)</f>
        <v>17</v>
      </c>
      <c r="HD3" s="54">
        <f>IFERROR(HB3/HA3,"-")</f>
        <v>0.21739130434782608</v>
      </c>
      <c r="HE3" s="54">
        <f>IFERROR(HC3/HA3,"-")</f>
        <v>0.73913043478260865</v>
      </c>
      <c r="HF3" s="8">
        <f>SUM(HF26:HF39)</f>
        <v>8</v>
      </c>
      <c r="HG3" s="8">
        <f>SUM(HG26:HG39)</f>
        <v>6</v>
      </c>
      <c r="HH3" s="8">
        <f>SUM(HH26:HH39)</f>
        <v>2</v>
      </c>
      <c r="HI3" s="54">
        <f>IFERROR(HG3/HF3,"-")</f>
        <v>0.75</v>
      </c>
      <c r="HJ3" s="54">
        <f>IFERROR(HH3/HF3,"-")</f>
        <v>0.25</v>
      </c>
      <c r="HK3" s="8">
        <f>SUM(HK26:HK39)</f>
        <v>5</v>
      </c>
      <c r="HL3" s="8">
        <f>SUM(HL26:HL39)</f>
        <v>3</v>
      </c>
      <c r="HM3" s="8">
        <f>SUM(HM26:HM39)</f>
        <v>2</v>
      </c>
      <c r="HN3" s="54">
        <f>IFERROR(HL3/HK3,"-")</f>
        <v>0.6</v>
      </c>
      <c r="HO3" s="54">
        <f>IFERROR(HM3/HK3,"-")</f>
        <v>0.4</v>
      </c>
      <c r="HP3" s="8">
        <f>SUM(HP26:HP39)</f>
        <v>4</v>
      </c>
      <c r="HQ3" s="8">
        <f>SUM(HQ26:HQ39)</f>
        <v>4</v>
      </c>
      <c r="HR3" s="8">
        <f>SUM(HR26:HR39)</f>
        <v>0</v>
      </c>
      <c r="HS3" s="54">
        <f>IFERROR(HQ3/HP3,"-")</f>
        <v>1</v>
      </c>
      <c r="HT3" s="54">
        <f>IFERROR(HR3/HP3,"-")</f>
        <v>0</v>
      </c>
      <c r="HU3" s="8">
        <f>SUM(HU26:HU39)</f>
        <v>5</v>
      </c>
      <c r="HV3" s="8">
        <f>SUM(HV26:HV39)</f>
        <v>2</v>
      </c>
      <c r="HW3" s="8">
        <f>SUM(HW26:HW39)</f>
        <v>3</v>
      </c>
      <c r="HX3" s="54">
        <f>IFERROR(HV3/HU3,"-")</f>
        <v>0.4</v>
      </c>
      <c r="HY3" s="54">
        <f>IFERROR(HW3/HU3,"-")</f>
        <v>0.6</v>
      </c>
      <c r="HZ3" s="8">
        <f>SUM(HZ26:HZ39)</f>
        <v>6</v>
      </c>
      <c r="IA3" s="8">
        <f>SUM(IA26:IA39)</f>
        <v>14</v>
      </c>
      <c r="IB3" s="8">
        <f>SUM(IB26:IB39)</f>
        <v>9</v>
      </c>
      <c r="IC3" s="8">
        <f>SUM(IC26:IC39)</f>
        <v>5</v>
      </c>
      <c r="ID3" s="8">
        <f>SUM(ID26:ID39)</f>
        <v>4</v>
      </c>
      <c r="IE3" s="8">
        <f>SUM(IE26:IE39)</f>
        <v>4</v>
      </c>
      <c r="IF3" s="8">
        <f>SUM(IF26:IF39)</f>
        <v>7</v>
      </c>
      <c r="IG3" s="8">
        <f>SUM(IG26:IG39)</f>
        <v>3</v>
      </c>
      <c r="IH3" s="8">
        <f>SUM(IH26:IH39)</f>
        <v>1</v>
      </c>
      <c r="II3" s="8">
        <f>SUM(II26:II39)</f>
        <v>6</v>
      </c>
      <c r="IJ3" s="8">
        <f>SUM(IJ26:IJ39)</f>
        <v>3</v>
      </c>
      <c r="IK3" s="8">
        <f>SUM(IK26:IK39)</f>
        <v>2</v>
      </c>
      <c r="IL3" s="8">
        <f>SUM(IL26:IL39)</f>
        <v>2</v>
      </c>
      <c r="IM3" s="8">
        <f>SUM(IM26:IM39)</f>
        <v>2</v>
      </c>
      <c r="IN3" s="8">
        <f>SUM(IN26:IN39)</f>
        <v>2</v>
      </c>
      <c r="IO3" s="8">
        <f>SUM(IO26:IO39)</f>
        <v>1</v>
      </c>
    </row>
    <row r="4" spans="1:250">
      <c r="B4" s="8"/>
      <c r="E4" t="s">
        <v>654</v>
      </c>
      <c r="F4" t="s">
        <v>794</v>
      </c>
      <c r="G4" t="s">
        <v>197</v>
      </c>
      <c r="H4" t="s">
        <v>653</v>
      </c>
      <c r="I4" s="28" t="s">
        <v>639</v>
      </c>
      <c r="J4" t="s">
        <v>500</v>
      </c>
      <c r="K4" t="s">
        <v>500</v>
      </c>
      <c r="L4" t="str" cm="1">
        <f t="array" ref="L4">_xlfn.IFS(M4&lt;N4,"L",M4=N4,"D",M4&gt;N4,"W")</f>
        <v>D</v>
      </c>
      <c r="M4">
        <f>COUNTIF('Raw data'!$D:$D,"P'Boro Goal")</f>
        <v>4</v>
      </c>
      <c r="N4">
        <f>COUNTIF('Raw data'!$D:$D,"Opp Goal")</f>
        <v>4</v>
      </c>
      <c r="O4" s="8">
        <f>P4+Q4</f>
        <v>86.043263638127598</v>
      </c>
      <c r="P4" s="8">
        <f>SUMIF('Raw data'!$D:$D,"Ball in Play",'Raw data'!$C:$C)/60</f>
        <v>51.342595639765065</v>
      </c>
      <c r="Q4" s="8">
        <f>SUMIF('Raw data'!$D:$D,"Out of Play",'Raw data'!$C:$C)/60</f>
        <v>34.700667998362533</v>
      </c>
      <c r="R4" s="7">
        <f>P4/O4</f>
        <v>0.59670674343196428</v>
      </c>
      <c r="S4" s="7">
        <f>Q4/O4</f>
        <v>0.40329325656803572</v>
      </c>
      <c r="T4" s="8">
        <f>(SUMIF('Raw data'!$D:$D,"In Possession",'Raw data'!$C:$C)-(3*(COUNTIF('Raw data'!$D:$D,"In Possession"))))/60</f>
        <v>31.338559222228202</v>
      </c>
      <c r="U4" s="8">
        <f>(SUMIF('Raw data'!$D:$D,"Out of Possession",'Raw data'!$C:$C)-(3*(COUNTIF('Raw data'!$D:$D,"Out of Possession"))))/60</f>
        <v>20.513892368858986</v>
      </c>
      <c r="V4" s="11">
        <f>T4/(T4+U4)</f>
        <v>0.60437950879095792</v>
      </c>
      <c r="W4" s="11">
        <f>U4/(T4+U4)</f>
        <v>0.39562049120904202</v>
      </c>
      <c r="X4">
        <f>COUNTIF('Raw data'!$D:$D,"P'Boro Chance")</f>
        <v>12</v>
      </c>
      <c r="Y4">
        <f>SUM(Z4:AB4)</f>
        <v>11</v>
      </c>
      <c r="Z4">
        <f>COUNTIFS('Raw data'!$D:$D,"P'Boro Chance",'Raw data'!$Q:$Q,"*On Target*")</f>
        <v>5</v>
      </c>
      <c r="AA4">
        <f>COUNTIFS('Raw data'!$D:$D,"P'Boro Chance",'Raw data'!$Q:$Q,"*Off Target*")</f>
        <v>3</v>
      </c>
      <c r="AB4">
        <f>COUNTIFS('Raw data'!$D:$D,"P'Boro Chance",'Raw data'!$Q:$Q,"*Blocked*")</f>
        <v>3</v>
      </c>
      <c r="AC4" s="7">
        <f>Z4/Y4</f>
        <v>0.45454545454545453</v>
      </c>
      <c r="AD4" s="7">
        <f>AA4/Y4</f>
        <v>0.27272727272727271</v>
      </c>
      <c r="AE4" s="7">
        <f>AB4/Y4</f>
        <v>0.27272727272727271</v>
      </c>
      <c r="AF4">
        <f>COUNTIFS('Raw data'!$D:$D,"P'Boro Chance",'Raw data'!$Q:$Q,"*Shots in the box*")</f>
        <v>8</v>
      </c>
      <c r="AG4">
        <f>COUNTIFS('Raw data'!$D:$D,"P'Boro Chance",'Raw data'!$Q:$Q,"*Shots from Open Play*")</f>
        <v>4</v>
      </c>
      <c r="AH4">
        <f>COUNTIFS('Raw data'!$D:$D,"P'Boro Chance",'Raw data'!$Q:$Q,"*Cross to Shots*")</f>
        <v>2</v>
      </c>
      <c r="AI4">
        <f>COUNTIFS('Raw data'!$D:$D,"P'Boro Chance",'Raw data'!$Q:$Q,"*Counterattack to Shots*")</f>
        <v>3</v>
      </c>
      <c r="AJ4">
        <f>COUNTIFS('Raw data'!$D:$D,"P'Boro Chance",'Raw data'!$Q:$Q,"*Through Pass to Shots*")</f>
        <v>3</v>
      </c>
      <c r="AK4">
        <f>COUNTIFS('Raw data'!$D:$D,"P'Boro Chance",'Raw data'!$Q:$Q,"*Shots from Transition*")</f>
        <v>5</v>
      </c>
      <c r="AL4">
        <f>COUNTIFS('Raw data'!$D:$D,"P'Boro Chance",'Raw data'!$Q:$Q,"*Shots from Set Play*")</f>
        <v>1</v>
      </c>
      <c r="AM4">
        <f>COUNTIFS('Raw data'!$D:$D,"P'Boro Chance",'Raw data'!$Q:$Q,"*Shots from Restart*")</f>
        <v>2</v>
      </c>
      <c r="AN4">
        <f>COUNTIF('Raw data'!$D:$D,"Opp Chance")</f>
        <v>25</v>
      </c>
      <c r="AO4">
        <f>SUM(AP4:AR4)</f>
        <v>23</v>
      </c>
      <c r="AP4">
        <f>COUNTIFS('Raw data'!$D:$D,"Opp Chance",'Raw data'!$Q:$Q,"*On Target*")</f>
        <v>10</v>
      </c>
      <c r="AQ4">
        <f>COUNTIFS('Raw data'!$D:$D,"Opp Chance",'Raw data'!$Q:$Q,"*Off Target*")</f>
        <v>10</v>
      </c>
      <c r="AR4">
        <f>COUNTIFS('Raw data'!$D:$D,"Opp Chance",'Raw data'!$Q:$Q,"*Blocked*")</f>
        <v>3</v>
      </c>
      <c r="AS4" s="7">
        <f>AP4/AO4</f>
        <v>0.43478260869565216</v>
      </c>
      <c r="AT4" s="7">
        <f>AQ4/AO4</f>
        <v>0.43478260869565216</v>
      </c>
      <c r="AU4" s="7">
        <f>AR4/AO4</f>
        <v>0.13043478260869565</v>
      </c>
      <c r="AV4">
        <f>COUNTIFS('Raw data'!$D:$D,"Opp Chance",'Raw data'!$Q:$Q,"*Shots in the box*")</f>
        <v>12</v>
      </c>
      <c r="AW4">
        <f>COUNTIFS('Raw data'!$D:$D,"Opp Chance",'Raw data'!$Q:$Q,"*Shots from Open Play*")</f>
        <v>4</v>
      </c>
      <c r="AX4">
        <f>COUNTIFS('Raw data'!$D:$D,"Opp Chance",'Raw data'!$Q:$Q,"*Cross to Shots*")</f>
        <v>4</v>
      </c>
      <c r="AY4">
        <f>COUNTIFS('Raw data'!$D:$D,"Opp Chance",'Raw data'!$Q:$Q,"*Counterattack to Shots*")</f>
        <v>2</v>
      </c>
      <c r="AZ4">
        <f>COUNTIFS('Raw data'!$D:$D,"Opp Chance",'Raw data'!$Q:$Q,"*Through Pass to Shots*")</f>
        <v>3</v>
      </c>
      <c r="BA4">
        <f>COUNTIFS('Raw data'!$D:$D,"Opp Chance",'Raw data'!$Q:$Q,"*Shots from Transition*")</f>
        <v>17</v>
      </c>
      <c r="BB4">
        <f>COUNTIFS('Raw data'!$D:$D,"Opp Chance",'Raw data'!$Q:$Q,"*Shots from Set Play*")</f>
        <v>2</v>
      </c>
      <c r="BC4">
        <f>COUNTIFS('Raw data'!$D:$D,"Opp Chance",'Raw data'!$Q:$Q,"*Shots from Restart*")</f>
        <v>2</v>
      </c>
      <c r="BD4">
        <f>COUNTIF('Raw data'!$D:$D,"Build the Attack")</f>
        <v>47</v>
      </c>
      <c r="BE4">
        <f>COUNTIFS('Raw data'!$D:$D,"Build the Attack",'Raw data'!$R:$R,"*+*")</f>
        <v>18</v>
      </c>
      <c r="BF4">
        <f>COUNTIFS('Raw data'!$D:$D,"Build the Attack",'Raw data'!$R:$R,"-")</f>
        <v>29</v>
      </c>
      <c r="BG4" s="7">
        <f>BE4/BD4</f>
        <v>0.38297872340425532</v>
      </c>
      <c r="BH4" s="7">
        <f>BF4/BD4</f>
        <v>0.61702127659574468</v>
      </c>
      <c r="BI4">
        <f>COUNTIFS('Raw data'!$D:$D,"Build the Attack",'Raw data'!$P:$P,"*Turnover*")</f>
        <v>15</v>
      </c>
      <c r="BJ4">
        <f>COUNTIFS('Raw data'!$D:$D,"Build the Attack",'Raw data'!$P:$P,"*Direct play*")</f>
        <v>18</v>
      </c>
      <c r="BK4">
        <f>COUNTIFS('Raw data'!$D:$D,"Build the Attack",'Raw data'!$P:$P,"*Reach Opp Half*")</f>
        <v>12</v>
      </c>
      <c r="BL4">
        <f>COUNTIF('Raw data'!$D:$D,"Create the Attack")</f>
        <v>42</v>
      </c>
      <c r="BM4">
        <f>COUNTIFS('Raw data'!$D:$D,"Create the Attack",'Raw data'!$R:$R,"+")</f>
        <v>12</v>
      </c>
      <c r="BN4">
        <f>COUNTIFS('Raw data'!$D:$D,"Create the Attack",'Raw data'!$R:$R,"-")</f>
        <v>30</v>
      </c>
      <c r="BO4" s="7">
        <f>BM4/BL4</f>
        <v>0.2857142857142857</v>
      </c>
      <c r="BP4" s="7">
        <f>BN4/BL4</f>
        <v>0.7142857142857143</v>
      </c>
      <c r="BQ4">
        <f>COUNTIF('Raw data'!$D:$D,"P'Boro Cross")</f>
        <v>11</v>
      </c>
      <c r="BR4">
        <f>COUNTIFS('Raw data'!$D:$D,"P'Boro Cross",'Raw data'!$R:$R,"+")</f>
        <v>3</v>
      </c>
      <c r="BS4">
        <f>COUNTIFS('Raw data'!$D:$D,"P'Boro Cross",'Raw data'!$R:$R,"-")</f>
        <v>8</v>
      </c>
      <c r="BT4" s="7">
        <f>BR4/BQ4</f>
        <v>0.27272727272727271</v>
      </c>
      <c r="BU4" s="7">
        <f>BS4/BQ4</f>
        <v>0.72727272727272729</v>
      </c>
      <c r="BV4">
        <f>COUNTIF('Raw data'!$D:$D,"Opp Cross")</f>
        <v>14</v>
      </c>
      <c r="BW4">
        <f>COUNTIFS('Raw data'!$D:$D,"Opp Cross",'Raw data'!$R:$R,"+")</f>
        <v>7</v>
      </c>
      <c r="BX4">
        <f>COUNTIFS('Raw data'!$D:$D,"Opp Cross",'Raw data'!$R:$R,"-")</f>
        <v>7</v>
      </c>
      <c r="BY4" s="7">
        <f>BW4/BV4</f>
        <v>0.5</v>
      </c>
      <c r="BZ4" s="7">
        <f>BX4/BV4</f>
        <v>0.5</v>
      </c>
      <c r="CA4">
        <f>COUNTIF('Raw data'!$D:$D,"High Block")</f>
        <v>3</v>
      </c>
      <c r="CB4">
        <f>COUNTIFS('Raw data'!$D:$D,"High Block",'Raw data'!$R:$R,"+")</f>
        <v>2</v>
      </c>
      <c r="CC4">
        <f>COUNTIFS('Raw data'!$D:$D,"High Block",'Raw data'!$R:$R,"-")</f>
        <v>1</v>
      </c>
      <c r="CD4" s="7">
        <f>CB4/CA4</f>
        <v>0.66666666666666663</v>
      </c>
      <c r="CE4" s="7">
        <f>CC4/CA4</f>
        <v>0.33333333333333331</v>
      </c>
      <c r="CF4">
        <f>COUNTIFS('Raw data'!$D:$D,"High Block",'Raw data'!$S:$S,"Regain Opp Half")</f>
        <v>1</v>
      </c>
      <c r="CG4">
        <f>COUNTIFS('Raw data'!$D:$D,"High Block",'Raw data'!$S:$S,"Force error")</f>
        <v>1</v>
      </c>
      <c r="CH4">
        <f>COUNTIFS('Raw data'!$D:$D,"High Block",'Raw data'!$P:$P,"Direct play")</f>
        <v>1</v>
      </c>
      <c r="CI4">
        <f>COUNTIF('Raw data'!$D:$D,"Mid Block")</f>
        <v>7</v>
      </c>
      <c r="CJ4">
        <f>COUNTIFS('Raw data'!$D:$D,"Mid Block",'Raw data'!$R:$R,"+")</f>
        <v>5</v>
      </c>
      <c r="CK4">
        <f>COUNTIFS('Raw data'!$D:$D,"Mid Block",'Raw data'!$R:$R,"-")</f>
        <v>2</v>
      </c>
      <c r="CL4" s="7">
        <f>CJ4/CI4</f>
        <v>0.7142857142857143</v>
      </c>
      <c r="CM4" s="7">
        <f>CK4/CI4</f>
        <v>0.2857142857142857</v>
      </c>
      <c r="CN4">
        <f>COUNTIF('Raw data'!$D:$D,"Low Block")</f>
        <v>5</v>
      </c>
      <c r="CO4">
        <f>COUNTIFS('Raw data'!$D:$D,"Low Block",'Raw data'!$R:$R,"+")</f>
        <v>4</v>
      </c>
      <c r="CP4">
        <f>COUNTIFS('Raw data'!$D:$D,"Low Block",'Raw data'!$R:$R,"-")</f>
        <v>1</v>
      </c>
      <c r="CQ4" s="7">
        <f>CO4/CN4</f>
        <v>0.8</v>
      </c>
      <c r="CR4" s="7">
        <f>CP4/CN4</f>
        <v>0.2</v>
      </c>
      <c r="CS4">
        <f>SUM(CU4:CW4)</f>
        <v>69</v>
      </c>
      <c r="CT4">
        <f>COUNTIFS('Raw data'!$D:$D,"Transition to Attack",'Raw data'!$U:$U,"*Transition to Att Counter*")</f>
        <v>5</v>
      </c>
      <c r="CU4">
        <f>COUNTIFS('Raw data'!$D:$D,"Transition to Attack",'Raw data'!$U:$U,"*Final 1/3*")</f>
        <v>1</v>
      </c>
      <c r="CV4">
        <f>COUNTIFS('Raw data'!$D:$D,"Transition to Attack",'Raw data'!$U:$U,"*Middle 1/3*")</f>
        <v>27</v>
      </c>
      <c r="CW4">
        <f>COUNTIFS('Raw data'!$D:$D,"Transition to Attack",'Raw data'!$U:$U,"*Own 1/3*")</f>
        <v>41</v>
      </c>
      <c r="CX4">
        <f>SUM(CZ4:DB4)</f>
        <v>75</v>
      </c>
      <c r="CY4">
        <f>COUNTIFS('Raw data'!$D:$D,"Transition to Defense",'Raw data'!$U:$U,"*Transition to def counter*")</f>
        <v>6</v>
      </c>
      <c r="CZ4">
        <f>COUNTIFS('Raw data'!$D:$D,"Transition to Defense",'Raw data'!$U:$U,"*Final 1/3*")</f>
        <v>24</v>
      </c>
      <c r="DA4">
        <f>COUNTIFS('Raw data'!$D:$D,"Transition to Defense",'Raw data'!$U:$U,"*Middle 1/3*")</f>
        <v>30</v>
      </c>
      <c r="DB4">
        <f>COUNTIFS('Raw data'!$D:$D,"Transition to Defense",'Raw data'!$U:$U,"*Own 1/3*")</f>
        <v>21</v>
      </c>
      <c r="DC4">
        <f>COUNTIF('Raw data'!$T:$T,"P'Boro Corner")</f>
        <v>1</v>
      </c>
      <c r="DD4">
        <f>COUNTIF('Raw data'!$T:$T,"Opp Corner")</f>
        <v>5</v>
      </c>
      <c r="DE4">
        <f>COUNTIF('Raw data'!$T:$T,"*P'Boro Throw in*")</f>
        <v>12</v>
      </c>
      <c r="DF4">
        <f>COUNTIFS('Raw data'!$T:$T,"*P'Boro Throw in*",'Raw data'!$U:$U,"*Final 1/3*")</f>
        <v>6</v>
      </c>
      <c r="DG4">
        <f>COUNTIFS('Raw data'!$T:$T,"*P'Boro Throw in*",'Raw data'!$U:$U,"*Middle 1/3*")</f>
        <v>2</v>
      </c>
      <c r="DH4">
        <f>COUNTIFS('Raw data'!$T:$T,"*P'Boro Throw in*",'Raw data'!$U:$U,"*Own 1/3*")</f>
        <v>4</v>
      </c>
      <c r="DI4">
        <f>COUNTIF('Raw data'!$T:$T,"*Opp Throw in*")</f>
        <v>24</v>
      </c>
      <c r="DJ4">
        <f>COUNTIFS('Raw data'!$T:$T,"*Opp Throw in*",'Raw data'!$U:$U,"*Own 1/3*")</f>
        <v>9</v>
      </c>
      <c r="DK4">
        <f>COUNTIFS('Raw data'!$T:$T,"*Opp Throw in*",'Raw data'!$U:$U,"*Middle 1/3*")</f>
        <v>6</v>
      </c>
      <c r="DL4">
        <f>COUNTIFS('Raw data'!$T:$T,"*Opp Throw in*",'Raw data'!$U:$U,"*Own 1/3*")</f>
        <v>9</v>
      </c>
      <c r="DM4">
        <f>COUNTIF('Raw data'!$T:$T,"P'Boro Free Kick")</f>
        <v>12</v>
      </c>
      <c r="DN4">
        <f>COUNTIFS('Raw data'!$T:$T,"P'Boro Free kick",'Raw data'!$U:$U,"Final 1/3")</f>
        <v>0</v>
      </c>
      <c r="DO4">
        <f>COUNTIF('Raw data'!$T:$T,"Opp Free Kick")</f>
        <v>10</v>
      </c>
      <c r="DP4">
        <f>COUNTIFS('Raw data'!$T:$T,"Opp Free kick",'Raw data'!$U:$U,"Final 1/3")</f>
        <v>0</v>
      </c>
      <c r="DQ4">
        <f>COUNTIFS('Raw data'!$T:$T,"P'Boro Goal Kick")</f>
        <v>15</v>
      </c>
      <c r="DR4">
        <f>COUNTIFS('Raw data'!$T:$T,"Opp Goal Kick")</f>
        <v>9</v>
      </c>
      <c r="DS4">
        <f>SUM(DT4,DF4,CU4)</f>
        <v>35</v>
      </c>
      <c r="DT4">
        <f>COUNTIF('Raw data'!$D:$D,"P'Boro 1/3 Entry")</f>
        <v>28</v>
      </c>
      <c r="DU4">
        <f>SUM(DJ4,DV4,DB4)</f>
        <v>54</v>
      </c>
      <c r="DV4">
        <f>COUNTIF('Raw data'!$D:$D,"Opp 1/3 Entry")</f>
        <v>24</v>
      </c>
      <c r="DW4">
        <f>SUM(DS4,DU4)</f>
        <v>89</v>
      </c>
      <c r="DX4">
        <f>COUNTIF('Raw data'!$D:$D,"P'Boro Touches in Box")</f>
        <v>13</v>
      </c>
      <c r="DY4">
        <f>COUNTIF('Raw data'!$D:$D,"Opp Touches in Box")</f>
        <v>18</v>
      </c>
      <c r="DZ4">
        <f>SUM(DX4:DY4)</f>
        <v>31</v>
      </c>
      <c r="EA4">
        <f>SUM(EA42:EA56)</f>
        <v>388</v>
      </c>
      <c r="EB4">
        <f>SUM(EB42:EB56)</f>
        <v>293</v>
      </c>
      <c r="EC4">
        <f>SUM(EC42:EC56)</f>
        <v>95</v>
      </c>
      <c r="ED4" s="54">
        <f>IFERROR(EB4/EA4,"-")</f>
        <v>0.75515463917525771</v>
      </c>
      <c r="EE4" s="54">
        <f>IFERROR(EC4/EA4,"-")</f>
        <v>0.24484536082474226</v>
      </c>
      <c r="EF4">
        <f>SUM(EF42:EF56)</f>
        <v>193</v>
      </c>
      <c r="EG4">
        <f>SUM(EG42:EG56)</f>
        <v>116</v>
      </c>
      <c r="EH4">
        <f>SUM(EH42:EH56)</f>
        <v>77</v>
      </c>
      <c r="EI4" s="54">
        <f>IFERROR(EG4/EF4,"-")</f>
        <v>0.60103626943005184</v>
      </c>
      <c r="EJ4" s="54">
        <f>IFERROR(EH4/EF4,"-")</f>
        <v>0.39896373056994816</v>
      </c>
      <c r="EK4" s="8">
        <f>SUM(EK42:EK56)</f>
        <v>90</v>
      </c>
      <c r="EL4" s="8">
        <f>SUM(EL42:EL56)</f>
        <v>77</v>
      </c>
      <c r="EM4" s="8">
        <f>SUM(EM42:EM56)</f>
        <v>13</v>
      </c>
      <c r="EN4" s="54">
        <f>IFERROR(EL4/EK4,"-")</f>
        <v>0.85555555555555551</v>
      </c>
      <c r="EO4" s="54">
        <f>IFERROR(EM4/EK4,"-")</f>
        <v>0.14444444444444443</v>
      </c>
      <c r="EP4" s="8">
        <f>SUM(EP42:EP56)</f>
        <v>105</v>
      </c>
      <c r="EQ4" s="8">
        <f>SUM(EQ42:EQ56)</f>
        <v>100</v>
      </c>
      <c r="ER4" s="8">
        <f>SUM(ER42:ER56)</f>
        <v>5</v>
      </c>
      <c r="ES4" s="54">
        <f>IFERROR(EQ4/EP4,"-")</f>
        <v>0.95238095238095233</v>
      </c>
      <c r="ET4" s="54">
        <f>IFERROR(ER4/EP4,"-")</f>
        <v>4.7619047619047616E-2</v>
      </c>
      <c r="EU4" s="8">
        <f>SUM(EU42:EU56)</f>
        <v>43</v>
      </c>
      <c r="EV4" s="8">
        <f>SUM(EV42:EV56)</f>
        <v>20</v>
      </c>
      <c r="EW4" s="8">
        <f>SUM(EW42:EW56)</f>
        <v>24</v>
      </c>
      <c r="EX4" s="54">
        <f>IFERROR(EV4/EU4,"-")</f>
        <v>0.46511627906976744</v>
      </c>
      <c r="EY4" s="54">
        <f>IFERROR(EW4/EU4,"-")</f>
        <v>0.55813953488372092</v>
      </c>
      <c r="EZ4" s="8">
        <f>SUM(EZ42:EZ56)</f>
        <v>23</v>
      </c>
      <c r="FA4" s="8">
        <f>SUM(FA42:FA56)</f>
        <v>10</v>
      </c>
      <c r="FB4" s="8">
        <f>SUM(FB42:FB56)</f>
        <v>14</v>
      </c>
      <c r="FC4" s="54">
        <f>IFERROR(FA4/EZ4,"-")</f>
        <v>0.43478260869565216</v>
      </c>
      <c r="FD4" s="54">
        <f>IFERROR(FB4/EZ4,"-")</f>
        <v>0.60869565217391308</v>
      </c>
      <c r="FE4" s="8">
        <f>SUM(FE42:FE56)</f>
        <v>7</v>
      </c>
      <c r="FF4" s="8">
        <f>SUM(FF42:FF56)</f>
        <v>0</v>
      </c>
      <c r="FG4" s="8">
        <f>SUM(FG42:FG56)</f>
        <v>0</v>
      </c>
      <c r="FH4" s="8">
        <f>SUM(FH42:FH56)</f>
        <v>0</v>
      </c>
      <c r="FI4" s="54" t="str">
        <f>IFERROR(FG4/FF4,"-")</f>
        <v>-</v>
      </c>
      <c r="FJ4" s="54" t="str">
        <f>IFERROR(FH4/FF4,"-")</f>
        <v>-</v>
      </c>
      <c r="FK4" s="8">
        <f>SUM(FK42:FK56)</f>
        <v>272</v>
      </c>
      <c r="FL4" s="8">
        <f>SUM(FL42:FL56)</f>
        <v>179</v>
      </c>
      <c r="FM4" s="8">
        <f>SUM(FM42:FM56)</f>
        <v>64</v>
      </c>
      <c r="FN4" s="8">
        <f>SUM(FN42:FN56)</f>
        <v>28</v>
      </c>
      <c r="FO4" s="8">
        <f>SUM(FO42:FO56)</f>
        <v>31</v>
      </c>
      <c r="FP4" s="8">
        <f>SUM(FP42:FP56)</f>
        <v>7</v>
      </c>
      <c r="FQ4" s="8">
        <f>SUM(FQ42:FQ56)</f>
        <v>15</v>
      </c>
      <c r="FR4" s="8">
        <f>SUM(FR42:FR56)</f>
        <v>9</v>
      </c>
      <c r="FS4" s="8">
        <f>SUM(FS42:FS56)</f>
        <v>13</v>
      </c>
      <c r="FT4" s="8">
        <f>SUM(FT42:FT56)</f>
        <v>23</v>
      </c>
      <c r="FU4" s="8">
        <f>SUM(FU42:FU56)</f>
        <v>21</v>
      </c>
      <c r="FV4" s="8">
        <f>SUM(FV42:FV56)</f>
        <v>2</v>
      </c>
      <c r="FW4" s="54">
        <f>IFERROR(FU4/FT4,"-")</f>
        <v>0.91304347826086951</v>
      </c>
      <c r="FX4" s="54">
        <f>IFERROR(FV4/FT4,"-")</f>
        <v>8.6956521739130432E-2</v>
      </c>
      <c r="FY4" s="8">
        <f>SUM(FY42:FY56)</f>
        <v>12</v>
      </c>
      <c r="FZ4" s="8">
        <f>SUM(FZ42:FZ56)</f>
        <v>2</v>
      </c>
      <c r="GA4" s="8">
        <f>SUM(GA42:GA56)</f>
        <v>10</v>
      </c>
      <c r="GB4" s="54">
        <f>IFERROR(FZ4/FY4,"-")</f>
        <v>0.16666666666666666</v>
      </c>
      <c r="GC4" s="54">
        <f>IFERROR(GA4/FY4,"-")</f>
        <v>0.83333333333333337</v>
      </c>
      <c r="GD4" s="8">
        <f>SUM(GD42:GD56)</f>
        <v>10</v>
      </c>
      <c r="GE4" s="8">
        <f>SUM(GE42:GE56)</f>
        <v>4</v>
      </c>
      <c r="GF4" s="8">
        <f>SUM(GF42:GF56)</f>
        <v>3</v>
      </c>
      <c r="GG4" s="8">
        <f>SUM(GG42:GG56)</f>
        <v>3</v>
      </c>
      <c r="GH4" s="8">
        <f>SUM(GH42:GH56)</f>
        <v>4</v>
      </c>
      <c r="GI4" s="8">
        <f>SUM(GI42:GI56)</f>
        <v>5</v>
      </c>
      <c r="GJ4" s="8">
        <f>SUM(GJ42:GJ56)</f>
        <v>19</v>
      </c>
      <c r="GK4" s="8">
        <f>SUM(GK42:GK56)</f>
        <v>17</v>
      </c>
      <c r="GL4" s="8">
        <f>SUM(GL42:GL56)</f>
        <v>2</v>
      </c>
      <c r="GM4" s="54">
        <f>IFERROR(GK4/GJ4,"-")</f>
        <v>0.89473684210526316</v>
      </c>
      <c r="GN4" s="54">
        <f>IFERROR(GL4/GJ4,"-")</f>
        <v>0.10526315789473684</v>
      </c>
      <c r="GO4" s="8">
        <f>SUM(GO42:GO56)</f>
        <v>21</v>
      </c>
      <c r="GP4" s="8">
        <f>SUM(GP42:GP56)</f>
        <v>35</v>
      </c>
      <c r="GQ4" s="8">
        <f>SUM(GQ42:GQ56)</f>
        <v>57</v>
      </c>
      <c r="GR4" s="8">
        <f>SUM(GR42:GR56)</f>
        <v>13</v>
      </c>
      <c r="GS4" s="8">
        <f>SUM(GS42:GS56)</f>
        <v>1</v>
      </c>
      <c r="GT4" s="8">
        <f>SUM(GT42:GT56)</f>
        <v>9</v>
      </c>
      <c r="GU4" s="8">
        <f>SUM(GU42:GU56)</f>
        <v>0</v>
      </c>
      <c r="GV4" s="8">
        <f>SUM(GV42:GV56)</f>
        <v>74</v>
      </c>
      <c r="GW4" s="8">
        <f>SUM(GW42:GW56)</f>
        <v>39</v>
      </c>
      <c r="GX4" s="8">
        <f>SUM(GX42:GX56)</f>
        <v>34</v>
      </c>
      <c r="GY4" s="54">
        <f>IFERROR(GW4/GV4,"-")</f>
        <v>0.52702702702702697</v>
      </c>
      <c r="GZ4" s="54">
        <f>IFERROR(GX4/GV4,"-")</f>
        <v>0.45945945945945948</v>
      </c>
      <c r="HA4" s="8">
        <f>SUM(HA42:HA56)</f>
        <v>35</v>
      </c>
      <c r="HB4" s="8">
        <f>SUM(HB42:HB56)</f>
        <v>11</v>
      </c>
      <c r="HC4" s="8">
        <f>SUM(HC42:HC56)</f>
        <v>23</v>
      </c>
      <c r="HD4" s="54">
        <f>IFERROR(HB4/HA4,"-")</f>
        <v>0.31428571428571428</v>
      </c>
      <c r="HE4" s="54">
        <f>IFERROR(HC4/HA4,"-")</f>
        <v>0.65714285714285714</v>
      </c>
      <c r="HF4" s="8">
        <f>SUM(HF42:HF56)</f>
        <v>20</v>
      </c>
      <c r="HG4" s="8">
        <f>SUM(HG42:HG56)</f>
        <v>11</v>
      </c>
      <c r="HH4" s="8">
        <f>SUM(HH42:HH56)</f>
        <v>9</v>
      </c>
      <c r="HI4" s="54">
        <f>IFERROR(HG4/HF4,"-")</f>
        <v>0.55000000000000004</v>
      </c>
      <c r="HJ4" s="54">
        <f>IFERROR(HH4/HF4,"-")</f>
        <v>0.45</v>
      </c>
      <c r="HK4" s="8">
        <f>SUM(HK42:HK56)</f>
        <v>9</v>
      </c>
      <c r="HL4" s="8">
        <f>SUM(HL42:HL56)</f>
        <v>6</v>
      </c>
      <c r="HM4" s="8">
        <f>SUM(HM42:HM56)</f>
        <v>3</v>
      </c>
      <c r="HN4" s="54">
        <f>IFERROR(HL4/HK4,"-")</f>
        <v>0.66666666666666663</v>
      </c>
      <c r="HO4" s="54">
        <f>IFERROR(HM4/HK4,"-")</f>
        <v>0.33333333333333331</v>
      </c>
      <c r="HP4" s="8">
        <f>SUM(HP42:HP56)</f>
        <v>9</v>
      </c>
      <c r="HQ4" s="8">
        <f>SUM(HQ42:HQ56)</f>
        <v>9</v>
      </c>
      <c r="HR4" s="8">
        <f>SUM(HR42:HR56)</f>
        <v>0</v>
      </c>
      <c r="HS4" s="54">
        <f>IFERROR(HQ4/HP4,"-")</f>
        <v>1</v>
      </c>
      <c r="HT4" s="54">
        <f>IFERROR(HR4/HP4,"-")</f>
        <v>0</v>
      </c>
      <c r="HU4" s="8">
        <f>SUM(HU42:HU56)</f>
        <v>15</v>
      </c>
      <c r="HV4" s="8">
        <f>SUM(HV42:HV56)</f>
        <v>8</v>
      </c>
      <c r="HW4" s="8">
        <f>SUM(HW42:HW56)</f>
        <v>7</v>
      </c>
      <c r="HX4" s="54">
        <f>IFERROR(HV4/HU4,"-")</f>
        <v>0.53333333333333333</v>
      </c>
      <c r="HY4" s="54">
        <f>IFERROR(HW4/HU4,"-")</f>
        <v>0.46666666666666667</v>
      </c>
      <c r="HZ4" s="8">
        <f>SUM(HZ42:HZ56)</f>
        <v>11</v>
      </c>
      <c r="IA4" s="8">
        <f>SUM(IA42:IA56)</f>
        <v>26</v>
      </c>
      <c r="IB4" s="8">
        <f>SUM(IB42:IB56)</f>
        <v>20</v>
      </c>
      <c r="IC4" s="8">
        <f>SUM(IC42:IC56)</f>
        <v>13</v>
      </c>
      <c r="ID4" s="8">
        <f>SUM(ID42:ID56)</f>
        <v>6</v>
      </c>
      <c r="IE4" s="8">
        <f>SUM(IE42:IE56)</f>
        <v>4</v>
      </c>
      <c r="IF4" s="8">
        <f>SUM(IF42:IF56)</f>
        <v>12</v>
      </c>
      <c r="IG4" s="8">
        <f>SUM(IG42:IG56)</f>
        <v>6</v>
      </c>
      <c r="IH4" s="8">
        <f>SUM(IH42:IH56)</f>
        <v>2</v>
      </c>
      <c r="II4" s="8">
        <f>SUM(II42:II56)</f>
        <v>10</v>
      </c>
      <c r="IJ4" s="8">
        <f>SUM(IJ42:IJ56)</f>
        <v>7</v>
      </c>
      <c r="IK4" s="8">
        <f>SUM(IK42:IK56)</f>
        <v>4</v>
      </c>
      <c r="IL4" s="8">
        <f>SUM(IL42:IL56)</f>
        <v>4</v>
      </c>
      <c r="IM4" s="8">
        <f>SUM(IM42:IM56)</f>
        <v>3</v>
      </c>
      <c r="IN4" s="8">
        <f>SUM(IN42:IN56)</f>
        <v>3</v>
      </c>
      <c r="IO4" s="8">
        <f>SUM(IO42:IO56)</f>
        <v>2</v>
      </c>
    </row>
    <row r="5" spans="1:250">
      <c r="B5" s="8"/>
      <c r="I5" s="28"/>
      <c r="BA5" s="8"/>
      <c r="BB5" s="8"/>
      <c r="BC5" s="8"/>
      <c r="BD5" s="7"/>
      <c r="BE5" s="7"/>
    </row>
    <row r="6" spans="1:250">
      <c r="B6" s="8"/>
    </row>
    <row r="7" spans="1:250">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CC7" s="8"/>
      <c r="CD7" s="8"/>
      <c r="CE7" s="8"/>
    </row>
    <row r="8" spans="1:250" s="55" customFormat="1">
      <c r="A8"/>
      <c r="B8"/>
      <c r="C8"/>
      <c r="D8"/>
      <c r="E8"/>
      <c r="F8"/>
      <c r="G8"/>
      <c r="AN8" s="38"/>
    </row>
    <row r="9" spans="1:250">
      <c r="B9" s="8"/>
      <c r="C9" s="8"/>
      <c r="N9" s="55"/>
      <c r="O9" s="55"/>
      <c r="DY9" s="8"/>
      <c r="DZ9" s="8"/>
      <c r="EA9" s="8"/>
      <c r="EB9" s="8"/>
    </row>
    <row r="10" spans="1:250">
      <c r="B10" s="8"/>
      <c r="C10" s="8"/>
      <c r="H10" s="56"/>
      <c r="I10" s="56"/>
      <c r="J10" s="56"/>
      <c r="K10" s="56"/>
      <c r="L10" s="56"/>
      <c r="M10" s="56"/>
      <c r="N10" s="56"/>
      <c r="O10" s="57"/>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c r="CD10" s="56"/>
      <c r="CE10" s="56"/>
      <c r="DY10" s="8"/>
      <c r="DZ10" s="8"/>
      <c r="EA10" s="8"/>
      <c r="EB10" s="8"/>
    </row>
    <row r="11" spans="1:250" s="8" customFormat="1">
      <c r="A11"/>
      <c r="B11" s="11"/>
      <c r="C11" s="11"/>
      <c r="D11"/>
      <c r="F11"/>
      <c r="G11"/>
      <c r="H11"/>
      <c r="I11"/>
      <c r="J11"/>
      <c r="K11"/>
      <c r="L11"/>
      <c r="M11"/>
      <c r="CF11"/>
      <c r="HS11" s="115"/>
      <c r="HT11" s="115"/>
    </row>
    <row r="12" spans="1:250" s="8" customFormat="1">
      <c r="A12"/>
      <c r="B12" s="11"/>
      <c r="C12" s="11"/>
      <c r="D12"/>
      <c r="F12"/>
      <c r="G12"/>
      <c r="H12"/>
      <c r="I12"/>
      <c r="J12"/>
      <c r="K12"/>
      <c r="L12"/>
      <c r="M12"/>
      <c r="CF12"/>
      <c r="DW12" t="s">
        <v>464</v>
      </c>
      <c r="DX12" t="s">
        <v>140</v>
      </c>
      <c r="DY12" t="s">
        <v>541</v>
      </c>
      <c r="DZ12" t="s">
        <v>151</v>
      </c>
      <c r="EA12" s="2" t="s">
        <v>233</v>
      </c>
      <c r="EB12" s="2" t="s">
        <v>234</v>
      </c>
      <c r="EC12" s="2" t="s">
        <v>235</v>
      </c>
      <c r="ED12" s="2" t="s">
        <v>501</v>
      </c>
      <c r="EE12" s="2" t="s">
        <v>502</v>
      </c>
      <c r="EF12" s="2" t="s">
        <v>236</v>
      </c>
      <c r="EG12" s="2" t="s">
        <v>237</v>
      </c>
      <c r="EH12" s="2" t="s">
        <v>238</v>
      </c>
      <c r="EI12" s="2" t="s">
        <v>503</v>
      </c>
      <c r="EJ12" s="2" t="s">
        <v>504</v>
      </c>
      <c r="EK12" s="2" t="s">
        <v>239</v>
      </c>
      <c r="EL12" s="35" t="s">
        <v>240</v>
      </c>
      <c r="EM12" s="2" t="s">
        <v>241</v>
      </c>
      <c r="EN12" s="35" t="s">
        <v>505</v>
      </c>
      <c r="EO12" s="2" t="s">
        <v>506</v>
      </c>
      <c r="EP12" s="2" t="s">
        <v>242</v>
      </c>
      <c r="EQ12" s="2" t="s">
        <v>243</v>
      </c>
      <c r="ER12" s="2" t="s">
        <v>244</v>
      </c>
      <c r="ES12" s="2" t="s">
        <v>507</v>
      </c>
      <c r="ET12" s="2" t="s">
        <v>508</v>
      </c>
      <c r="EU12" s="2" t="s">
        <v>251</v>
      </c>
      <c r="EV12" s="2" t="s">
        <v>252</v>
      </c>
      <c r="EW12" s="2" t="s">
        <v>253</v>
      </c>
      <c r="EX12" s="2" t="s">
        <v>509</v>
      </c>
      <c r="EY12" s="2" t="s">
        <v>510</v>
      </c>
      <c r="EZ12" s="2" t="s">
        <v>257</v>
      </c>
      <c r="FA12" s="2" t="s">
        <v>258</v>
      </c>
      <c r="FB12" s="2" t="s">
        <v>259</v>
      </c>
      <c r="FC12" s="2" t="s">
        <v>511</v>
      </c>
      <c r="FD12" s="2" t="s">
        <v>512</v>
      </c>
      <c r="FE12" s="2" t="s">
        <v>260</v>
      </c>
      <c r="FF12" s="2" t="s">
        <v>261</v>
      </c>
      <c r="FG12" s="2" t="s">
        <v>262</v>
      </c>
      <c r="FH12" s="2" t="s">
        <v>263</v>
      </c>
      <c r="FI12" s="2" t="s">
        <v>513</v>
      </c>
      <c r="FJ12" s="2" t="s">
        <v>514</v>
      </c>
      <c r="FK12" s="2" t="s">
        <v>546</v>
      </c>
      <c r="FL12" s="2" t="s">
        <v>645</v>
      </c>
      <c r="FM12" s="2" t="s">
        <v>647</v>
      </c>
      <c r="FN12" s="2" t="s">
        <v>245</v>
      </c>
      <c r="FO12" s="2" t="s">
        <v>246</v>
      </c>
      <c r="FP12" s="2" t="s">
        <v>247</v>
      </c>
      <c r="FQ12" s="2" t="s">
        <v>248</v>
      </c>
      <c r="FR12" s="2" t="s">
        <v>249</v>
      </c>
      <c r="FS12" s="2" t="s">
        <v>177</v>
      </c>
      <c r="FT12" s="2" t="s">
        <v>250</v>
      </c>
      <c r="FU12" s="2" t="s">
        <v>547</v>
      </c>
      <c r="FV12" s="2" t="s">
        <v>548</v>
      </c>
      <c r="FW12" s="2" t="s">
        <v>515</v>
      </c>
      <c r="FX12" s="2" t="s">
        <v>516</v>
      </c>
      <c r="FY12" s="2" t="s">
        <v>254</v>
      </c>
      <c r="FZ12" s="2" t="s">
        <v>255</v>
      </c>
      <c r="GA12" s="2" t="s">
        <v>256</v>
      </c>
      <c r="GB12" s="2" t="s">
        <v>517</v>
      </c>
      <c r="GC12" s="2" t="s">
        <v>518</v>
      </c>
      <c r="GD12" s="2" t="s">
        <v>150</v>
      </c>
      <c r="GE12" s="2" t="s">
        <v>38</v>
      </c>
      <c r="GF12" s="2" t="s">
        <v>39</v>
      </c>
      <c r="GG12" s="2" t="s">
        <v>37</v>
      </c>
      <c r="GH12" s="2" t="s">
        <v>52</v>
      </c>
      <c r="GI12" s="2" t="s">
        <v>54</v>
      </c>
      <c r="GJ12" s="2" t="s">
        <v>581</v>
      </c>
      <c r="GK12" s="2" t="s">
        <v>339</v>
      </c>
      <c r="GL12" s="2" t="s">
        <v>340</v>
      </c>
      <c r="GM12" s="2" t="s">
        <v>519</v>
      </c>
      <c r="GN12" s="2" t="s">
        <v>520</v>
      </c>
      <c r="GO12" s="2" t="s">
        <v>451</v>
      </c>
      <c r="GP12" s="2" t="s">
        <v>552</v>
      </c>
      <c r="GQ12" s="2" t="s">
        <v>553</v>
      </c>
      <c r="GR12" s="2" t="s">
        <v>554</v>
      </c>
      <c r="GS12" s="2" t="s">
        <v>555</v>
      </c>
      <c r="GT12" s="2" t="s">
        <v>556</v>
      </c>
      <c r="GU12" s="2" t="s">
        <v>649</v>
      </c>
      <c r="GV12" s="1" t="s">
        <v>351</v>
      </c>
      <c r="GW12" s="1" t="s">
        <v>521</v>
      </c>
      <c r="GX12" s="1" t="s">
        <v>522</v>
      </c>
      <c r="GY12" s="1" t="s">
        <v>523</v>
      </c>
      <c r="GZ12" s="1" t="s">
        <v>524</v>
      </c>
      <c r="HA12" s="1" t="s">
        <v>487</v>
      </c>
      <c r="HB12" s="1" t="s">
        <v>525</v>
      </c>
      <c r="HC12" s="1" t="s">
        <v>526</v>
      </c>
      <c r="HD12" s="1" t="s">
        <v>527</v>
      </c>
      <c r="HE12" s="1" t="s">
        <v>528</v>
      </c>
      <c r="HF12" s="1" t="s">
        <v>264</v>
      </c>
      <c r="HG12" s="1" t="s">
        <v>266</v>
      </c>
      <c r="HH12" s="1" t="s">
        <v>265</v>
      </c>
      <c r="HI12" s="1" t="s">
        <v>529</v>
      </c>
      <c r="HJ12" s="1" t="s">
        <v>530</v>
      </c>
      <c r="HK12" s="1" t="s">
        <v>267</v>
      </c>
      <c r="HL12" s="1" t="s">
        <v>268</v>
      </c>
      <c r="HM12" s="1" t="s">
        <v>269</v>
      </c>
      <c r="HN12" s="1" t="s">
        <v>531</v>
      </c>
      <c r="HO12" s="1" t="s">
        <v>532</v>
      </c>
      <c r="HP12" s="1" t="s">
        <v>270</v>
      </c>
      <c r="HQ12" s="1" t="s">
        <v>271</v>
      </c>
      <c r="HR12" s="1" t="s">
        <v>272</v>
      </c>
      <c r="HS12" s="116" t="s">
        <v>533</v>
      </c>
      <c r="HT12" s="116" t="s">
        <v>534</v>
      </c>
      <c r="HU12" s="1" t="s">
        <v>273</v>
      </c>
      <c r="HV12" s="1" t="s">
        <v>274</v>
      </c>
      <c r="HW12" s="1" t="s">
        <v>275</v>
      </c>
      <c r="HX12" s="1" t="s">
        <v>535</v>
      </c>
      <c r="HY12" s="1" t="s">
        <v>536</v>
      </c>
      <c r="HZ12" s="1" t="s">
        <v>47</v>
      </c>
      <c r="IA12" s="1" t="s">
        <v>49</v>
      </c>
      <c r="IB12" s="1" t="s">
        <v>608</v>
      </c>
      <c r="IC12" s="1" t="s">
        <v>50</v>
      </c>
      <c r="ID12" s="1" t="s">
        <v>55</v>
      </c>
      <c r="IE12" s="1" t="s">
        <v>276</v>
      </c>
      <c r="IF12" s="1" t="s">
        <v>223</v>
      </c>
      <c r="IG12" s="1" t="s">
        <v>222</v>
      </c>
      <c r="IH12" s="36" t="s">
        <v>277</v>
      </c>
      <c r="II12" s="36" t="s">
        <v>278</v>
      </c>
      <c r="IJ12" s="36" t="s">
        <v>279</v>
      </c>
      <c r="IK12" s="36" t="s">
        <v>280</v>
      </c>
      <c r="IL12" s="36" t="s">
        <v>57</v>
      </c>
      <c r="IM12" s="36" t="s">
        <v>281</v>
      </c>
      <c r="IN12" s="36" t="s">
        <v>458</v>
      </c>
      <c r="IO12" s="83" t="s">
        <v>459</v>
      </c>
      <c r="IP12" t="s">
        <v>414</v>
      </c>
    </row>
    <row r="13" spans="1:250">
      <c r="B13" s="7"/>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DW13" t="s">
        <v>462</v>
      </c>
      <c r="DX13" t="s">
        <v>638</v>
      </c>
      <c r="DY13">
        <v>40</v>
      </c>
      <c r="DZ13" t="s">
        <v>152</v>
      </c>
      <c r="EA13">
        <f t="shared" ref="EA13:EA23" si="0">EB13+EC13</f>
        <v>40</v>
      </c>
      <c r="EB13" s="8">
        <f>EG13+EL13+EQ13</f>
        <v>26</v>
      </c>
      <c r="EC13" s="8">
        <f>EH13+EM13+ER13</f>
        <v>14</v>
      </c>
      <c r="ED13" s="54">
        <f t="shared" ref="ED13:ED23" si="1">IFERROR(EB13/$EA13,"-")</f>
        <v>0.65</v>
      </c>
      <c r="EE13" s="54">
        <f t="shared" ref="EE13:EE23" si="2">IFERROR(EC13/$EA13,"-")</f>
        <v>0.35</v>
      </c>
      <c r="EF13">
        <f>EG13+EH13</f>
        <v>32</v>
      </c>
      <c r="EG13">
        <f>COUNTIFS('Raw data'!$D:$D,"*Joshua Harrup*", 'Raw data'!$Y:$Y,"*1st*",'Raw data'!$I:$I,"*Forward Pass*",'Raw data'!$M:$M,"*Pass completed*")</f>
        <v>20</v>
      </c>
      <c r="EH13">
        <f>COUNTIFS('Raw data'!$D:$D,"*Joshua Harrup*", 'Raw data'!$Y:$Y,"*1st*",'Raw data'!$I:$I,"*Forward Pass*",'Raw data'!$M:$M,"*Pass Uncompleted*")</f>
        <v>12</v>
      </c>
      <c r="EI13" s="54">
        <f t="shared" ref="EI13:EI23" si="3">IFERROR(EG13/$EF13,"-")</f>
        <v>0.625</v>
      </c>
      <c r="EJ13" s="54">
        <f t="shared" ref="EJ13:EJ23" si="4">IFERROR(EH13/$EF13,"-")</f>
        <v>0.375</v>
      </c>
      <c r="EK13">
        <f>EL13+EM13</f>
        <v>8</v>
      </c>
      <c r="EL13" s="8">
        <f>COUNTIFS('Raw data'!$D:$D,"*Joshua Harrup*", 'Raw data'!$Y:$Y,"*1st*",'Raw data'!$I:$I,"*Lateral Pass*",'Raw data'!$M:$M,"*Pass completed*")</f>
        <v>6</v>
      </c>
      <c r="EM13" s="8">
        <f>COUNTIFS('Raw data'!$D:$D,"*Joshua Harrup*", 'Raw data'!$Y:$Y,"*1st*",'Raw data'!$I:$I,"*Lateral Pass*",'Raw data'!$M:$M,"*Pass Uncompleted*")</f>
        <v>2</v>
      </c>
      <c r="EN13" s="54">
        <f t="shared" ref="EN13:EN23" si="5">IFERROR(EL13/$EK13,"-")</f>
        <v>0.75</v>
      </c>
      <c r="EO13" s="54">
        <f t="shared" ref="EO13:EO23" si="6">IFERROR(EM13/$EK13,"-")</f>
        <v>0.25</v>
      </c>
      <c r="EP13">
        <f>EQ13+ER13</f>
        <v>0</v>
      </c>
      <c r="EQ13" s="8">
        <f>COUNTIFS('Raw data'!$D:$D,"*Joshua Harrup*", 'Raw data'!$Y:$Y,"*1st*",'Raw data'!$I:$I,"*Backward Pass*",'Raw data'!$M:$M,"*Pass completed*")</f>
        <v>0</v>
      </c>
      <c r="ER13" s="8">
        <f>COUNTIFS('Raw data'!$D:$D,"*Joshua Harrup*", 'Raw data'!$Y:$Y,"*1st*",'Raw data'!$I:$I,"*Backward Pass*",'Raw data'!$M:$M,"*Pass Uncompleted*")</f>
        <v>0</v>
      </c>
      <c r="ES13" s="54" t="str">
        <f t="shared" ref="ES13:ES23" si="7">IFERROR(EQ13/$EQ13,"-")</f>
        <v>-</v>
      </c>
      <c r="ET13" s="54" t="str">
        <f t="shared" ref="ET13:ET23" si="8">IFERROR(ER13/$EQ13,"-")</f>
        <v>-</v>
      </c>
      <c r="EU13" s="8">
        <f>COUNTIFS('Raw data'!$D:$D,"*Joshua Harrup*", 'Raw data'!$Y:$Y,"*1st*",'Raw data'!$I:$I,"*Long Kick*")</f>
        <v>10</v>
      </c>
      <c r="EV13" s="8">
        <f>COUNTIFS('Raw data'!$D:$D,"*Joshua Harrup*", 'Raw data'!$Y:$Y,"*1st*",'Raw data'!$I:$I,"*Long Kick*",'Raw data'!$M:$M,"*Pass completed*")</f>
        <v>3</v>
      </c>
      <c r="EW13" s="8">
        <f>COUNTIFS('Raw data'!$D:$D,"*Joshua Harrup*", 'Raw data'!$Y:$Y,"*1st*",'Raw data'!$I:$I,"*Long Kick*",'Raw data'!$M:$M,"*Pass Uncompleted*")</f>
        <v>7</v>
      </c>
      <c r="EX13" s="54">
        <f t="shared" ref="EX13:EX23" si="9">IFERROR(EV13/$EU13,"-")</f>
        <v>0.3</v>
      </c>
      <c r="EY13" s="54">
        <f t="shared" ref="EY13:EY23" si="10">IFERROR(EW13/$EU13,"-")</f>
        <v>0.7</v>
      </c>
      <c r="EZ13" s="8">
        <f>COUNTIFS('Raw data'!$D:$D,"*Joshua Harrup*", 'Raw data'!$Y:$Y,"*1st*",'Raw data'!$I:$I,"*Balls in Behind*")</f>
        <v>1</v>
      </c>
      <c r="FA13" s="8">
        <f>COUNTIFS('Raw data'!$D:$D,"*Joshua Harrup*", 'Raw data'!$Y:$Y,"*1st*",'Raw data'!$I:$I,"*Balls in Behind*",'Raw data'!$M:$M,"*Pass completed*")</f>
        <v>1</v>
      </c>
      <c r="FB13" s="8">
        <f>COUNTIFS('Raw data'!$D:$D,"*Joshua Harrup*", 'Raw data'!$Y:$Y,"*1st*",'Raw data'!$I:$I,"*Balls in Behind*",'Raw data'!$M:$M,"*Pass Uncompleted*")</f>
        <v>1</v>
      </c>
      <c r="FC13" s="54">
        <f t="shared" ref="FC13:FC23" si="11">IFERROR(FA13/$EZ13,"-")</f>
        <v>1</v>
      </c>
      <c r="FD13" s="54">
        <f t="shared" ref="FD13:FD23" si="12">IFERROR(FB13/$EZ13,"-")</f>
        <v>1</v>
      </c>
      <c r="FE13" s="8">
        <f>COUNTIFS('Raw data'!$D:$D,"*Joshua Harrup*", 'Raw data'!$Y:$Y,"*1st*",'Raw data'!$I:$I,"*Key/Through pass*")</f>
        <v>0</v>
      </c>
      <c r="FF13" s="8">
        <f>COUNTIFS('Raw data'!$D:$D,"*Joshua Harrup*", 'Raw data'!$Y:$Y,"*1st*",'Raw data'!$I:$I,"*Diagonal pass*")</f>
        <v>0</v>
      </c>
      <c r="FG13" s="8">
        <f>COUNTIFS('Raw data'!$D:$D,"*Joshua Harrup*", 'Raw data'!$Y:$Y,"*1st*",'Raw data'!$I:$I,"*Diagonal pass*",'Raw data'!$M:$M,"*Pass completed*")</f>
        <v>0</v>
      </c>
      <c r="FH13" s="8">
        <f>COUNTIFS('Raw data'!$D:$D,"*Joshua Harrup*", 'Raw data'!$Y:$Y,"*1st*",'Raw data'!$I:$I,"*Diagonal pass*",'Raw data'!$M:$M,"*Pass Uncompleted*")</f>
        <v>0</v>
      </c>
      <c r="FI13" s="54" t="str">
        <f t="shared" ref="FI13:FI23" si="13">IFERROR(FG13/$FF13,"-")</f>
        <v>-</v>
      </c>
      <c r="FJ13" s="54" t="str">
        <f t="shared" ref="FJ13:FJ23" si="14">IFERROR(FH13/$FF13,"-")</f>
        <v>-</v>
      </c>
      <c r="FK13" s="8">
        <f>COUNTIFS('Raw data'!$D:$D,"*Joshua Harrup*", 'Raw data'!$Y:$Y,"*1st*",'Raw data'!$M:$M,"*Pass Received*")</f>
        <v>27</v>
      </c>
      <c r="FL13" s="8">
        <f>COUNTIFS('Raw data'!$D:$D,"*Joshua Harrup*", 'Raw data'!$Y:$Y,"*1st*",'Raw data'!$M:$M,"*Pass Completed*",'Raw data'!$M:$M,"*Pass Received*")</f>
        <v>18</v>
      </c>
      <c r="FM13" s="8">
        <f>COUNTIFS('Raw data'!$D:$D,"*Joshua Harrup*", 'Raw data'!$Y:$Y,"*1st*",'Raw data'!$M:$M,"*Pass Uncompleted*",'Raw data'!$M:$M,"*Pass Received*")</f>
        <v>9</v>
      </c>
      <c r="FN13" s="8">
        <f>COUNTIFS('Raw data'!$D:$D,"*Joshua Harrup*", 'Raw data'!$Y:$Y,"*1st*",'Raw data'!$M:$M,"*Kept Possession*",'Raw data'!$M:$M,"*Pass Received*")</f>
        <v>0</v>
      </c>
      <c r="FO13" s="8">
        <f>COUNTIFS('Raw data'!$D:$D,"*Joshua Harrup*", 'Raw data'!$Y:$Y,"*1st*",'Raw data'!$M:$M,"*Lost Possession*")</f>
        <v>0</v>
      </c>
      <c r="FP13" s="8">
        <f>COUNTIFS('Raw data'!$D:$D,"*Joshua Harrup*", 'Raw data'!$Y:$Y,"*1st*",'Raw data'!$M:$M,"*Lost Possession*",'Raw data'!$M:$M,"*Lost Final 1/3*")</f>
        <v>0</v>
      </c>
      <c r="FQ13" s="8">
        <f>COUNTIFS('Raw data'!$D:$D,"*Joshua Harrup*", 'Raw data'!$Y:$Y,"*1st*",'Raw data'!$M:$M,"*Lost Possession*",'Raw data'!$M:$M,"*Lost Middle 1/3*")</f>
        <v>0</v>
      </c>
      <c r="FR13" s="8">
        <f>COUNTIFS('Raw data'!$D:$D,"*Joshua Harrup*", 'Raw data'!$Y:$Y,"*1st*",'Raw data'!$M:$M,"*Lost Possession*",'Raw data'!$M:$M,"*Lost Own 1/3*")</f>
        <v>0</v>
      </c>
      <c r="FS13" s="8">
        <f>COUNTIFS('Raw data'!$D:$D,"*Joshua Harrup*", 'Raw data'!$Y:$Y,"*1st*",'Raw data'!$H:$H,"*Touches in the Box*")</f>
        <v>0</v>
      </c>
      <c r="FT13" s="8">
        <f>COUNTIFS('Raw data'!$D:$D,"*Joshua Harrup*", 'Raw data'!$Y:$Y,"*1st*",'Raw data'!$H:$H,"*1v1 Attack*")</f>
        <v>0</v>
      </c>
      <c r="FU13" s="8">
        <f>COUNTIFS('Raw data'!$D:$D,"*Joshua Harrup*", 'Raw data'!$Y:$Y,"*1st*",'Raw data'!$H:$H,"*1v1 Attack*",'Raw data'!$H:$H,"*1v1 Attack*",'Raw data'!$M:$M,"*Kept Possession*")</f>
        <v>0</v>
      </c>
      <c r="FV13" s="8">
        <f>COUNTIFS('Raw data'!$D:$D,"*Joshua Harrup*", 'Raw data'!$Y:$Y,"*1st*",'Raw data'!$H:$H,"*1v1 Attack*",'Raw data'!$H:$H,"*1v1 Attack*",'Raw data'!$M:$M,"*Lost Possession*")</f>
        <v>0</v>
      </c>
      <c r="FW13" s="54" t="str">
        <f t="shared" ref="FW13:FW23" si="15">IFERROR(FU13/$FT13,"-")</f>
        <v>-</v>
      </c>
      <c r="FX13" s="54" t="str">
        <f t="shared" ref="FX13:FX23" si="16">IFERROR(FV13/$FT13,"-")</f>
        <v>-</v>
      </c>
      <c r="FY13" s="8">
        <f>COUNTIFS('Raw data'!$D:$D,"*Joshua Harrup*", 'Raw data'!$Y:$Y,"*1st*",'Raw data'!$I:$I,"*Cross*")</f>
        <v>0</v>
      </c>
      <c r="FZ13" s="8">
        <f>COUNTIFS('Raw data'!$D:$D,"*Joshua Harrup*", 'Raw data'!$Y:$Y,"*1st*",'Raw data'!$I:$I,"*Cross*",'Raw data'!$M:$M,"*Pass Completed*")</f>
        <v>0</v>
      </c>
      <c r="GA13" s="8">
        <f>COUNTIFS('Raw data'!$D:$D,"*Joshua Harrup*", 'Raw data'!$Y:$Y,"*1st*",'Raw data'!$I:$I,"*Cross*",'Raw data'!$M:$M,"*Pass Uncompleted*")</f>
        <v>0</v>
      </c>
      <c r="GB13" s="54" t="str">
        <f t="shared" ref="GB13:GB23" si="17">IFERROR(FZ13/$FY13,"-")</f>
        <v>-</v>
      </c>
      <c r="GC13" s="54" t="str">
        <f t="shared" ref="GC13:GC23" si="18">IFERROR(GA13/$FY13,"-")</f>
        <v>-</v>
      </c>
      <c r="GD13" s="8">
        <f t="shared" ref="GD13:GD23" si="19">SUM(GE13:GG13)</f>
        <v>0</v>
      </c>
      <c r="GE13" s="8">
        <f>COUNTIFS('Raw data'!$D:$D,"*Joshua Harrup*", 'Raw data'!$Y:$Y,"*1st*",'Raw data'!$L:$L,"*On Target*")</f>
        <v>0</v>
      </c>
      <c r="GF13" s="8">
        <f>COUNTIFS('Raw data'!$D:$D,"*Joshua Harrup*", 'Raw data'!$Y:$Y,"*1st*",'Raw data'!$L:$L,"*Off Target*")</f>
        <v>0</v>
      </c>
      <c r="GG13" s="8">
        <f>COUNTIFS('Raw data'!$D:$D,"*Joshua Harrup*", 'Raw data'!$Y:$Y,"*1st*",'Raw data'!$L:$L,"*Blocked*")</f>
        <v>0</v>
      </c>
      <c r="GH13" s="8">
        <f>COUNTIFS('Raw data'!$D:$D,"*Joshua Harrup*", 'Raw data'!$Y:$Y,"*1st*",'Raw data'!$M:$M,"*Goal*")</f>
        <v>0</v>
      </c>
      <c r="GI13" s="8">
        <f>COUNTIFS('Raw data'!$D:$D,"*Joshua Harrup*", 'Raw data'!$Y:$Y,"*1st*",'Raw data'!$M:$M,"*Assist*")</f>
        <v>0</v>
      </c>
      <c r="GJ13" s="8">
        <f>COUNTIFS('Raw data'!$D:$D,"*Joshua Harrup*", 'Raw data'!$Y:$Y,"*1st*",'Raw data'!$H:$H,"*Offensive duel*")</f>
        <v>0</v>
      </c>
      <c r="GK13" s="8">
        <f>COUNTIFS('Raw data'!$D:$D,"*Joshua Harrup*", 'Raw data'!$Y:$Y,"*1st*",'Raw data'!$H:$H,"*Offensive Duel*",'Raw data'!$H:$H,"*Offensive Duel*",'Raw data'!$M:$M,"*Kept Possession*")</f>
        <v>0</v>
      </c>
      <c r="GL13" s="8">
        <f>COUNTIFS('Raw data'!$D:$D,"*Joshua Harrup*", 'Raw data'!$Y:$Y,"*1st*",'Raw data'!$H:$H,"*Offensive Duel*",'Raw data'!$H:$H,"*Offensive Duel*",'Raw data'!$M:$M,"*Lost Possession*")</f>
        <v>0</v>
      </c>
      <c r="GM13" s="54" t="str">
        <f t="shared" ref="GM13:GM23" si="20">IFERROR(GK13/$GJ13,"-")</f>
        <v>-</v>
      </c>
      <c r="GN13" s="54" t="str">
        <f t="shared" ref="GN13:GN23" si="21">IFERROR(GL13/$GJ13,"-")</f>
        <v>-</v>
      </c>
      <c r="GO13" s="8">
        <f>COUNTIFS('Raw data'!$D:$D,"*Joshua Harrup*", 'Raw data'!$Y:$Y,"*1st*",'Raw data'!$H:$H,"*Acceleration*")</f>
        <v>1</v>
      </c>
      <c r="GP13" s="8">
        <f>COUNTIFS('Raw data'!$D:$D,"*Joshua Harrup*", 'Raw data'!$Y:$Y,"*1st*",'Raw data'!$H:$H,"*Move into Pocket*")</f>
        <v>0</v>
      </c>
      <c r="GQ13" s="8">
        <f>COUNTIFS('Raw data'!$D:$D,"*Joshua Harrup*", 'Raw data'!$Y:$Y,"*1st*",'Raw data'!$H:$H,"*Wide area*")</f>
        <v>0</v>
      </c>
      <c r="GR13" s="8">
        <f>COUNTIFS('Raw data'!$D:$D,"*Joshua Harrup*", 'Raw data'!$Y:$Y,"*1st*",'Raw data'!$H:$H,"*Back to goal*")</f>
        <v>0</v>
      </c>
      <c r="GS13" s="8">
        <f>COUNTIFS('Raw data'!$D:$D,"*Joshua Harrup*", 'Raw data'!$Y:$Y,"*1st*",'Raw data'!$H:$H,"*Over/Underlaps*")</f>
        <v>0</v>
      </c>
      <c r="GT13" s="8">
        <f>COUNTIFS('Raw data'!$D:$D,"*Joshua Harrup*", 'Raw data'!$Y:$Y,"*1st*",'Raw data'!$H:$H,"*Runs in Behind*")</f>
        <v>0</v>
      </c>
      <c r="GU13" s="8">
        <f>COUNTIFS('Raw data'!$D:$D,"*Joshua Harrup*", 'Raw data'!$Y:$Y,"*1st*",'Raw data'!$H:$H,"*Half-space Runs*")</f>
        <v>0</v>
      </c>
      <c r="GV13" s="8">
        <f t="shared" ref="GV13:GV23" si="22">SUM(GJ13,HA13,HF13)</f>
        <v>0</v>
      </c>
      <c r="GW13" s="8">
        <f t="shared" ref="GW13:GW23" si="23">SUM(GK13,HB13,HG13)</f>
        <v>0</v>
      </c>
      <c r="GX13" s="8">
        <f t="shared" ref="GX13:GX23" si="24">SUM(GL13,HC13,HH13)</f>
        <v>0</v>
      </c>
      <c r="GY13" s="54" t="str">
        <f t="shared" ref="GY13:GY23" si="25">IFERROR(GW13/$GV13,"-")</f>
        <v>-</v>
      </c>
      <c r="GZ13" s="54" t="str">
        <f t="shared" ref="GZ13:GZ23" si="26">IFERROR(GX13/$GV13,"-")</f>
        <v>-</v>
      </c>
      <c r="HA13" s="8">
        <f>COUNTIFS('Raw data'!$D:$D,"*Joshua Harrup*", 'Raw data'!$Y:$Y,"*1st*",'Raw data'!$K:$K,"*Ground duel*")</f>
        <v>0</v>
      </c>
      <c r="HB13" s="8">
        <f>COUNTIFS('Raw data'!$D:$D,"*Joshua Harrup*", 'Raw data'!$Y:$Y,"*1st*",'Raw data'!$K:$K,"*Ground duel*",'Raw data'!$M:$M,"*Duel Succeeded*")</f>
        <v>0</v>
      </c>
      <c r="HC13" s="8">
        <f>COUNTIFS('Raw data'!$D:$D,"*Joshua Harrup*", 'Raw data'!$Y:$Y,"*1st*",'Raw data'!$K:$K,"*Ground duel*",'Raw data'!$M:$M,"*Duel Unsucceeded*")</f>
        <v>0</v>
      </c>
      <c r="HD13" s="54" t="str">
        <f t="shared" ref="HD13:HD23" si="27">IFERROR(HB13/$HA13,"-")</f>
        <v>-</v>
      </c>
      <c r="HE13" s="54" t="str">
        <f t="shared" ref="HE13:HE23" si="28">IFERROR(HC13/$HA13,"-")</f>
        <v>-</v>
      </c>
      <c r="HF13" s="8">
        <f>COUNTIFS('Raw data'!$D:$D,"*Joshua Harrup*", 'Raw data'!$Y:$Y,"*1st*",'Raw data'!$K:$K,"*Aerial duel*")</f>
        <v>0</v>
      </c>
      <c r="HG13" s="8">
        <f>COUNTIFS('Raw data'!$D:$D,"*Joshua Harrup*", 'Raw data'!$Y:$Y,"*1st*",'Raw data'!$K:$K,"*Aerial duel*",'Raw data'!$M:$M,"*Duel Succeeded*")</f>
        <v>0</v>
      </c>
      <c r="HH13" s="8">
        <f>COUNTIFS('Raw data'!$D:$D,"*Joshua Harrup*", 'Raw data'!$Y:$Y,"*1st*",'Raw data'!$K:$K,"*Aerial duel*",'Raw data'!$M:$M,"*Duel Unsucceeded*")</f>
        <v>0</v>
      </c>
      <c r="HI13" s="54" t="str">
        <f t="shared" ref="HI13:HI23" si="29">IFERROR(HG13/$HG13,"-")</f>
        <v>-</v>
      </c>
      <c r="HJ13" s="54" t="str">
        <f t="shared" ref="HJ13:HJ23" si="30">IFERROR(HH13/$HG13,"-")</f>
        <v>-</v>
      </c>
      <c r="HK13" s="8">
        <f>COUNTIFS('Raw data'!$D:$D,"*Joshua Harrup*", 'Raw data'!$Y:$Y,"*1st*",'Raw data'!$K:$K,"*1v1 defense*")</f>
        <v>0</v>
      </c>
      <c r="HL13" s="8">
        <f>COUNTIFS('Raw data'!$D:$D,"*Joshua Harrup*", 'Raw data'!$Y:$Y,"*1st*",'Raw data'!$K:$K,"*1v1 defense*",'Raw data'!$M:$M,"*Duel Succeeded*")</f>
        <v>0</v>
      </c>
      <c r="HM13" s="8">
        <f>COUNTIFS('Raw data'!$D:$D,"*Joshua Harrup*", 'Raw data'!$Y:$Y,"*1st*",'Raw data'!$K:$K,"*1v1 defense*",'Raw data'!$M:$M,"*Duel Unsucceeded*")</f>
        <v>0</v>
      </c>
      <c r="HN13" s="54" t="str">
        <f t="shared" ref="HN13:HN23" si="31">IFERROR(HL13/$HK13,"-")</f>
        <v>-</v>
      </c>
      <c r="HO13" s="54" t="str">
        <f t="shared" ref="HO13:HO23" si="32">IFERROR(HM13/$HK13,"-")</f>
        <v>-</v>
      </c>
      <c r="HP13" s="8">
        <f>COUNTIFS('Raw data'!$D:$D,"*Joshua Harrup*", 'Raw data'!$Y:$Y,"*1st*",'Raw data'!$J:$J,"*Tackles*")</f>
        <v>0</v>
      </c>
      <c r="HQ13" s="8">
        <f>COUNTIFS('Raw data'!$D:$D,"*Joshua Harrup*", 'Raw data'!$Y:$Y,"*1st*",'Raw data'!$J:$J,"*Tackles*", 'Raw data'!$M:$M,"*Duel Succeeded*")</f>
        <v>0</v>
      </c>
      <c r="HR13" s="8">
        <f>COUNTIFS('Raw data'!$D:$D,"*Joshua Harrup*", 'Raw data'!$Y:$Y,"*1st*",'Raw data'!$J:$J,"*Tackles*", 'Raw data'!$M:$M,"*Duel Unsucceeded*")</f>
        <v>0</v>
      </c>
      <c r="HS13" s="54" t="str">
        <f t="shared" ref="HS13:HS23" si="33">IFERROR(HQ13/$HP13,"-")</f>
        <v>-</v>
      </c>
      <c r="HT13" s="54" t="str">
        <f t="shared" ref="HT13:HT23" si="34">IFERROR(HR13/$HP13,"-")</f>
        <v>-</v>
      </c>
      <c r="HU13" s="8">
        <f>COUNTIFS('Raw data'!$D:$D,"*Joshua Harrup*", 'Raw data'!$Y:$Y,"*1st*",'Raw data'!$K:$K,"*2nd Balls*")</f>
        <v>0</v>
      </c>
      <c r="HV13" s="8">
        <f>COUNTIFS('Raw data'!$D:$D,"*Joshua Harrup*", 'Raw data'!$Y:$Y,"*1st*",'Raw data'!$K:$K,"*2nd Balls*", 'Raw data'!$M:$M,"*Duel Succeeded*")</f>
        <v>0</v>
      </c>
      <c r="HW13" s="8">
        <f>COUNTIFS('Raw data'!$D:$D,"*Joshua Harrup*", 'Raw data'!$Y:$Y,"*1st*",'Raw data'!$K:$K,"*2nd Balls*", 'Raw data'!$M:$M,"*Duel Unsucceeded*")</f>
        <v>0</v>
      </c>
      <c r="HX13" s="54" t="str">
        <f t="shared" ref="HX13:HX23" si="35">IFERROR(HV13/$HU13,"-")</f>
        <v>-</v>
      </c>
      <c r="HY13" s="54" t="str">
        <f t="shared" ref="HY13:HY23" si="36">IFERROR(HW13/$HU13,"-")</f>
        <v>-</v>
      </c>
      <c r="HZ13" s="8">
        <f>COUNTIFS('Raw data'!$D:$D,"*Joshua Harrup*", 'Raw data'!$Y:$Y,"*1st*",'Raw data'!$J:$J,"*Clearance*")</f>
        <v>0</v>
      </c>
      <c r="IA13" s="8">
        <f>COUNTIFS('Raw data'!$D:$D,"*Joshua Harrup*", 'Raw data'!$Y:$Y,"*1st*",'Raw data'!$J:$J,"*Interception*")</f>
        <v>0</v>
      </c>
      <c r="IB13" s="8">
        <f>COUNTIFS('Raw data'!$D:$D,"*Joshua Harrup*", 'Raw data'!$Y:$Y,"*1st*",'Raw data'!$J:$J,"*Turnover Won*")</f>
        <v>0</v>
      </c>
      <c r="IC13" s="8">
        <f>COUNTIFS('Raw data'!$D:$D,"*Joshua Harrup*", 'Raw data'!$Y:$Y,"*1st*",'Raw data'!$J:$J,"*Recovery*")</f>
        <v>0</v>
      </c>
      <c r="ID13" s="8">
        <f>COUNTIFS('Raw data'!$D:$D,"*Joshua Harrup*", 'Raw data'!$Y:$Y,"*1st*",'Raw data'!$J:$J,"*Blocked Shots*")</f>
        <v>0</v>
      </c>
      <c r="IE13" s="8">
        <f>COUNTIFS('Raw data'!$D:$D,"*Joshua Harrup*", 'Raw data'!$Y:$Y,"*1st*",'Raw data'!$J:$J,"*Man-marking*")</f>
        <v>0</v>
      </c>
      <c r="IF13" s="8">
        <f>COUNTIFS('Raw data'!$D:$D,"*Joshua Harrup*", 'Raw data'!$Y:$Y,"*1st*",'Raw data'!$J:$J,"*Fouls*")</f>
        <v>0</v>
      </c>
      <c r="IG13" s="8">
        <f>COUNTIFS('Raw data'!$D:$D,"*Joshua Harrup*", 'Raw data'!$Y:$Y,"*1st*",'Raw data'!$J:$J,"*Won F*")</f>
        <v>0</v>
      </c>
      <c r="IH13" s="8">
        <f>COUNTIFS('Raw data'!$D:$D,"*Joshua Harrup*", 'Raw data'!$Y:$Y,"*1st*",'Raw data'!$G:$G,"*1v1*")</f>
        <v>1</v>
      </c>
      <c r="II13" s="8">
        <f>COUNTIFS('Raw data'!$D:$D,"*Joshua Harrup*", 'Raw data'!$Y:$Y,"*1st*",'Raw data'!$G:$G,"*On Target*")</f>
        <v>4</v>
      </c>
      <c r="IJ13" s="8">
        <f>COUNTIFS('Raw data'!$D:$D,"*Joshua Harrup*", 'Raw data'!$Y:$Y,"*1st*",'Raw data'!$G:$G,"*Off Target*")</f>
        <v>4</v>
      </c>
      <c r="IK13" s="8">
        <f>COUNTIFS('Raw data'!$D:$D,"*Joshua Harrup*", 'Raw data'!$Y:$Y,"*1st*",'Raw data'!$G:$G,"*Defend the Space*")</f>
        <v>2</v>
      </c>
      <c r="IL13" s="8">
        <f>COUNTIFS('Raw data'!$D:$D,"*Joshua Harrup*", 'Raw data'!$Y:$Y,"*1st*",'Raw data'!$G:$G,"*Conceded*")</f>
        <v>2</v>
      </c>
      <c r="IM13" s="8">
        <f>COUNTIFS('Raw data'!$D:$D,"*Joshua Harrup*", 'Raw data'!$Y:$Y,"*1st*",'Raw data'!$G:$G,"*Save*")</f>
        <v>1</v>
      </c>
      <c r="IN13" s="8">
        <f>COUNTIFS('Raw data'!$D:$D,"*Joshua Harrup*", 'Raw data'!$Y:$Y,"*1st*",'Raw data'!$G:$G,"*Defend the line (Cross)*")</f>
        <v>1</v>
      </c>
      <c r="IO13" s="8">
        <f>COUNTIFS('Raw data'!$D:$D,"*Joshua Harrup*", 'Raw data'!$Y:$Y,"*1st*",'Raw data'!$G:$G,"*Counter Kick*")</f>
        <v>1</v>
      </c>
      <c r="IP13" t="s">
        <v>638</v>
      </c>
    </row>
    <row r="14" spans="1:250">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DW14" t="s">
        <v>462</v>
      </c>
      <c r="DX14" t="s">
        <v>636</v>
      </c>
      <c r="DY14">
        <v>40</v>
      </c>
      <c r="DZ14" t="s">
        <v>153</v>
      </c>
      <c r="EA14">
        <f t="shared" si="0"/>
        <v>22</v>
      </c>
      <c r="EB14" s="8">
        <f t="shared" ref="EB14:EB23" si="37">EG14+EL14+EQ14</f>
        <v>19</v>
      </c>
      <c r="EC14" s="8">
        <f t="shared" ref="EC14:EC23" si="38">EH14+EM14+ER14</f>
        <v>3</v>
      </c>
      <c r="ED14" s="54">
        <f t="shared" si="1"/>
        <v>0.86363636363636365</v>
      </c>
      <c r="EE14" s="54">
        <f t="shared" si="2"/>
        <v>0.13636363636363635</v>
      </c>
      <c r="EF14">
        <f t="shared" ref="EF14:EF23" si="39">EG14+EH14</f>
        <v>10</v>
      </c>
      <c r="EG14">
        <f>COUNTIFS('Raw data'!$D:$D,"*Joshua Laotan*", 'Raw data'!$Y:$Y,"*1st*",'Raw data'!$I:$I,"*Forward Pass*",'Raw data'!$M:$M,"*Pass completed*")</f>
        <v>7</v>
      </c>
      <c r="EH14">
        <f>COUNTIFS('Raw data'!$D:$D,"*Joshua Laotan*", 'Raw data'!$Y:$Y,"*1st*",'Raw data'!$I:$I,"*Forward Pass*",'Raw data'!$M:$M,"*Pass Uncompleted*")</f>
        <v>3</v>
      </c>
      <c r="EI14" s="54">
        <f t="shared" si="3"/>
        <v>0.7</v>
      </c>
      <c r="EJ14" s="54">
        <f t="shared" si="4"/>
        <v>0.3</v>
      </c>
      <c r="EK14">
        <f t="shared" ref="EK14:EK23" si="40">EL14+EM14</f>
        <v>7</v>
      </c>
      <c r="EL14" s="8">
        <f>COUNTIFS('Raw data'!$D:$D,"*Joshua Laotan*", 'Raw data'!$Y:$Y,"*1st*",'Raw data'!$I:$I,"*Lateral Pass*",'Raw data'!$M:$M,"*Pass completed*")</f>
        <v>7</v>
      </c>
      <c r="EM14" s="8">
        <f>COUNTIFS('Raw data'!$D:$D,"*Joshua Laotan*", 'Raw data'!$Y:$Y,"*1st*",'Raw data'!$I:$I,"*Lateral Pass*",'Raw data'!$M:$M,"*Pass Uncompleted*")</f>
        <v>0</v>
      </c>
      <c r="EN14" s="54">
        <f t="shared" si="5"/>
        <v>1</v>
      </c>
      <c r="EO14" s="54">
        <f t="shared" si="6"/>
        <v>0</v>
      </c>
      <c r="EP14">
        <f t="shared" ref="EP14:EP23" si="41">EQ14+ER14</f>
        <v>5</v>
      </c>
      <c r="EQ14" s="8">
        <f>COUNTIFS('Raw data'!$D:$D,"*Joshua Laotan*", 'Raw data'!$Y:$Y,"*1st*",'Raw data'!$I:$I,"*Backward Pass*",'Raw data'!$M:$M,"*Pass completed*")</f>
        <v>5</v>
      </c>
      <c r="ER14" s="8">
        <f>COUNTIFS('Raw data'!$D:$D,"*Joshua Laotan*", 'Raw data'!$Y:$Y,"*1st*",'Raw data'!$I:$I,"*Backward Pass*",'Raw data'!$M:$M,"*Pass Uncompleted*")</f>
        <v>0</v>
      </c>
      <c r="ES14" s="54">
        <f t="shared" si="7"/>
        <v>1</v>
      </c>
      <c r="ET14" s="54">
        <f t="shared" si="8"/>
        <v>0</v>
      </c>
      <c r="EU14" s="8">
        <f>COUNTIFS('Raw data'!$D:$D,"*Joshua Laotan*", 'Raw data'!$Y:$Y,"*1st*",'Raw data'!$I:$I,"*Long Kick*")</f>
        <v>1</v>
      </c>
      <c r="EV14" s="8">
        <f>COUNTIFS('Raw data'!$D:$D,"*Joshua Laotan*", 'Raw data'!$Y:$Y,"*1st*",'Raw data'!$I:$I,"*Long Kick*",'Raw data'!$M:$M,"*Pass completed*")</f>
        <v>1</v>
      </c>
      <c r="EW14" s="8">
        <f>COUNTIFS('Raw data'!$D:$D,"*Joshua Laotan*", 'Raw data'!$Y:$Y,"*1st*",'Raw data'!$I:$I,"*Long Kick*",'Raw data'!$M:$M,"*Pass Uncompleted*")</f>
        <v>0</v>
      </c>
      <c r="EX14" s="54">
        <f t="shared" si="9"/>
        <v>1</v>
      </c>
      <c r="EY14" s="54">
        <f t="shared" si="10"/>
        <v>0</v>
      </c>
      <c r="EZ14" s="8">
        <f>COUNTIFS('Raw data'!$D:$D,"*Joshua Laotan*", 'Raw data'!$Y:$Y,"*1st*",'Raw data'!$I:$I,"*Balls in Behind*")</f>
        <v>2</v>
      </c>
      <c r="FA14" s="8">
        <f>COUNTIFS('Raw data'!$D:$D,"*Joshua Laotan*", 'Raw data'!$Y:$Y,"*1st*",'Raw data'!$I:$I,"*Balls in Behind*",'Raw data'!$M:$M,"*Pass completed*")</f>
        <v>1</v>
      </c>
      <c r="FB14" s="8">
        <f>COUNTIFS('Raw data'!$D:$D,"*Joshua Laotan*", 'Raw data'!$Y:$Y,"*1st*",'Raw data'!$I:$I,"*Balls in Behind*",'Raw data'!$M:$M,"*Pass Uncompleted*")</f>
        <v>1</v>
      </c>
      <c r="FC14" s="54">
        <f t="shared" si="11"/>
        <v>0.5</v>
      </c>
      <c r="FD14" s="54">
        <f t="shared" si="12"/>
        <v>0.5</v>
      </c>
      <c r="FE14" s="8">
        <f>COUNTIFS('Raw data'!$D:$D,"*Joshua Laotan*", 'Raw data'!$Y:$Y,"*1st*",'Raw data'!$I:$I,"*Key/Through pass*")</f>
        <v>0</v>
      </c>
      <c r="FF14" s="8">
        <f>COUNTIFS('Raw data'!$D:$D,"*Joshua Laotan*", 'Raw data'!$Y:$Y,"*1st*",'Raw data'!$I:$I,"*Diagonal pass*")</f>
        <v>0</v>
      </c>
      <c r="FG14" s="8">
        <f>COUNTIFS('Raw data'!$D:$D,"*Joshua Laotan*", 'Raw data'!$Y:$Y,"*1st*",'Raw data'!$I:$I,"*Diagonal pass*",'Raw data'!$M:$M,"*Pass completed*")</f>
        <v>0</v>
      </c>
      <c r="FH14" s="8">
        <f>COUNTIFS('Raw data'!$D:$D,"*Joshua Laotan*", 'Raw data'!$Y:$Y,"*1st*",'Raw data'!$I:$I,"*Diagonal pass*",'Raw data'!$M:$M,"*Pass Uncompleted*")</f>
        <v>0</v>
      </c>
      <c r="FI14" s="54" t="str">
        <f t="shared" si="13"/>
        <v>-</v>
      </c>
      <c r="FJ14" s="54" t="str">
        <f t="shared" si="14"/>
        <v>-</v>
      </c>
      <c r="FK14" s="8">
        <f>COUNTIFS('Raw data'!$D:$D,"*Joshua Laotan*", 'Raw data'!$Y:$Y,"*1st*",'Raw data'!$M:$M,"*Pass Received*")</f>
        <v>14</v>
      </c>
      <c r="FL14" s="8">
        <f>COUNTIFS('Raw data'!$D:$D,"*Joshua Laotan*", 'Raw data'!$Y:$Y,"*1st*",'Raw data'!$M:$M,"*Pass Completed*",'Raw data'!$M:$M,"*Pass Received*")</f>
        <v>11</v>
      </c>
      <c r="FM14" s="8">
        <f>COUNTIFS('Raw data'!$D:$D,"*Joshua Laotan*", 'Raw data'!$Y:$Y,"*1st*",'Raw data'!$M:$M,"*Pass Uncompleted*",'Raw data'!$M:$M,"*Pass Received*")</f>
        <v>2</v>
      </c>
      <c r="FN14" s="8">
        <f>COUNTIFS('Raw data'!$D:$D,"*Joshua Laotan*", 'Raw data'!$Y:$Y,"*1st*",'Raw data'!$M:$M,"*Kept Possession*",'Raw data'!$M:$M,"*Pass Received*")</f>
        <v>1</v>
      </c>
      <c r="FO14" s="8">
        <f>COUNTIFS('Raw data'!$D:$D,"*Joshua Laotan*", 'Raw data'!$Y:$Y,"*1st*",'Raw data'!$M:$M,"*Lost Possession*")</f>
        <v>1</v>
      </c>
      <c r="FP14" s="8">
        <f>COUNTIFS('Raw data'!$D:$D,"*Joshua Laotan*", 'Raw data'!$Y:$Y,"*1st*",'Raw data'!$M:$M,"*Lost Possession*",'Raw data'!$M:$M,"*Lost Final 1/3*")</f>
        <v>0</v>
      </c>
      <c r="FQ14" s="8">
        <f>COUNTIFS('Raw data'!$D:$D,"*Joshua Laotan*", 'Raw data'!$Y:$Y,"*1st*",'Raw data'!$M:$M,"*Lost Possession*",'Raw data'!$M:$M,"*Lost Middle 1/3*")</f>
        <v>1</v>
      </c>
      <c r="FR14" s="8">
        <f>COUNTIFS('Raw data'!$D:$D,"*Joshua Laotan*", 'Raw data'!$Y:$Y,"*1st*",'Raw data'!$M:$M,"*Lost Possession*",'Raw data'!$M:$M,"*Lost Own 1/3*")</f>
        <v>0</v>
      </c>
      <c r="FS14" s="8">
        <f>COUNTIFS('Raw data'!$D:$D,"*Joshua Laotan*", 'Raw data'!$Y:$Y,"*1st*",'Raw data'!$H:$H,"*Touches in the Box*")</f>
        <v>0</v>
      </c>
      <c r="FT14" s="8">
        <f>COUNTIFS('Raw data'!$D:$D,"*Joshua Laotan*", 'Raw data'!$Y:$Y,"*1st*",'Raw data'!$H:$H,"*1v1 Attack*")</f>
        <v>0</v>
      </c>
      <c r="FU14" s="8">
        <f>COUNTIFS('Raw data'!$D:$D,"*Joshua Laotan*", 'Raw data'!$Y:$Y,"*1st*",'Raw data'!$H:$H,"*1v1 Attack*",'Raw data'!$H:$H,"*1v1 Attack*",'Raw data'!$M:$M,"*Kept Possession*")</f>
        <v>0</v>
      </c>
      <c r="FV14" s="8">
        <f>COUNTIFS('Raw data'!$D:$D,"*Joshua Laotan*", 'Raw data'!$Y:$Y,"*1st*",'Raw data'!$H:$H,"*1v1 Attack*",'Raw data'!$H:$H,"*1v1 Attack*",'Raw data'!$M:$M,"*Lost Possession*")</f>
        <v>0</v>
      </c>
      <c r="FW14" s="54" t="str">
        <f t="shared" si="15"/>
        <v>-</v>
      </c>
      <c r="FX14" s="54" t="str">
        <f t="shared" si="16"/>
        <v>-</v>
      </c>
      <c r="FY14" s="8">
        <f>COUNTIFS('Raw data'!$D:$D,"*Joshua Laotan*", 'Raw data'!$Y:$Y,"*1st*",'Raw data'!$I:$I,"*Cross*")</f>
        <v>0</v>
      </c>
      <c r="FZ14" s="8">
        <f>COUNTIFS('Raw data'!$D:$D,"*Joshua Laotan*", 'Raw data'!$Y:$Y,"*1st*",'Raw data'!$I:$I,"*Cross*",'Raw data'!$M:$M,"*Pass Completed*")</f>
        <v>0</v>
      </c>
      <c r="GA14" s="8">
        <f>COUNTIFS('Raw data'!$D:$D,"*Joshua Laotan*", 'Raw data'!$Y:$Y,"*1st*",'Raw data'!$I:$I,"*Cross*",'Raw data'!$M:$M,"*Pass Uncompleted*")</f>
        <v>0</v>
      </c>
      <c r="GB14" s="54" t="str">
        <f t="shared" si="17"/>
        <v>-</v>
      </c>
      <c r="GC14" s="54" t="str">
        <f t="shared" si="18"/>
        <v>-</v>
      </c>
      <c r="GD14" s="8">
        <f t="shared" si="19"/>
        <v>0</v>
      </c>
      <c r="GE14" s="8">
        <f>COUNTIFS('Raw data'!$D:$D,"*Joshua Laotan*", 'Raw data'!$Y:$Y,"*1st*",'Raw data'!$L:$L,"*On Target*")</f>
        <v>0</v>
      </c>
      <c r="GF14" s="8">
        <f>COUNTIFS('Raw data'!$D:$D,"*Joshua Laotan*", 'Raw data'!$Y:$Y,"*1st*",'Raw data'!$L:$L,"*Off Target*")</f>
        <v>0</v>
      </c>
      <c r="GG14" s="8">
        <f>COUNTIFS('Raw data'!$D:$D,"*Joshua Laotan*", 'Raw data'!$Y:$Y,"*1st*",'Raw data'!$L:$L,"*Blocked*")</f>
        <v>0</v>
      </c>
      <c r="GH14" s="8">
        <f>COUNTIFS('Raw data'!$D:$D,"*Joshua Laotan*", 'Raw data'!$Y:$Y,"*1st*",'Raw data'!$M:$M,"*Goal*")</f>
        <v>0</v>
      </c>
      <c r="GI14" s="8">
        <f>COUNTIFS('Raw data'!$D:$D,"*Joshua Laotan*", 'Raw data'!$Y:$Y,"*1st*",'Raw data'!$M:$M,"*Assist*")</f>
        <v>0</v>
      </c>
      <c r="GJ14" s="8">
        <f>COUNTIFS('Raw data'!$D:$D,"*Joshua Laotan*", 'Raw data'!$Y:$Y,"*1st*",'Raw data'!$H:$H,"*Offensive duel*")</f>
        <v>1</v>
      </c>
      <c r="GK14" s="8">
        <f>COUNTIFS('Raw data'!$D:$D,"*Joshua Laotan*", 'Raw data'!$Y:$Y,"*1st*",'Raw data'!$H:$H,"*Offensive Duel*",'Raw data'!$H:$H,"*Offensive Duel*",'Raw data'!$M:$M,"*Kept Possession*")</f>
        <v>1</v>
      </c>
      <c r="GL14" s="8">
        <f>COUNTIFS('Raw data'!$D:$D,"*Joshua Laotan*", 'Raw data'!$Y:$Y,"*1st*",'Raw data'!$H:$H,"*Offensive Duel*",'Raw data'!$H:$H,"*Offensive Duel*",'Raw data'!$M:$M,"*Lost Possession*")</f>
        <v>0</v>
      </c>
      <c r="GM14" s="54">
        <f t="shared" si="20"/>
        <v>1</v>
      </c>
      <c r="GN14" s="54">
        <f t="shared" si="21"/>
        <v>0</v>
      </c>
      <c r="GO14" s="8">
        <f>COUNTIFS('Raw data'!$D:$D,"*Joshua Laotan*", 'Raw data'!$Y:$Y,"*1st*",'Raw data'!$H:$H,"*Acceleration*")</f>
        <v>5</v>
      </c>
      <c r="GP14" s="8">
        <f>COUNTIFS('Raw data'!$D:$D,"*Joshua Laotan*", 'Raw data'!$Y:$Y,"*1st*",'Raw data'!$H:$H,"*Move into Pocket*")</f>
        <v>0</v>
      </c>
      <c r="GQ14" s="8">
        <f>COUNTIFS('Raw data'!$D:$D,"*Joshua Laotan*", 'Raw data'!$Y:$Y,"*1st*",'Raw data'!$H:$H,"*Wide area*")</f>
        <v>5</v>
      </c>
      <c r="GR14" s="8">
        <f>COUNTIFS('Raw data'!$D:$D,"*Joshua Laotan*", 'Raw data'!$Y:$Y,"*1st*",'Raw data'!$H:$H,"*Back to goal*")</f>
        <v>0</v>
      </c>
      <c r="GS14" s="8">
        <f>COUNTIFS('Raw data'!$D:$D,"*Joshua Laotan*", 'Raw data'!$Y:$Y,"*1st*",'Raw data'!$H:$H,"*Over/Underlaps*")</f>
        <v>0</v>
      </c>
      <c r="GT14" s="8">
        <f>COUNTIFS('Raw data'!$D:$D,"*Joshua Laotan*", 'Raw data'!$Y:$Y,"*1st*",'Raw data'!$H:$H,"*Runs in Behind*")</f>
        <v>0</v>
      </c>
      <c r="GU14" s="8">
        <f>COUNTIFS('Raw data'!$D:$D,"*Joshua Laotan*", 'Raw data'!$Y:$Y,"*1st*",'Raw data'!$H:$H,"*Half-space Runs*")</f>
        <v>0</v>
      </c>
      <c r="GV14" s="8">
        <f t="shared" si="22"/>
        <v>5</v>
      </c>
      <c r="GW14" s="8">
        <f t="shared" si="23"/>
        <v>5</v>
      </c>
      <c r="GX14" s="8">
        <f t="shared" si="24"/>
        <v>0</v>
      </c>
      <c r="GY14" s="54">
        <f t="shared" si="25"/>
        <v>1</v>
      </c>
      <c r="GZ14" s="54">
        <f t="shared" si="26"/>
        <v>0</v>
      </c>
      <c r="HA14" s="8">
        <f>COUNTIFS('Raw data'!$D:$D,"*Joshua Laotan*", 'Raw data'!$Y:$Y,"*1st*",'Raw data'!$K:$K,"*Ground duel*")</f>
        <v>1</v>
      </c>
      <c r="HB14" s="8">
        <f>COUNTIFS('Raw data'!$D:$D,"*Joshua Laotan*", 'Raw data'!$Y:$Y,"*1st*",'Raw data'!$K:$K,"*Ground duel*",'Raw data'!$M:$M,"*Duel Succeeded*")</f>
        <v>1</v>
      </c>
      <c r="HC14" s="8">
        <f>COUNTIFS('Raw data'!$D:$D,"*Joshua Laotan*", 'Raw data'!$Y:$Y,"*1st*",'Raw data'!$K:$K,"*Ground duel*",'Raw data'!$M:$M,"*Duel Unsucceeded*")</f>
        <v>0</v>
      </c>
      <c r="HD14" s="54">
        <f t="shared" si="27"/>
        <v>1</v>
      </c>
      <c r="HE14" s="54">
        <f t="shared" si="28"/>
        <v>0</v>
      </c>
      <c r="HF14" s="8">
        <f>COUNTIFS('Raw data'!$D:$D,"*Joshua Laotan*", 'Raw data'!$Y:$Y,"*1st*",'Raw data'!$K:$K,"*Aerial duel*")</f>
        <v>3</v>
      </c>
      <c r="HG14" s="8">
        <f>COUNTIFS('Raw data'!$D:$D,"*Joshua Laotan*", 'Raw data'!$Y:$Y,"*1st*",'Raw data'!$K:$K,"*Aerial duel*",'Raw data'!$M:$M,"*Duel Succeeded*")</f>
        <v>3</v>
      </c>
      <c r="HH14" s="8">
        <f>COUNTIFS('Raw data'!$D:$D,"*Joshua Laotan*", 'Raw data'!$Y:$Y,"*1st*",'Raw data'!$K:$K,"*Aerial duel*",'Raw data'!$M:$M,"*Duel Unsucceeded*")</f>
        <v>0</v>
      </c>
      <c r="HI14" s="54">
        <f t="shared" si="29"/>
        <v>1</v>
      </c>
      <c r="HJ14" s="54">
        <f t="shared" si="30"/>
        <v>0</v>
      </c>
      <c r="HK14" s="8">
        <f>COUNTIFS('Raw data'!$D:$D,"*Joshua Laotan*", 'Raw data'!$Y:$Y,"*1st*",'Raw data'!$K:$K,"*1v1 defense*")</f>
        <v>1</v>
      </c>
      <c r="HL14" s="8">
        <f>COUNTIFS('Raw data'!$D:$D,"*Joshua Laotan*", 'Raw data'!$Y:$Y,"*1st*",'Raw data'!$K:$K,"*1v1 defense*",'Raw data'!$M:$M,"*Duel Succeeded*")</f>
        <v>1</v>
      </c>
      <c r="HM14" s="8">
        <f>COUNTIFS('Raw data'!$D:$D,"*Joshua Laotan*", 'Raw data'!$Y:$Y,"*1st*",'Raw data'!$K:$K,"*1v1 defense*",'Raw data'!$M:$M,"*Duel Unsucceeded*")</f>
        <v>0</v>
      </c>
      <c r="HN14" s="54">
        <f t="shared" si="31"/>
        <v>1</v>
      </c>
      <c r="HO14" s="54">
        <f t="shared" si="32"/>
        <v>0</v>
      </c>
      <c r="HP14" s="8">
        <f>COUNTIFS('Raw data'!$D:$D,"*Joshua Laotan*", 'Raw data'!$Y:$Y,"*1st*",'Raw data'!$J:$J,"*Tackles*")</f>
        <v>0</v>
      </c>
      <c r="HQ14" s="8">
        <f>COUNTIFS('Raw data'!$D:$D,"*Joshua Laotan*", 'Raw data'!$Y:$Y,"*1st*",'Raw data'!$J:$J,"*Tackles*", 'Raw data'!$M:$M,"*Duel Succeeded*")</f>
        <v>0</v>
      </c>
      <c r="HR14" s="8">
        <f>COUNTIFS('Raw data'!$D:$D,"*Joshua Laotan*", 'Raw data'!$Y:$Y,"*1st*",'Raw data'!$J:$J,"*Tackles*", 'Raw data'!$M:$M,"*Duel Unsucceeded*")</f>
        <v>0</v>
      </c>
      <c r="HS14" s="54" t="str">
        <f t="shared" si="33"/>
        <v>-</v>
      </c>
      <c r="HT14" s="54" t="str">
        <f t="shared" si="34"/>
        <v>-</v>
      </c>
      <c r="HU14" s="8">
        <f>COUNTIFS('Raw data'!$D:$D,"*Joshua Laotan*", 'Raw data'!$Y:$Y,"*1st*",'Raw data'!$K:$K,"*2nd Balls*")</f>
        <v>0</v>
      </c>
      <c r="HV14" s="8">
        <f>COUNTIFS('Raw data'!$D:$D,"*Joshua Laotan*", 'Raw data'!$Y:$Y,"*1st*",'Raw data'!$K:$K,"*2nd Balls*", 'Raw data'!$M:$M,"*Duel Succeeded*")</f>
        <v>0</v>
      </c>
      <c r="HW14" s="8">
        <f>COUNTIFS('Raw data'!$D:$D,"*Joshua Laotan*", 'Raw data'!$Y:$Y,"*1st*",'Raw data'!$K:$K,"*2nd Balls*", 'Raw data'!$M:$M,"*Duel Unsucceeded*")</f>
        <v>0</v>
      </c>
      <c r="HX14" s="54" t="str">
        <f t="shared" si="35"/>
        <v>-</v>
      </c>
      <c r="HY14" s="54" t="str">
        <f t="shared" si="36"/>
        <v>-</v>
      </c>
      <c r="HZ14" s="8">
        <f>COUNTIFS('Raw data'!$D:$D,"*Joshua Laotan*", 'Raw data'!$Y:$Y,"*1st*",'Raw data'!$J:$J,"*Clearance*")</f>
        <v>3</v>
      </c>
      <c r="IA14" s="8">
        <f>COUNTIFS('Raw data'!$D:$D,"*Joshua Laotan*", 'Raw data'!$Y:$Y,"*1st*",'Raw data'!$J:$J,"*Interception*")</f>
        <v>0</v>
      </c>
      <c r="IB14" s="8">
        <f>COUNTIFS('Raw data'!$D:$D,"*Joshua Laotan*", 'Raw data'!$Y:$Y,"*1st*",'Raw data'!$J:$J,"*Turnover Won*")</f>
        <v>1</v>
      </c>
      <c r="IC14" s="8">
        <f>COUNTIFS('Raw data'!$D:$D,"*Joshua Laotan*", 'Raw data'!$Y:$Y,"*1st*",'Raw data'!$J:$J,"*Recovery*")</f>
        <v>1</v>
      </c>
      <c r="ID14" s="8">
        <f>COUNTIFS('Raw data'!$D:$D,"*Joshua Laotan*", 'Raw data'!$Y:$Y,"*1st*",'Raw data'!$J:$J,"*Blocked Shots*")</f>
        <v>1</v>
      </c>
      <c r="IE14" s="8">
        <f>COUNTIFS('Raw data'!$D:$D,"*Joshua Laotan*", 'Raw data'!$Y:$Y,"*1st*",'Raw data'!$J:$J,"*Man-marking*")</f>
        <v>0</v>
      </c>
      <c r="IF14" s="8">
        <f>COUNTIFS('Raw data'!$D:$D,"*Joshua Laotan*", 'Raw data'!$Y:$Y,"*1st*",'Raw data'!$J:$J,"*Fouls*")</f>
        <v>0</v>
      </c>
      <c r="IG14" s="8">
        <f>COUNTIFS('Raw data'!$D:$D,"*Joshua Laotan*", 'Raw data'!$Y:$Y,"*1st*",'Raw data'!$J:$J,"*Won F*")</f>
        <v>0</v>
      </c>
      <c r="IH14" s="8">
        <f>COUNTIFS('Raw data'!$D:$D,"*Joshua Laotan*", 'Raw data'!$Y:$Y,"*1st*",'Raw data'!$G:$G,"*1v1*")</f>
        <v>0</v>
      </c>
      <c r="II14" s="8">
        <f>COUNTIFS('Raw data'!$D:$D,"*Joshua Laotan*", 'Raw data'!$Y:$Y,"*1st*",'Raw data'!$G:$G,"*On Target*")</f>
        <v>0</v>
      </c>
      <c r="IJ14" s="8">
        <f>COUNTIFS('Raw data'!$D:$D,"*Joshua Laotan*", 'Raw data'!$Y:$Y,"*1st*",'Raw data'!$G:$G,"*Off Target*")</f>
        <v>0</v>
      </c>
      <c r="IK14" s="8">
        <f>COUNTIFS('Raw data'!$D:$D,"*Joshua Laotan*", 'Raw data'!$Y:$Y,"*1st*",'Raw data'!$G:$G,"*Defend the Space*")</f>
        <v>0</v>
      </c>
      <c r="IL14" s="8">
        <f>COUNTIFS('Raw data'!$D:$D,"*Joshua Laotan*", 'Raw data'!$Y:$Y,"*1st*",'Raw data'!$G:$G,"*Conceded*")</f>
        <v>0</v>
      </c>
      <c r="IM14" s="8">
        <f>COUNTIFS('Raw data'!$D:$D,"*Joshua Laotan*", 'Raw data'!$Y:$Y,"*1st*",'Raw data'!$G:$G,"*Save*")</f>
        <v>0</v>
      </c>
      <c r="IN14" s="8">
        <f>COUNTIFS('Raw data'!$D:$D,"*Joshua Laotan*", 'Raw data'!$Y:$Y,"*1st*",'Raw data'!$G:$G,"*Defend the line (Cross)*")</f>
        <v>0</v>
      </c>
      <c r="IO14" s="8">
        <f>COUNTIFS('Raw data'!$D:$D,"*Joshua Laotan*", 'Raw data'!$Y:$Y,"*1st*",'Raw data'!$G:$G,"*Counter Kick*")</f>
        <v>0</v>
      </c>
      <c r="IP14" t="s">
        <v>636</v>
      </c>
    </row>
    <row r="15" spans="1:250">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DW15" t="s">
        <v>462</v>
      </c>
      <c r="DX15" t="s">
        <v>743</v>
      </c>
      <c r="DY15">
        <v>40</v>
      </c>
      <c r="DZ15" t="s">
        <v>153</v>
      </c>
      <c r="EA15">
        <f t="shared" si="0"/>
        <v>44</v>
      </c>
      <c r="EB15" s="8">
        <f t="shared" si="37"/>
        <v>33</v>
      </c>
      <c r="EC15" s="8">
        <f t="shared" si="38"/>
        <v>11</v>
      </c>
      <c r="ED15" s="54">
        <f t="shared" si="1"/>
        <v>0.75</v>
      </c>
      <c r="EE15" s="54">
        <f t="shared" si="2"/>
        <v>0.25</v>
      </c>
      <c r="EF15">
        <f t="shared" si="39"/>
        <v>16</v>
      </c>
      <c r="EG15">
        <f>COUNTIFS('Raw data'!$D:$D,"*Harry Meadwell-Ludlow*", 'Raw data'!$Y:$Y,"*1st*",'Raw data'!$I:$I,"*Forward Pass*",'Raw data'!$M:$M,"*Pass completed*")</f>
        <v>7</v>
      </c>
      <c r="EH15">
        <f>COUNTIFS('Raw data'!$D:$D,"*Harry Meadwell-Ludlow*", 'Raw data'!$Y:$Y,"*1st*",'Raw data'!$I:$I,"*Forward Pass*",'Raw data'!$M:$M,"*Pass Uncompleted*")</f>
        <v>9</v>
      </c>
      <c r="EI15" s="54">
        <f t="shared" si="3"/>
        <v>0.4375</v>
      </c>
      <c r="EJ15" s="54">
        <f t="shared" si="4"/>
        <v>0.5625</v>
      </c>
      <c r="EK15">
        <f t="shared" si="40"/>
        <v>17</v>
      </c>
      <c r="EL15" s="8">
        <f>COUNTIFS('Raw data'!$D:$D,"*Harry Meadwell-Ludlow*", 'Raw data'!$Y:$Y,"*1st*",'Raw data'!$I:$I,"*Lateral Pass*",'Raw data'!$M:$M,"*Pass completed*")</f>
        <v>16</v>
      </c>
      <c r="EM15" s="8">
        <f>COUNTIFS('Raw data'!$D:$D,"*Harry Meadwell-Ludlow*", 'Raw data'!$Y:$Y,"*1st*",'Raw data'!$I:$I,"*Lateral Pass*",'Raw data'!$M:$M,"*Pass Uncompleted*")</f>
        <v>1</v>
      </c>
      <c r="EN15" s="54">
        <f t="shared" si="5"/>
        <v>0.94117647058823528</v>
      </c>
      <c r="EO15" s="54">
        <f t="shared" si="6"/>
        <v>5.8823529411764705E-2</v>
      </c>
      <c r="EP15">
        <f t="shared" si="41"/>
        <v>11</v>
      </c>
      <c r="EQ15" s="8">
        <f>COUNTIFS('Raw data'!$D:$D,"*Harry Meadwell-Ludlow*", 'Raw data'!$Y:$Y,"*1st*",'Raw data'!$I:$I,"*Backward Pass*",'Raw data'!$M:$M,"*Pass completed*")</f>
        <v>10</v>
      </c>
      <c r="ER15" s="8">
        <f>COUNTIFS('Raw data'!$D:$D,"*Harry Meadwell-Ludlow*", 'Raw data'!$Y:$Y,"*1st*",'Raw data'!$I:$I,"*Backward Pass*",'Raw data'!$M:$M,"*Pass Uncompleted*")</f>
        <v>1</v>
      </c>
      <c r="ES15" s="54">
        <f t="shared" si="7"/>
        <v>1</v>
      </c>
      <c r="ET15" s="54">
        <f t="shared" si="8"/>
        <v>0.1</v>
      </c>
      <c r="EU15" s="8">
        <f>COUNTIFS('Raw data'!$D:$D,"*Harry Meadwell-Ludlow*", 'Raw data'!$Y:$Y,"*1st*",'Raw data'!$I:$I,"*Long Kick*")</f>
        <v>4</v>
      </c>
      <c r="EV15" s="8">
        <f>COUNTIFS('Raw data'!$D:$D,"*Harry Meadwell-Ludlow*", 'Raw data'!$Y:$Y,"*1st*",'Raw data'!$I:$I,"*Long Kick*",'Raw data'!$M:$M,"*Pass completed*")</f>
        <v>1</v>
      </c>
      <c r="EW15" s="8">
        <f>COUNTIFS('Raw data'!$D:$D,"*Harry Meadwell-Ludlow*", 'Raw data'!$Y:$Y,"*1st*",'Raw data'!$I:$I,"*Long Kick*",'Raw data'!$M:$M,"*Pass Uncompleted*")</f>
        <v>3</v>
      </c>
      <c r="EX15" s="54">
        <f t="shared" si="9"/>
        <v>0.25</v>
      </c>
      <c r="EY15" s="54">
        <f t="shared" si="10"/>
        <v>0.75</v>
      </c>
      <c r="EZ15" s="8">
        <f>COUNTIFS('Raw data'!$D:$D,"*Harry Meadwell-Ludlow*", 'Raw data'!$Y:$Y,"*1st*",'Raw data'!$I:$I,"*Balls in Behind*")</f>
        <v>0</v>
      </c>
      <c r="FA15" s="8">
        <f>COUNTIFS('Raw data'!$D:$D,"*Harry Meadwell-Ludlow*", 'Raw data'!$Y:$Y,"*1st*",'Raw data'!$I:$I,"*Balls in Behind*",'Raw data'!$M:$M,"*Pass completed*")</f>
        <v>0</v>
      </c>
      <c r="FB15" s="8">
        <f>COUNTIFS('Raw data'!$D:$D,"*Harry Meadwell-Ludlow*", 'Raw data'!$Y:$Y,"*1st*",'Raw data'!$I:$I,"*Balls in Behind*",'Raw data'!$M:$M,"*Pass Uncompleted*")</f>
        <v>0</v>
      </c>
      <c r="FC15" s="54" t="str">
        <f t="shared" si="11"/>
        <v>-</v>
      </c>
      <c r="FD15" s="54" t="str">
        <f t="shared" si="12"/>
        <v>-</v>
      </c>
      <c r="FE15" s="8">
        <f>COUNTIFS('Raw data'!$D:$D,"*Harry Meadwell-Ludlow*", 'Raw data'!$Y:$Y,"*1st*",'Raw data'!$I:$I,"*Key/Through pass*")</f>
        <v>0</v>
      </c>
      <c r="FF15" s="8">
        <f>COUNTIFS('Raw data'!$D:$D,"*Harry Meadwell-Ludlow*", 'Raw data'!$Y:$Y,"*1st*",'Raw data'!$I:$I,"*Diagonal pass*")</f>
        <v>0</v>
      </c>
      <c r="FG15" s="8">
        <f>COUNTIFS('Raw data'!$D:$D,"*Harry Meadwell-Ludlow*", 'Raw data'!$Y:$Y,"*1st*",'Raw data'!$I:$I,"*Diagonal pass*",'Raw data'!$M:$M,"*Pass completed*")</f>
        <v>0</v>
      </c>
      <c r="FH15" s="8">
        <f>COUNTIFS('Raw data'!$D:$D,"*Harry Meadwell-Ludlow*", 'Raw data'!$Y:$Y,"*1st*",'Raw data'!$I:$I,"*Diagonal pass*",'Raw data'!$M:$M,"*Pass Uncompleted*")</f>
        <v>0</v>
      </c>
      <c r="FI15" s="54" t="str">
        <f t="shared" si="13"/>
        <v>-</v>
      </c>
      <c r="FJ15" s="54" t="str">
        <f t="shared" si="14"/>
        <v>-</v>
      </c>
      <c r="FK15" s="8">
        <f>COUNTIFS('Raw data'!$D:$D,"*Harry Meadwell-Ludlow*", 'Raw data'!$Y:$Y,"*1st*",'Raw data'!$M:$M,"*Pass Received*")</f>
        <v>19</v>
      </c>
      <c r="FL15" s="8">
        <f>COUNTIFS('Raw data'!$D:$D,"*Harry Meadwell-Ludlow*", 'Raw data'!$Y:$Y,"*1st*",'Raw data'!$M:$M,"*Pass Completed*",'Raw data'!$M:$M,"*Pass Received*" )</f>
        <v>15</v>
      </c>
      <c r="FM15" s="8">
        <f>COUNTIFS('Raw data'!$D:$D,"*Harry Meadwell-Ludlow*", 'Raw data'!$Y:$Y,"*1st*",'Raw data'!$M:$M,"*Pass Uncompleted*",'Raw data'!$M:$M,"*Pass Received*" )</f>
        <v>5</v>
      </c>
      <c r="FN15" s="8">
        <f>COUNTIFS('Raw data'!$D:$D,"*Harry Meadwell-Ludlow*", 'Raw data'!$Y:$Y,"*1st*",'Raw data'!$M:$M,"*Kept Possession*",'Raw data'!$M:$M,"*Pass Received*" )</f>
        <v>1</v>
      </c>
      <c r="FO15" s="8">
        <f>COUNTIFS('Raw data'!$D:$D,"*Harry Meadwell-Ludlow*", 'Raw data'!$Y:$Y,"*1st*",'Raw data'!$M:$M,"*Lost Possession*" )</f>
        <v>0</v>
      </c>
      <c r="FP15" s="8">
        <f>COUNTIFS('Raw data'!$D:$D,"*Harry Meadwell-Ludlow*", 'Raw data'!$Y:$Y,"*1st*",'Raw data'!$M:$M,"*Lost Possession*",'Raw data'!$M:$M,"*Lost Final 1/3*")</f>
        <v>0</v>
      </c>
      <c r="FQ15" s="8">
        <f>COUNTIFS('Raw data'!$D:$D,"*Harry Meadwell-Ludlow*", 'Raw data'!$Y:$Y,"*1st*",'Raw data'!$M:$M,"*Lost Possession*",'Raw data'!$M:$M,"*Lost Middle 1/3*")</f>
        <v>0</v>
      </c>
      <c r="FR15" s="8">
        <f>COUNTIFS('Raw data'!$D:$D,"*Harry Meadwell-Ludlow*", 'Raw data'!$Y:$Y,"*1st*",'Raw data'!$M:$M,"*Lost Possession*",'Raw data'!$M:$M,"*Lost Own 1/3*")</f>
        <v>0</v>
      </c>
      <c r="FS15" s="8">
        <f>COUNTIFS('Raw data'!$D:$D,"*Harry Meadwell-Ludlow*", 'Raw data'!$Y:$Y,"*1st*",'Raw data'!$H:$H,"*Touches in the Box*")</f>
        <v>0</v>
      </c>
      <c r="FT15" s="8">
        <f>COUNTIFS('Raw data'!$D:$D,"*Harry Meadwell-Ludlow*", 'Raw data'!$Y:$Y,"*1st*",'Raw data'!$H:$H,"*1v1 Attack*")</f>
        <v>1</v>
      </c>
      <c r="FU15" s="8">
        <f>COUNTIFS('Raw data'!$D:$D,"*Harry Meadwell-Ludlow*", 'Raw data'!$Y:$Y,"*1st*",'Raw data'!$H:$H,"*1v1 Attack*",'Raw data'!$H:$H,"*1v1 Attack*",'Raw data'!$M:$M,"*Kept Possession*")</f>
        <v>1</v>
      </c>
      <c r="FV15" s="8">
        <f>COUNTIFS('Raw data'!$D:$D,"*Harry Meadwell-Ludlow*", 'Raw data'!$Y:$Y,"*1st*",'Raw data'!$H:$H,"*1v1 Attack*",'Raw data'!$H:$H,"*1v1 Attack*",'Raw data'!$M:$M,"*Lost Possession*")</f>
        <v>0</v>
      </c>
      <c r="FW15" s="54">
        <f t="shared" si="15"/>
        <v>1</v>
      </c>
      <c r="FX15" s="54">
        <f t="shared" si="16"/>
        <v>0</v>
      </c>
      <c r="FY15" s="8">
        <f>COUNTIFS('Raw data'!$D:$D,"*Harry Meadwell-Ludlow*", 'Raw data'!$Y:$Y,"*1st*",'Raw data'!$I:$I,"*Cross*")</f>
        <v>0</v>
      </c>
      <c r="FZ15" s="8">
        <f>COUNTIFS('Raw data'!$D:$D,"*Harry Meadwell-Ludlow*", 'Raw data'!$Y:$Y,"*1st*",'Raw data'!$I:$I,"*Cross*",'Raw data'!$M:$M,"*Pass Completed*")</f>
        <v>0</v>
      </c>
      <c r="GA15" s="8">
        <f>COUNTIFS('Raw data'!$D:$D,"*Harry Meadwell-Ludlow*", 'Raw data'!$Y:$Y,"*1st*",'Raw data'!$I:$I,"*Cross*",'Raw data'!$M:$M,"*Pass Uncompleted*")</f>
        <v>0</v>
      </c>
      <c r="GB15" s="54" t="str">
        <f t="shared" si="17"/>
        <v>-</v>
      </c>
      <c r="GC15" s="54" t="str">
        <f t="shared" si="18"/>
        <v>-</v>
      </c>
      <c r="GD15" s="8">
        <f t="shared" si="19"/>
        <v>0</v>
      </c>
      <c r="GE15" s="8">
        <f>COUNTIFS('Raw data'!$D:$D,"*Harry Meadwell-Ludlow*", 'Raw data'!$Y:$Y,"*1st*",'Raw data'!$L:$L,"*On Target*")</f>
        <v>0</v>
      </c>
      <c r="GF15" s="8">
        <f>COUNTIFS('Raw data'!$D:$D,"*Harry Meadwell-Ludlow*", 'Raw data'!$Y:$Y,"*1st*",'Raw data'!$L:$L,"*Off Target*")</f>
        <v>0</v>
      </c>
      <c r="GG15" s="8">
        <f>COUNTIFS('Raw data'!$D:$D,"*Harry Meadwell-Ludlow*", 'Raw data'!$Y:$Y,"*1st*",'Raw data'!$L:$L,"*Blocked*")</f>
        <v>0</v>
      </c>
      <c r="GH15" s="8">
        <f>COUNTIFS('Raw data'!$D:$D,"*Harry Meadwell-Ludlow*", 'Raw data'!$Y:$Y,"*1st*",'Raw data'!$M:$M,"*Goal*")</f>
        <v>0</v>
      </c>
      <c r="GI15" s="8">
        <f>COUNTIFS('Raw data'!$D:$D,"*Harry Meadwell-Ludlow*", 'Raw data'!$Y:$Y,"*1st*",'Raw data'!$M:$M,"*Assist*")</f>
        <v>0</v>
      </c>
      <c r="GJ15" s="8">
        <f>COUNTIFS('Raw data'!$D:$D,"*Harry Meadwell-Ludlow*", 'Raw data'!$Y:$Y,"*1st*",'Raw data'!$H:$H,"*Offensive duel*")</f>
        <v>0</v>
      </c>
      <c r="GK15" s="8">
        <f>COUNTIFS('Raw data'!$D:$D,"*Harry Meadwell-Ludlow*", 'Raw data'!$Y:$Y,"*1st*",'Raw data'!$H:$H,"*Offensive Duel*",'Raw data'!$H:$H,"*Offensive Duel*",'Raw data'!$M:$M,"*Kept Possession*")</f>
        <v>0</v>
      </c>
      <c r="GL15" s="8">
        <f>COUNTIFS('Raw data'!$D:$D,"*Harry Meadwell-Ludlow*", 'Raw data'!$Y:$Y,"*1st*",'Raw data'!$H:$H,"*Offensive Duel*",'Raw data'!$H:$H,"*Offensive Duel*",'Raw data'!$M:$M,"*Lost Possession*")</f>
        <v>0</v>
      </c>
      <c r="GM15" s="54" t="str">
        <f t="shared" si="20"/>
        <v>-</v>
      </c>
      <c r="GN15" s="54" t="str">
        <f t="shared" si="21"/>
        <v>-</v>
      </c>
      <c r="GO15" s="8">
        <f>COUNTIFS('Raw data'!$D:$D,"*Harry Meadwell-Ludlow*", 'Raw data'!$Y:$Y,"*1st*",'Raw data'!$H:$H,"*Acceleration*")</f>
        <v>0</v>
      </c>
      <c r="GP15" s="8">
        <f>COUNTIFS('Raw data'!$D:$D,"*Harry Meadwell-Ludlow*", 'Raw data'!$Y:$Y,"*1st*",'Raw data'!$H:$H,"*Move into Pocket*")</f>
        <v>0</v>
      </c>
      <c r="GQ15" s="8">
        <f>COUNTIFS('Raw data'!$D:$D,"*Harry Meadwell-Ludlow*", 'Raw data'!$Y:$Y,"*1st*",'Raw data'!$H:$H,"*Wide area*")</f>
        <v>1</v>
      </c>
      <c r="GR15" s="8">
        <f>COUNTIFS('Raw data'!$D:$D,"*Harry Meadwell-Ludlow*", 'Raw data'!$Y:$Y,"*1st*",'Raw data'!$H:$H,"*Back to goal*")</f>
        <v>0</v>
      </c>
      <c r="GS15" s="8">
        <f>COUNTIFS('Raw data'!$D:$D,"*Harry Meadwell-Ludlow*", 'Raw data'!$Y:$Y,"*1st*",'Raw data'!$H:$H,"*Over/Underlaps*")</f>
        <v>0</v>
      </c>
      <c r="GT15" s="8">
        <f>COUNTIFS('Raw data'!$D:$D,"*Harry Meadwell-Ludlow*", 'Raw data'!$Y:$Y,"*1st*",'Raw data'!$H:$H,"*Runs in Behind*")</f>
        <v>0</v>
      </c>
      <c r="GU15" s="8">
        <f>COUNTIFS('Raw data'!$D:$D,"*Harry Meadwell-Ludlow*", 'Raw data'!$Y:$Y,"*1st*",'Raw data'!$H:$H,"*Half-space Runs*")</f>
        <v>0</v>
      </c>
      <c r="GV15" s="8">
        <f t="shared" si="22"/>
        <v>2</v>
      </c>
      <c r="GW15" s="8">
        <f t="shared" si="23"/>
        <v>2</v>
      </c>
      <c r="GX15" s="8">
        <f t="shared" si="24"/>
        <v>0</v>
      </c>
      <c r="GY15" s="54">
        <f t="shared" si="25"/>
        <v>1</v>
      </c>
      <c r="GZ15" s="54">
        <f t="shared" si="26"/>
        <v>0</v>
      </c>
      <c r="HA15" s="8">
        <f>COUNTIFS('Raw data'!$D:$D,"*Harry Meadwell-Ludlow*", 'Raw data'!$Y:$Y,"*1st*",'Raw data'!$K:$K,"*Ground duel*")</f>
        <v>1</v>
      </c>
      <c r="HB15" s="8">
        <f>COUNTIFS('Raw data'!$D:$D,"*Harry Meadwell-Ludlow*", 'Raw data'!$Y:$Y,"*1st*",'Raw data'!$K:$K,"*Ground duel*",'Raw data'!$M:$M,"*Duel Succeeded*")</f>
        <v>1</v>
      </c>
      <c r="HC15" s="8">
        <f>COUNTIFS('Raw data'!$D:$D,"*Harry Meadwell-Ludlow*", 'Raw data'!$Y:$Y,"*1st*",'Raw data'!$K:$K,"*Ground duel*",'Raw data'!$M:$M,"*Duel Unsucceeded*")</f>
        <v>0</v>
      </c>
      <c r="HD15" s="54">
        <f t="shared" si="27"/>
        <v>1</v>
      </c>
      <c r="HE15" s="54">
        <f t="shared" si="28"/>
        <v>0</v>
      </c>
      <c r="HF15" s="8">
        <f>COUNTIFS('Raw data'!$D:$D,"*Harry Meadwell-Ludlow*", 'Raw data'!$Y:$Y,"*1st*",'Raw data'!$K:$K,"*Aerial duel*")</f>
        <v>1</v>
      </c>
      <c r="HG15" s="8">
        <f>COUNTIFS('Raw data'!$D:$D,"*Harry Meadwell-Ludlow*", 'Raw data'!$Y:$Y,"*1st*",'Raw data'!$K:$K,"*Aerial duel*",'Raw data'!$M:$M,"*Duel Succeeded*")</f>
        <v>1</v>
      </c>
      <c r="HH15" s="8">
        <f>COUNTIFS('Raw data'!$D:$D,"*Harry Meadwell-Ludlow*", 'Raw data'!$Y:$Y,"*1st*",'Raw data'!$K:$K,"*Aerial duel*",'Raw data'!$M:$M,"*Duel Unsucceeded*")</f>
        <v>0</v>
      </c>
      <c r="HI15" s="54">
        <f t="shared" si="29"/>
        <v>1</v>
      </c>
      <c r="HJ15" s="54">
        <f t="shared" si="30"/>
        <v>0</v>
      </c>
      <c r="HK15" s="8">
        <f>COUNTIFS('Raw data'!$D:$D,"*Harry Meadwell-Ludlow*", 'Raw data'!$Y:$Y,"*1st*",'Raw data'!$K:$K,"*1v1 defense*")</f>
        <v>0</v>
      </c>
      <c r="HL15" s="8">
        <f>COUNTIFS('Raw data'!$D:$D,"*Harry Meadwell-Ludlow*", 'Raw data'!$Y:$Y,"*1st*",'Raw data'!$K:$K,"*1v1 defense*",'Raw data'!$M:$M,"*Duel Succeeded*")</f>
        <v>0</v>
      </c>
      <c r="HM15" s="8">
        <f>COUNTIFS('Raw data'!$D:$D,"*Harry Meadwell-Ludlow*", 'Raw data'!$Y:$Y,"*1st*",'Raw data'!$K:$K,"*1v1 defense*",'Raw data'!$M:$M,"*Duel Unsucceeded*")</f>
        <v>0</v>
      </c>
      <c r="HN15" s="54" t="str">
        <f t="shared" si="31"/>
        <v>-</v>
      </c>
      <c r="HO15" s="54" t="str">
        <f t="shared" si="32"/>
        <v>-</v>
      </c>
      <c r="HP15" s="8">
        <f>COUNTIFS('Raw data'!$D:$D,"*Harry Meadwell-Ludlow*", 'Raw data'!$Y:$Y,"*1st*",'Raw data'!$J:$J,"*Tackles*")</f>
        <v>0</v>
      </c>
      <c r="HQ15" s="8">
        <f>COUNTIFS('Raw data'!$D:$D,"*Harry Meadwell-Ludlow*", 'Raw data'!$Y:$Y,"*1st*",'Raw data'!$J:$J,"*Tackles*", 'Raw data'!$M:$M,"*Duel Succeeded*")</f>
        <v>0</v>
      </c>
      <c r="HR15" s="8">
        <f>COUNTIFS('Raw data'!$D:$D,"*Harry Meadwell-Ludlow*", 'Raw data'!$Y:$Y,"*1st*",'Raw data'!$J:$J,"*Tackles*", 'Raw data'!$M:$M,"*Duel Unsucceeded*")</f>
        <v>0</v>
      </c>
      <c r="HS15" s="54" t="str">
        <f t="shared" si="33"/>
        <v>-</v>
      </c>
      <c r="HT15" s="54" t="str">
        <f t="shared" si="34"/>
        <v>-</v>
      </c>
      <c r="HU15" s="8">
        <f>COUNTIFS('Raw data'!$D:$D,"*Harry Meadwell-Ludlow*", 'Raw data'!$Y:$Y,"*1st*",'Raw data'!$K:$K,"*2nd Balls*")</f>
        <v>0</v>
      </c>
      <c r="HV15" s="8">
        <f>COUNTIFS('Raw data'!$D:$D,"*Harry Meadwell-Ludlow*", 'Raw data'!$Y:$Y,"*1st*",'Raw data'!$K:$K,"*2nd Balls*", 'Raw data'!$M:$M,"*Duel Succeeded*")</f>
        <v>0</v>
      </c>
      <c r="HW15" s="8">
        <f>COUNTIFS('Raw data'!$D:$D,"*Harry Meadwell-Ludlow*", 'Raw data'!$Y:$Y,"*1st*",'Raw data'!$K:$K,"*2nd Balls*", 'Raw data'!$M:$M,"*Duel Unsucceeded*")</f>
        <v>0</v>
      </c>
      <c r="HX15" s="54" t="str">
        <f t="shared" si="35"/>
        <v>-</v>
      </c>
      <c r="HY15" s="54" t="str">
        <f t="shared" si="36"/>
        <v>-</v>
      </c>
      <c r="HZ15" s="8">
        <f>COUNTIFS('Raw data'!$D:$D,"*Harry Meadwell-Ludlow*", 'Raw data'!$Y:$Y,"*1st*",'Raw data'!$J:$J,"*Clearance*")</f>
        <v>0</v>
      </c>
      <c r="IA15" s="8">
        <f>COUNTIFS('Raw data'!$D:$D,"*Harry Meadwell-Ludlow*", 'Raw data'!$Y:$Y,"*1st*",'Raw data'!$J:$J,"*Interception*")</f>
        <v>1</v>
      </c>
      <c r="IB15" s="8">
        <f>COUNTIFS('Raw data'!$D:$D,"*Harry Meadwell-Ludlow*", 'Raw data'!$Y:$Y,"*1st*",'Raw data'!$J:$J,"*Turnover Won*")</f>
        <v>1</v>
      </c>
      <c r="IC15" s="8">
        <f>COUNTIFS('Raw data'!$D:$D,"*Harry Meadwell-Ludlow*", 'Raw data'!$Y:$Y,"*1st*",'Raw data'!$J:$J,"*Recovery*")</f>
        <v>1</v>
      </c>
      <c r="ID15" s="8">
        <f>COUNTIFS('Raw data'!$D:$D,"*Harry Meadwell-Ludlow*", 'Raw data'!$Y:$Y,"*1st*",'Raw data'!$J:$J,"*Blocked Shots*")</f>
        <v>0</v>
      </c>
      <c r="IE15" s="8">
        <f>COUNTIFS('Raw data'!$D:$D,"*Harry Meadwell-Ludlow*", 'Raw data'!$Y:$Y,"*1st*",'Raw data'!$J:$J,"*Man-marking*")</f>
        <v>0</v>
      </c>
      <c r="IF15" s="8">
        <f>COUNTIFS('Raw data'!$D:$D,"*Harry Meadwell-Ludlow*", 'Raw data'!$Y:$Y,"*1st*",'Raw data'!$J:$J,"*Fouls*")</f>
        <v>0</v>
      </c>
      <c r="IG15" s="8">
        <f>COUNTIFS('Raw data'!$D:$D,"*Harry Meadwell-Ludlow*", 'Raw data'!$Y:$Y,"*1st*",'Raw data'!$J:$J,"*Won F*")</f>
        <v>0</v>
      </c>
      <c r="IH15" s="8">
        <f>COUNTIFS('Raw data'!$D:$D,"*Harry Meadwell-Ludlow*", 'Raw data'!$Y:$Y,"*1st*",'Raw data'!$G:$G,"*1v1*")</f>
        <v>0</v>
      </c>
      <c r="II15" s="8">
        <f>COUNTIFS('Raw data'!$D:$D,"*Harry Meadwell-Ludlow*", 'Raw data'!$Y:$Y,"*1st*",'Raw data'!$G:$G,"*On Target*")</f>
        <v>0</v>
      </c>
      <c r="IJ15" s="8">
        <f>COUNTIFS('Raw data'!$D:$D,"*Harry Meadwell-Ludlow*", 'Raw data'!$Y:$Y,"*1st*",'Raw data'!$G:$G,"*Off Target*")</f>
        <v>0</v>
      </c>
      <c r="IK15" s="8">
        <f>COUNTIFS('Raw data'!$D:$D,"*Harry Meadwell-Ludlow*", 'Raw data'!$Y:$Y,"*1st*",'Raw data'!$G:$G,"*Defend the Space*")</f>
        <v>0</v>
      </c>
      <c r="IL15" s="8">
        <f>COUNTIFS('Raw data'!$D:$D,"*Harry Meadwell-Ludlow*", 'Raw data'!$Y:$Y,"*1st*",'Raw data'!$G:$G,"*Conceded*")</f>
        <v>0</v>
      </c>
      <c r="IM15" s="8">
        <f>COUNTIFS('Raw data'!$D:$D,"*Harry Meadwell-Ludlow*", 'Raw data'!$Y:$Y,"*1st*",'Raw data'!$G:$G,"*Save*")</f>
        <v>0</v>
      </c>
      <c r="IN15" s="8">
        <f>COUNTIFS('Raw data'!$D:$D,"*Harry Meadwell-Ludlow*", 'Raw data'!$Y:$Y,"*1st*",'Raw data'!$G:$G,"*Defend the line (Cross)*")</f>
        <v>0</v>
      </c>
      <c r="IO15" s="8">
        <f>COUNTIFS('Raw data'!$D:$D,"*Harry Meadwell-Ludlow*", 'Raw data'!$Y:$Y,"*1st*",'Raw data'!$G:$G,"*Counter Kick*")</f>
        <v>0</v>
      </c>
      <c r="IP15" t="s">
        <v>743</v>
      </c>
    </row>
    <row r="16" spans="1:250">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DW16" t="s">
        <v>462</v>
      </c>
      <c r="DX16" t="s">
        <v>637</v>
      </c>
      <c r="DY16">
        <v>40</v>
      </c>
      <c r="DZ16" t="s">
        <v>452</v>
      </c>
      <c r="EA16">
        <f t="shared" si="0"/>
        <v>21</v>
      </c>
      <c r="EB16" s="8">
        <f t="shared" si="37"/>
        <v>15</v>
      </c>
      <c r="EC16" s="8">
        <f t="shared" si="38"/>
        <v>6</v>
      </c>
      <c r="ED16" s="54">
        <f t="shared" si="1"/>
        <v>0.7142857142857143</v>
      </c>
      <c r="EE16" s="54">
        <f t="shared" si="2"/>
        <v>0.2857142857142857</v>
      </c>
      <c r="EF16">
        <f t="shared" si="39"/>
        <v>12</v>
      </c>
      <c r="EG16">
        <f>COUNTIFS('Raw data'!$D:$D,"*Levi Ampofo*", 'Raw data'!$Y:$Y,"*1st*",'Raw data'!$I:$I,"*Forward Pass*",'Raw data'!$M:$M,"*Pass completed*")</f>
        <v>6</v>
      </c>
      <c r="EH16">
        <f>COUNTIFS('Raw data'!$D:$D,"*Levi Ampofo*", 'Raw data'!$Y:$Y,"*1st*",'Raw data'!$I:$I,"*Forward Pass*",'Raw data'!$M:$M,"*Pass Uncompleted*")</f>
        <v>6</v>
      </c>
      <c r="EI16" s="54">
        <f t="shared" si="3"/>
        <v>0.5</v>
      </c>
      <c r="EJ16" s="54">
        <f t="shared" si="4"/>
        <v>0.5</v>
      </c>
      <c r="EK16">
        <f t="shared" si="40"/>
        <v>3</v>
      </c>
      <c r="EL16" s="8">
        <f>COUNTIFS('Raw data'!$D:$D,"*Levi Ampofo*", 'Raw data'!$Y:$Y,"*1st*",'Raw data'!$I:$I,"*Lateral Pass*",'Raw data'!$M:$M,"*Pass completed*")</f>
        <v>3</v>
      </c>
      <c r="EM16" s="8">
        <f>COUNTIFS('Raw data'!$D:$D,"*Levi Ampofo*", 'Raw data'!$Y:$Y,"*1st*",'Raw data'!$I:$I,"*Lateral Pass*",'Raw data'!$M:$M,"*Pass Uncompleted*")</f>
        <v>0</v>
      </c>
      <c r="EN16" s="54">
        <f t="shared" si="5"/>
        <v>1</v>
      </c>
      <c r="EO16" s="54">
        <f t="shared" si="6"/>
        <v>0</v>
      </c>
      <c r="EP16">
        <f t="shared" si="41"/>
        <v>6</v>
      </c>
      <c r="EQ16" s="8">
        <f>COUNTIFS('Raw data'!$D:$D,"*Levi Ampofo*", 'Raw data'!$Y:$Y,"*1st*",'Raw data'!$I:$I,"*Backward Pass*",'Raw data'!$M:$M,"*Pass completed*")</f>
        <v>6</v>
      </c>
      <c r="ER16" s="8">
        <f>COUNTIFS('Raw data'!$D:$D,"*Levi Ampofo*", 'Raw data'!$Y:$Y,"*1st*",'Raw data'!$I:$I,"*Backward Pass*",'Raw data'!$M:$M,"*Pass Uncompleted*")</f>
        <v>0</v>
      </c>
      <c r="ES16" s="54">
        <f t="shared" si="7"/>
        <v>1</v>
      </c>
      <c r="ET16" s="54">
        <f t="shared" si="8"/>
        <v>0</v>
      </c>
      <c r="EU16" s="8">
        <f>COUNTIFS('Raw data'!$D:$D,"*Levi Ampofo*", 'Raw data'!$Y:$Y,"*1st*",'Raw data'!$I:$I,"*Long Kick*")</f>
        <v>2</v>
      </c>
      <c r="EV16" s="8">
        <f>COUNTIFS('Raw data'!$D:$D,"*Levi Ampofo*", 'Raw data'!$Y:$Y,"*1st*",'Raw data'!$I:$I,"*Long Kick*",'Raw data'!$M:$M,"*Pass completed*")</f>
        <v>1</v>
      </c>
      <c r="EW16" s="8">
        <f>COUNTIFS('Raw data'!$D:$D,"*Levi Ampofo*", 'Raw data'!$Y:$Y,"*1st*",'Raw data'!$I:$I,"*Long Kick*",'Raw data'!$M:$M,"*Pass Uncompleted*")</f>
        <v>1</v>
      </c>
      <c r="EX16" s="54">
        <f t="shared" si="9"/>
        <v>0.5</v>
      </c>
      <c r="EY16" s="54">
        <f t="shared" si="10"/>
        <v>0.5</v>
      </c>
      <c r="EZ16" s="8">
        <f>COUNTIFS('Raw data'!$D:$D,"*Levi Ampofo*", 'Raw data'!$Y:$Y,"*1st*",'Raw data'!$I:$I,"*Balls in Behind*")</f>
        <v>5</v>
      </c>
      <c r="FA16" s="8">
        <f>COUNTIFS('Raw data'!$D:$D,"*Levi Ampofo*", 'Raw data'!$Y:$Y,"*1st*",'Raw data'!$I:$I,"*Balls in Behind*",'Raw data'!$M:$M,"*Pass completed*")</f>
        <v>2</v>
      </c>
      <c r="FB16" s="8">
        <f>COUNTIFS('Raw data'!$D:$D,"*Levi Ampofo*", 'Raw data'!$Y:$Y,"*1st*",'Raw data'!$I:$I,"*Balls in Behind*",'Raw data'!$M:$M,"*Pass Uncompleted*")</f>
        <v>3</v>
      </c>
      <c r="FC16" s="54">
        <f t="shared" si="11"/>
        <v>0.4</v>
      </c>
      <c r="FD16" s="54">
        <f t="shared" si="12"/>
        <v>0.6</v>
      </c>
      <c r="FE16" s="8">
        <f>COUNTIFS('Raw data'!$D:$D,"*Levi Ampofo*", 'Raw data'!$Y:$Y,"*1st*",'Raw data'!$I:$I,"*Key/Through pass*")</f>
        <v>2</v>
      </c>
      <c r="FF16" s="8">
        <f>COUNTIFS('Raw data'!$D:$D,"*Levi Ampofo*", 'Raw data'!$Y:$Y,"*1st*",'Raw data'!$I:$I,"*Diagonal pass*")</f>
        <v>0</v>
      </c>
      <c r="FG16" s="8">
        <f>COUNTIFS('Raw data'!$D:$D,"*Levi Ampofo*", 'Raw data'!$Y:$Y,"*1st*",'Raw data'!$I:$I,"*Diagonal pass*",'Raw data'!$M:$M,"*Pass completed*")</f>
        <v>0</v>
      </c>
      <c r="FH16" s="8">
        <f>COUNTIFS('Raw data'!$D:$D,"*Levi Ampofo*", 'Raw data'!$Y:$Y,"*1st*",'Raw data'!$I:$I,"*Diagonal pass*",'Raw data'!$M:$M,"*Pass Uncompleted*")</f>
        <v>0</v>
      </c>
      <c r="FI16" s="54" t="str">
        <f t="shared" si="13"/>
        <v>-</v>
      </c>
      <c r="FJ16" s="54" t="str">
        <f t="shared" si="14"/>
        <v>-</v>
      </c>
      <c r="FK16" s="8">
        <f>COUNTIFS('Raw data'!$D:$D,"*Levi Ampofo*", 'Raw data'!$Y:$Y,"*1st*",'Raw data'!$M:$M,"*Pass Received*")</f>
        <v>17</v>
      </c>
      <c r="FL16" s="8">
        <f>COUNTIFS('Raw data'!$D:$D,"*Levi Ampofo*", 'Raw data'!$Y:$Y,"*1st*",'Raw data'!$M:$M,"*Pass Completed*",'Raw data'!$M:$M,"*Pass Received*")</f>
        <v>11</v>
      </c>
      <c r="FM16" s="8">
        <f>COUNTIFS('Raw data'!$D:$D,"*Levi Ampofo*", 'Raw data'!$Y:$Y,"*1st*",'Raw data'!$M:$M,"*Pass Uncompleted*",'Raw data'!$M:$M,"*Pass Received*")</f>
        <v>5</v>
      </c>
      <c r="FN16" s="8">
        <f>COUNTIFS('Raw data'!$D:$D,"*Levi Ampofo*", 'Raw data'!$Y:$Y,"*1st*",'Raw data'!$M:$M,"*Kept Possession*",'Raw data'!$M:$M,"*Pass Received*")</f>
        <v>2</v>
      </c>
      <c r="FO16" s="8">
        <f>COUNTIFS('Raw data'!$D:$D,"*Levi Ampofo*", 'Raw data'!$Y:$Y,"*1st*",'Raw data'!$M:$M,"*Lost Possession*")</f>
        <v>0</v>
      </c>
      <c r="FP16" s="8">
        <f>COUNTIFS('Raw data'!$D:$D,"*Levi Ampofo*", 'Raw data'!$Y:$Y,"*1st*",'Raw data'!$M:$M,"*Lost Possession*",'Raw data'!$M:$M,"*Lost Final 1/3*")</f>
        <v>0</v>
      </c>
      <c r="FQ16" s="8">
        <f>COUNTIFS('Raw data'!$D:$D,"*Levi Ampofo*", 'Raw data'!$Y:$Y,"*1st*",'Raw data'!$M:$M,"*Lost Possession*",'Raw data'!$M:$M,"*Lost Middle 1/3*")</f>
        <v>0</v>
      </c>
      <c r="FR16" s="8">
        <f>COUNTIFS('Raw data'!$D:$D,"*Levi Ampofo*", 'Raw data'!$Y:$Y,"*1st*",'Raw data'!$M:$M,"*Lost Possession*",'Raw data'!$M:$M,"*Lost Own 1/3*")</f>
        <v>0</v>
      </c>
      <c r="FS16" s="8">
        <f>COUNTIFS('Raw data'!$D:$D,"*Levi Ampofo*", 'Raw data'!$Y:$Y,"*1st*",'Raw data'!$H:$H,"*Touches in the Box*")</f>
        <v>0</v>
      </c>
      <c r="FT16" s="8">
        <f>COUNTIFS('Raw data'!$D:$D,"*Levi Ampofo*", 'Raw data'!$Y:$Y,"*1st*",'Raw data'!$H:$H,"*1v1 Attack*")</f>
        <v>1</v>
      </c>
      <c r="FU16" s="8">
        <f>COUNTIFS('Raw data'!$D:$D,"*Levi Ampofo*", 'Raw data'!$Y:$Y,"*1st*",'Raw data'!$H:$H,"*1v1 Attack*",'Raw data'!$H:$H,"*1v1 Attack*",'Raw data'!$M:$M,"*Kept Possession*")</f>
        <v>1</v>
      </c>
      <c r="FV16" s="8">
        <f>COUNTIFS('Raw data'!$D:$D,"*Levi Ampofo*", 'Raw data'!$Y:$Y,"*1st*",'Raw data'!$H:$H,"*1v1 Attack*",'Raw data'!$H:$H,"*1v1 Attack*",'Raw data'!$M:$M,"*Lost Possession*")</f>
        <v>0</v>
      </c>
      <c r="FW16" s="54">
        <f t="shared" si="15"/>
        <v>1</v>
      </c>
      <c r="FX16" s="54">
        <f t="shared" si="16"/>
        <v>0</v>
      </c>
      <c r="FY16" s="8">
        <f>COUNTIFS('Raw data'!$D:$D,"*Levi Ampofo*", 'Raw data'!$Y:$Y,"*1st*",'Raw data'!$I:$I,"*Cross*")</f>
        <v>2</v>
      </c>
      <c r="FZ16" s="8">
        <f>COUNTIFS('Raw data'!$D:$D,"*Levi Ampofo*", 'Raw data'!$Y:$Y,"*1st*",'Raw data'!$I:$I,"*Cross*",'Raw data'!$M:$M,"*Pass Completed*")</f>
        <v>0</v>
      </c>
      <c r="GA16" s="8">
        <f>COUNTIFS('Raw data'!$D:$D,"*Levi Ampofo*", 'Raw data'!$Y:$Y,"*1st*",'Raw data'!$I:$I,"*Cross*",'Raw data'!$M:$M,"*Pass Uncompleted*")</f>
        <v>2</v>
      </c>
      <c r="GB16" s="54">
        <f t="shared" si="17"/>
        <v>0</v>
      </c>
      <c r="GC16" s="54">
        <f t="shared" si="18"/>
        <v>1</v>
      </c>
      <c r="GD16" s="8">
        <f t="shared" si="19"/>
        <v>0</v>
      </c>
      <c r="GE16" s="8">
        <f>COUNTIFS('Raw data'!$D:$D,"*Levi Ampofo*", 'Raw data'!$Y:$Y,"*1st*",'Raw data'!$L:$L,"*On Target*")</f>
        <v>0</v>
      </c>
      <c r="GF16" s="8">
        <f>COUNTIFS('Raw data'!$D:$D,"*Levi Ampofo*", 'Raw data'!$Y:$Y,"*1st*",'Raw data'!$L:$L,"*Off Target*")</f>
        <v>0</v>
      </c>
      <c r="GG16" s="8">
        <f>COUNTIFS('Raw data'!$D:$D,"*Levi Ampofo*", 'Raw data'!$Y:$Y,"*1st*",'Raw data'!$L:$L,"*Blocked*")</f>
        <v>0</v>
      </c>
      <c r="GH16" s="8">
        <f>COUNTIFS('Raw data'!$D:$D,"*Levi Ampofo*", 'Raw data'!$Y:$Y,"*1st*",'Raw data'!$M:$M,"*Goal*")</f>
        <v>0</v>
      </c>
      <c r="GI16" s="8">
        <f>COUNTIFS('Raw data'!$D:$D,"*Levi Ampofo*", 'Raw data'!$Y:$Y,"*1st*",'Raw data'!$M:$M,"*Assist*")</f>
        <v>1</v>
      </c>
      <c r="GJ16" s="8">
        <f>COUNTIFS('Raw data'!$D:$D,"*Levi Ampofo*", 'Raw data'!$Y:$Y,"*1st*",'Raw data'!$H:$H,"*Offensive duel*")</f>
        <v>2</v>
      </c>
      <c r="GK16" s="8">
        <f>COUNTIFS('Raw data'!$D:$D,"*Levi Ampofo*", 'Raw data'!$Y:$Y,"*1st*",'Raw data'!$H:$H,"*Offensive Duel*",'Raw data'!$H:$H,"*Offensive Duel*",'Raw data'!$M:$M,"*Kept Possession*")</f>
        <v>2</v>
      </c>
      <c r="GL16" s="8">
        <f>COUNTIFS('Raw data'!$D:$D,"*Levi Ampofo*", 'Raw data'!$Y:$Y,"*1st*",'Raw data'!$H:$H,"*Offensive Duel*",'Raw data'!$H:$H,"*Offensive Duel*",'Raw data'!$M:$M,"*Lost Possession*")</f>
        <v>0</v>
      </c>
      <c r="GM16" s="54">
        <f t="shared" si="20"/>
        <v>1</v>
      </c>
      <c r="GN16" s="54">
        <f t="shared" si="21"/>
        <v>0</v>
      </c>
      <c r="GO16" s="8">
        <f>COUNTIFS('Raw data'!$D:$D,"*Levi Ampofo*", 'Raw data'!$Y:$Y,"*1st*",'Raw data'!$H:$H,"*Acceleration*")</f>
        <v>3</v>
      </c>
      <c r="GP16" s="8">
        <f>COUNTIFS('Raw data'!$D:$D,"*Levi Ampofo*", 'Raw data'!$Y:$Y,"*1st*",'Raw data'!$H:$H,"*Move into Pocket*")</f>
        <v>3</v>
      </c>
      <c r="GQ16" s="8">
        <f>COUNTIFS('Raw data'!$D:$D,"*Levi Ampofo*", 'Raw data'!$Y:$Y,"*1st*",'Raw data'!$H:$H,"*Wide area*")</f>
        <v>6</v>
      </c>
      <c r="GR16" s="8">
        <f>COUNTIFS('Raw data'!$D:$D,"*Levi Ampofo*", 'Raw data'!$Y:$Y,"*1st*",'Raw data'!$H:$H,"*Back to goal*")</f>
        <v>0</v>
      </c>
      <c r="GS16" s="8">
        <f>COUNTIFS('Raw data'!$D:$D,"*Levi Ampofo*", 'Raw data'!$Y:$Y,"*1st*",'Raw data'!$H:$H,"*Over/Underlaps*")</f>
        <v>1</v>
      </c>
      <c r="GT16" s="8">
        <f>COUNTIFS('Raw data'!$D:$D,"*Levi Ampofo*", 'Raw data'!$Y:$Y,"*1st*",'Raw data'!$H:$H,"*Runs in Behind*")</f>
        <v>1</v>
      </c>
      <c r="GU16" s="8">
        <f>COUNTIFS('Raw data'!$D:$D,"*Levi Ampofo*", 'Raw data'!$Y:$Y,"*1st*",'Raw data'!$H:$H,"*Half-space Runs*")</f>
        <v>0</v>
      </c>
      <c r="GV16" s="8">
        <f t="shared" si="22"/>
        <v>4</v>
      </c>
      <c r="GW16" s="8">
        <f t="shared" si="23"/>
        <v>4</v>
      </c>
      <c r="GX16" s="8">
        <f t="shared" si="24"/>
        <v>0</v>
      </c>
      <c r="GY16" s="54">
        <f t="shared" si="25"/>
        <v>1</v>
      </c>
      <c r="GZ16" s="54">
        <f t="shared" si="26"/>
        <v>0</v>
      </c>
      <c r="HA16" s="8">
        <f>COUNTIFS('Raw data'!$D:$D,"*Levi Ampofo*", 'Raw data'!$Y:$Y,"*1st*",'Raw data'!$K:$K,"*Ground duel*")</f>
        <v>2</v>
      </c>
      <c r="HB16" s="8">
        <f>COUNTIFS('Raw data'!$D:$D,"*Levi Ampofo*", 'Raw data'!$Y:$Y,"*1st*",'Raw data'!$K:$K,"*Ground duel*",'Raw data'!$M:$M,"*Duel Succeeded*")</f>
        <v>2</v>
      </c>
      <c r="HC16" s="8">
        <f>COUNTIFS('Raw data'!$D:$D,"*Levi Ampofo*", 'Raw data'!$Y:$Y,"*1st*",'Raw data'!$K:$K,"*Ground duel*",'Raw data'!$M:$M,"*Duel Unsucceeded*")</f>
        <v>0</v>
      </c>
      <c r="HD16" s="54">
        <f t="shared" si="27"/>
        <v>1</v>
      </c>
      <c r="HE16" s="54">
        <f t="shared" si="28"/>
        <v>0</v>
      </c>
      <c r="HF16" s="8">
        <f>COUNTIFS('Raw data'!$D:$D,"*Levi Ampofo*", 'Raw data'!$Y:$Y,"*1st*",'Raw data'!$K:$K,"*Aerial duel*")</f>
        <v>0</v>
      </c>
      <c r="HG16" s="8">
        <f>COUNTIFS('Raw data'!$D:$D,"*Levi Ampofo*", 'Raw data'!$Y:$Y,"*1st*",'Raw data'!$K:$K,"*Aerial duel*",'Raw data'!$M:$M,"*Duel Succeeded*")</f>
        <v>0</v>
      </c>
      <c r="HH16" s="8">
        <f>COUNTIFS('Raw data'!$D:$D,"*Levi Ampofo*", 'Raw data'!$Y:$Y,"*1st*",'Raw data'!$K:$K,"*Aerial duel*",'Raw data'!$M:$M,"*Duel Unsucceeded*")</f>
        <v>0</v>
      </c>
      <c r="HI16" s="54" t="str">
        <f t="shared" si="29"/>
        <v>-</v>
      </c>
      <c r="HJ16" s="54" t="str">
        <f t="shared" si="30"/>
        <v>-</v>
      </c>
      <c r="HK16" s="8">
        <f>COUNTIFS('Raw data'!$D:$D,"*Levi Ampofo*", 'Raw data'!$Y:$Y,"*1st*",'Raw data'!$K:$K,"*1v1 defense*")</f>
        <v>2</v>
      </c>
      <c r="HL16" s="8">
        <f>COUNTIFS('Raw data'!$D:$D,"*Levi Ampofo*", 'Raw data'!$Y:$Y,"*1st*",'Raw data'!$K:$K,"*1v1 defense*",'Raw data'!$M:$M,"*Duel Succeeded*")</f>
        <v>1</v>
      </c>
      <c r="HM16" s="8">
        <f>COUNTIFS('Raw data'!$D:$D,"*Levi Ampofo*", 'Raw data'!$Y:$Y,"*1st*",'Raw data'!$K:$K,"*1v1 defense*",'Raw data'!$M:$M,"*Duel Unsucceeded*")</f>
        <v>1</v>
      </c>
      <c r="HN16" s="54">
        <f t="shared" si="31"/>
        <v>0.5</v>
      </c>
      <c r="HO16" s="54">
        <f t="shared" si="32"/>
        <v>0.5</v>
      </c>
      <c r="HP16" s="8">
        <f>COUNTIFS('Raw data'!$D:$D,"*Levi Ampofo*", 'Raw data'!$Y:$Y,"*1st*",'Raw data'!$J:$J,"*Tackles*")</f>
        <v>1</v>
      </c>
      <c r="HQ16" s="8">
        <f>COUNTIFS('Raw data'!$D:$D,"*Levi Ampofo*", 'Raw data'!$Y:$Y,"*1st*",'Raw data'!$J:$J,"*Tackles*", 'Raw data'!$M:$M,"*Duel Succeeded*")</f>
        <v>1</v>
      </c>
      <c r="HR16" s="8">
        <f>COUNTIFS('Raw data'!$D:$D,"*Levi Ampofo*", 'Raw data'!$Y:$Y,"*1st*",'Raw data'!$J:$J,"*Tackles*", 'Raw data'!$M:$M,"*Duel Unsucceeded*")</f>
        <v>0</v>
      </c>
      <c r="HS16" s="54">
        <f t="shared" si="33"/>
        <v>1</v>
      </c>
      <c r="HT16" s="54">
        <f t="shared" si="34"/>
        <v>0</v>
      </c>
      <c r="HU16" s="8">
        <f>COUNTIFS('Raw data'!$D:$D,"*Levi Ampofo*", 'Raw data'!$Y:$Y,"*1st*",'Raw data'!$K:$K,"*2nd Balls*")</f>
        <v>0</v>
      </c>
      <c r="HV16" s="8">
        <f>COUNTIFS('Raw data'!$D:$D,"*Levi Ampofo*", 'Raw data'!$Y:$Y,"*1st*",'Raw data'!$K:$K,"*2nd Balls*", 'Raw data'!$M:$M,"*Duel Succeeded*")</f>
        <v>0</v>
      </c>
      <c r="HW16" s="8">
        <f>COUNTIFS('Raw data'!$D:$D,"*Levi Ampofo*", 'Raw data'!$Y:$Y,"*1st*",'Raw data'!$K:$K,"*2nd Balls*", 'Raw data'!$M:$M,"*Duel Unsucceeded*")</f>
        <v>0</v>
      </c>
      <c r="HX16" s="54" t="str">
        <f t="shared" si="35"/>
        <v>-</v>
      </c>
      <c r="HY16" s="54" t="str">
        <f t="shared" si="36"/>
        <v>-</v>
      </c>
      <c r="HZ16" s="8">
        <f>COUNTIFS('Raw data'!$D:$D,"*Levi Ampofo*", 'Raw data'!$Y:$Y,"*1st*",'Raw data'!$J:$J,"*Clearance*")</f>
        <v>0</v>
      </c>
      <c r="IA16" s="8">
        <f>COUNTIFS('Raw data'!$D:$D,"*Levi Ampofo*", 'Raw data'!$Y:$Y,"*1st*",'Raw data'!$J:$J,"*Interception*")</f>
        <v>4</v>
      </c>
      <c r="IB16" s="8">
        <f>COUNTIFS('Raw data'!$D:$D,"*Levi Ampofo*", 'Raw data'!$Y:$Y,"*1st*",'Raw data'!$J:$J,"*Turnover Won*")</f>
        <v>1</v>
      </c>
      <c r="IC16" s="8">
        <f>COUNTIFS('Raw data'!$D:$D,"*Levi Ampofo*", 'Raw data'!$Y:$Y,"*1st*",'Raw data'!$J:$J,"*Recovery*")</f>
        <v>1</v>
      </c>
      <c r="ID16" s="8">
        <f>COUNTIFS('Raw data'!$D:$D,"*Levi Ampofo*", 'Raw data'!$Y:$Y,"*1st*",'Raw data'!$J:$J,"*Blocked Shots*")</f>
        <v>0</v>
      </c>
      <c r="IE16" s="8">
        <f>COUNTIFS('Raw data'!$D:$D,"*Levi Ampofo*", 'Raw data'!$Y:$Y,"*1st*",'Raw data'!$J:$J,"*Man-marking*")</f>
        <v>0</v>
      </c>
      <c r="IF16" s="8">
        <f>COUNTIFS('Raw data'!$D:$D,"*Levi Ampofo*", 'Raw data'!$Y:$Y,"*1st*",'Raw data'!$J:$J,"*Fouls*")</f>
        <v>3</v>
      </c>
      <c r="IG16" s="8">
        <f>COUNTIFS('Raw data'!$D:$D,"*Levi Ampofo*", 'Raw data'!$Y:$Y,"*1st*",'Raw data'!$J:$J,"*Won F*")</f>
        <v>3</v>
      </c>
      <c r="IH16" s="8">
        <f>COUNTIFS('Raw data'!$D:$D,"*Levi Ampofo*", 'Raw data'!$Y:$Y,"*1st*",'Raw data'!$G:$G,"*1v1*")</f>
        <v>0</v>
      </c>
      <c r="II16" s="8">
        <f>COUNTIFS('Raw data'!$D:$D,"*Levi Ampofo*", 'Raw data'!$Y:$Y,"*1st*",'Raw data'!$G:$G,"*On Target*")</f>
        <v>0</v>
      </c>
      <c r="IJ16" s="8">
        <f>COUNTIFS('Raw data'!$D:$D,"*Levi Ampofo*", 'Raw data'!$Y:$Y,"*1st*",'Raw data'!$G:$G,"*Off Target*")</f>
        <v>0</v>
      </c>
      <c r="IK16" s="8">
        <f>COUNTIFS('Raw data'!$D:$D,"*Levi Ampofo*", 'Raw data'!$Y:$Y,"*1st*",'Raw data'!$G:$G,"*Defend the Space*")</f>
        <v>0</v>
      </c>
      <c r="IL16" s="8">
        <f>COUNTIFS('Raw data'!$D:$D,"*Levi Ampofo*", 'Raw data'!$Y:$Y,"*1st*",'Raw data'!$G:$G,"*Conceded*")</f>
        <v>0</v>
      </c>
      <c r="IM16" s="8">
        <f>COUNTIFS('Raw data'!$D:$D,"*Levi Ampofo*", 'Raw data'!$Y:$Y,"*1st*",'Raw data'!$G:$G,"*Save*")</f>
        <v>0</v>
      </c>
      <c r="IN16" s="8">
        <f>COUNTIFS('Raw data'!$D:$D,"*Levi Ampofo*", 'Raw data'!$Y:$Y,"*1st*",'Raw data'!$G:$G,"*Defend the line (Cross)*")</f>
        <v>0</v>
      </c>
      <c r="IO16" s="8">
        <f>COUNTIFS('Raw data'!$D:$D,"*Levi Ampofo*", 'Raw data'!$Y:$Y,"*1st*",'Raw data'!$G:$G,"*Counter Kick*")</f>
        <v>0</v>
      </c>
      <c r="IP16" t="s">
        <v>637</v>
      </c>
    </row>
    <row r="17" spans="2:250">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DW17" t="s">
        <v>462</v>
      </c>
      <c r="DX17" t="s">
        <v>777</v>
      </c>
      <c r="DY17">
        <v>40</v>
      </c>
      <c r="DZ17" t="s">
        <v>537</v>
      </c>
      <c r="EA17">
        <f t="shared" si="0"/>
        <v>26</v>
      </c>
      <c r="EB17" s="8">
        <f t="shared" si="37"/>
        <v>18</v>
      </c>
      <c r="EC17" s="8">
        <f t="shared" si="38"/>
        <v>8</v>
      </c>
      <c r="ED17" s="54">
        <f t="shared" si="1"/>
        <v>0.69230769230769229</v>
      </c>
      <c r="EE17" s="54">
        <f t="shared" si="2"/>
        <v>0.30769230769230771</v>
      </c>
      <c r="EF17">
        <f t="shared" si="39"/>
        <v>11</v>
      </c>
      <c r="EG17">
        <f>COUNTIFS('Raw data'!$D:$D,"*Diyar Sonzamanci*", 'Raw data'!$Y:$Y,"*1st*",'Raw data'!$I:$I,"*Forward Pass*",'Raw data'!$M:$M,"*Pass completed*")</f>
        <v>5</v>
      </c>
      <c r="EH17">
        <f>COUNTIFS('Raw data'!$D:$D,"*Diyar Sonzamanci*", 'Raw data'!$Y:$Y,"*1st*",'Raw data'!$I:$I,"*Forward Pass*",'Raw data'!$M:$M,"*Pass Uncompleted*")</f>
        <v>6</v>
      </c>
      <c r="EI17" s="54">
        <f t="shared" si="3"/>
        <v>0.45454545454545453</v>
      </c>
      <c r="EJ17" s="54">
        <f t="shared" si="4"/>
        <v>0.54545454545454541</v>
      </c>
      <c r="EK17">
        <f t="shared" si="40"/>
        <v>4</v>
      </c>
      <c r="EL17" s="8">
        <f>COUNTIFS('Raw data'!$D:$D,"*Diyar Sonzamanci*", 'Raw data'!$Y:$Y,"*1st*",'Raw data'!$I:$I,"*Lateral Pass*",'Raw data'!$M:$M,"*Pass completed*")</f>
        <v>3</v>
      </c>
      <c r="EM17" s="8">
        <f>COUNTIFS('Raw data'!$D:$D,"*Diyar Sonzamanci*", 'Raw data'!$Y:$Y,"*1st*",'Raw data'!$I:$I,"*Lateral Pass*",'Raw data'!$M:$M,"*Pass Uncompleted*")</f>
        <v>1</v>
      </c>
      <c r="EN17" s="54">
        <f t="shared" si="5"/>
        <v>0.75</v>
      </c>
      <c r="EO17" s="54">
        <f t="shared" si="6"/>
        <v>0.25</v>
      </c>
      <c r="EP17">
        <f t="shared" si="41"/>
        <v>11</v>
      </c>
      <c r="EQ17" s="8">
        <f>COUNTIFS('Raw data'!$D:$D,"*Diyar Sonzamanci*", 'Raw data'!$Y:$Y,"*1st*",'Raw data'!$I:$I,"*Backward Pass*",'Raw data'!$M:$M,"*Pass completed*")</f>
        <v>10</v>
      </c>
      <c r="ER17" s="8">
        <f>COUNTIFS('Raw data'!$D:$D,"*Diyar Sonzamanci*", 'Raw data'!$Y:$Y,"*1st*",'Raw data'!$I:$I,"*Backward Pass*",'Raw data'!$M:$M,"*Pass Uncompleted*")</f>
        <v>1</v>
      </c>
      <c r="ES17" s="54">
        <f t="shared" si="7"/>
        <v>1</v>
      </c>
      <c r="ET17" s="54">
        <f t="shared" si="8"/>
        <v>0.1</v>
      </c>
      <c r="EU17" s="8">
        <f>COUNTIFS('Raw data'!$D:$D,"*Diyar Sonzamanci*", 'Raw data'!$Y:$Y,"*1st*",'Raw data'!$I:$I,"*Long Kick*")</f>
        <v>1</v>
      </c>
      <c r="EV17" s="8">
        <f>COUNTIFS('Raw data'!$D:$D,"*Diyar Sonzamanci*", 'Raw data'!$Y:$Y,"*1st*",'Raw data'!$I:$I,"*Long Kick*",'Raw data'!$M:$M,"*Pass completed*")</f>
        <v>1</v>
      </c>
      <c r="EW17" s="8">
        <f>COUNTIFS('Raw data'!$D:$D,"*Diyar Sonzamanci*", 'Raw data'!$Y:$Y,"*1st*",'Raw data'!$I:$I,"*Long Kick*",'Raw data'!$M:$M,"*Pass Uncompleted*")</f>
        <v>1</v>
      </c>
      <c r="EX17" s="54">
        <f t="shared" si="9"/>
        <v>1</v>
      </c>
      <c r="EY17" s="54">
        <f t="shared" si="10"/>
        <v>1</v>
      </c>
      <c r="EZ17" s="8">
        <f>COUNTIFS('Raw data'!$D:$D,"*Diyar Sonzamanci*", 'Raw data'!$Y:$Y,"*1st*",'Raw data'!$I:$I,"*Balls in Behind*")</f>
        <v>0</v>
      </c>
      <c r="FA17" s="8">
        <f>COUNTIFS('Raw data'!$D:$D,"*Diyar Sonzamanci*", 'Raw data'!$Y:$Y,"*1st*",'Raw data'!$I:$I,"*Balls in Behind*",'Raw data'!$M:$M,"*Pass completed*")</f>
        <v>0</v>
      </c>
      <c r="FB17" s="8">
        <f>COUNTIFS('Raw data'!$D:$D,"*Diyar Sonzamanci*", 'Raw data'!$Y:$Y,"*1st*",'Raw data'!$I:$I,"*Balls in Behind*",'Raw data'!$M:$M,"*Pass Uncompleted*")</f>
        <v>0</v>
      </c>
      <c r="FC17" s="54" t="str">
        <f t="shared" si="11"/>
        <v>-</v>
      </c>
      <c r="FD17" s="54" t="str">
        <f t="shared" si="12"/>
        <v>-</v>
      </c>
      <c r="FE17" s="8">
        <f>COUNTIFS('Raw data'!$D:$D,"*Diyar Sonzamanci*", 'Raw data'!$Y:$Y,"*1st*",'Raw data'!$I:$I,"*Key/Through pass*")</f>
        <v>0</v>
      </c>
      <c r="FF17" s="8">
        <f>COUNTIFS('Raw data'!$D:$D,"*Diyar Sonzamanci*", 'Raw data'!$Y:$Y,"*1st*",'Raw data'!$I:$I,"*Diagonal pass*")</f>
        <v>0</v>
      </c>
      <c r="FG17" s="8">
        <f>COUNTIFS('Raw data'!$D:$D,"*Diyar Sonzamanci*", 'Raw data'!$Y:$Y,"*1st*",'Raw data'!$I:$I,"*Diagonal pass*",'Raw data'!$M:$M,"*Pass completed*")</f>
        <v>0</v>
      </c>
      <c r="FH17" s="8">
        <f>COUNTIFS('Raw data'!$D:$D,"*Diyar Sonzamanci*", 'Raw data'!$Y:$Y,"*1st*",'Raw data'!$I:$I,"*Diagonal pass*",'Raw data'!$M:$M,"*Pass Uncompleted*")</f>
        <v>0</v>
      </c>
      <c r="FI17" s="54" t="str">
        <f t="shared" si="13"/>
        <v>-</v>
      </c>
      <c r="FJ17" s="54" t="str">
        <f t="shared" si="14"/>
        <v>-</v>
      </c>
      <c r="FK17" s="8">
        <f>COUNTIFS('Raw data'!$D:$D,"*Diyar Sonzamanci*", 'Raw data'!$Y:$Y,"*1st*",'Raw data'!$M:$M,"*Pass Received*")</f>
        <v>14</v>
      </c>
      <c r="FL17" s="8">
        <f>COUNTIFS('Raw data'!$D:$D,"*Diyar Sonzamanci*", 'Raw data'!$Y:$Y,"*1st*",'Raw data'!$M:$M,"*Pass Completed*",'Raw data'!$M:$M,"*Pass Received*")</f>
        <v>11</v>
      </c>
      <c r="FM17" s="8">
        <f>COUNTIFS('Raw data'!$D:$D,"*Diyar Sonzamanci*", 'Raw data'!$Y:$Y,"*1st*",'Raw data'!$M:$M,"*Pass Uncompleted*",'Raw data'!$M:$M,"*Pass Received*")</f>
        <v>2</v>
      </c>
      <c r="FN17" s="8">
        <f>COUNTIFS('Raw data'!$D:$D,"*Diyar Sonzamanci*", 'Raw data'!$Y:$Y,"*1st*",'Raw data'!$M:$M,"*Kept Possession*",'Raw data'!$M:$M,"*Pass Received*")</f>
        <v>0</v>
      </c>
      <c r="FO17" s="8">
        <f>COUNTIFS('Raw data'!$D:$D,"*Diyar Sonzamanci*", 'Raw data'!$Y:$Y,"*1st*",'Raw data'!$M:$M,"*Lost Possession*")</f>
        <v>1</v>
      </c>
      <c r="FP17" s="8">
        <f>COUNTIFS('Raw data'!$D:$D,"*Diyar Sonzamanci*", 'Raw data'!$Y:$Y,"*1st*",'Raw data'!$M:$M,"*Lost Possession*",'Raw data'!$M:$M,"*Lost Final 1/3*")</f>
        <v>0</v>
      </c>
      <c r="FQ17" s="8">
        <f>COUNTIFS('Raw data'!$D:$D,"*Diyar Sonzamanci*", 'Raw data'!$Y:$Y,"*1st*",'Raw data'!$M:$M,"*Lost Possession*",'Raw data'!$M:$M,"*Lost Middle 1/3*")</f>
        <v>1</v>
      </c>
      <c r="FR17" s="8">
        <f>COUNTIFS('Raw data'!$D:$D,"*Diyar Sonzamanci*", 'Raw data'!$Y:$Y,"*1st*",'Raw data'!$M:$M,"*Lost Possession*",'Raw data'!$M:$M,"*Lost Own 1/3*")</f>
        <v>0</v>
      </c>
      <c r="FS17" s="8">
        <f>COUNTIFS('Raw data'!$D:$D,"*Diyar Sonzamanci*", 'Raw data'!$Y:$Y,"*1st*",'Raw data'!$H:$H,"*Touches in the Box*")</f>
        <v>0</v>
      </c>
      <c r="FT17" s="8">
        <f>COUNTIFS('Raw data'!$D:$D,"*Diyar Sonzamanci*", 'Raw data'!$Y:$Y,"*1st*",'Raw data'!$H:$H,"*1v1 Attack*")</f>
        <v>0</v>
      </c>
      <c r="FU17" s="8">
        <f>COUNTIFS('Raw data'!$D:$D,"*Diyar Sonzamanci*", 'Raw data'!$Y:$Y,"*1st*",'Raw data'!$H:$H,"*1v1 Attack*",'Raw data'!$H:$H,"*1v1 Attack*",'Raw data'!$M:$M,"*Kept Possession*")</f>
        <v>0</v>
      </c>
      <c r="FV17" s="8">
        <f>COUNTIFS('Raw data'!$D:$D,"*Diyar Sonzamanci*", 'Raw data'!$Y:$Y,"*1st*",'Raw data'!$H:$H,"*1v1 Attack*",'Raw data'!$H:$H,"*1v1 Attack*",'Raw data'!$M:$M,"*Lost Possession*")</f>
        <v>0</v>
      </c>
      <c r="FW17" s="54" t="str">
        <f t="shared" si="15"/>
        <v>-</v>
      </c>
      <c r="FX17" s="54" t="str">
        <f t="shared" si="16"/>
        <v>-</v>
      </c>
      <c r="FY17" s="8">
        <f>COUNTIFS('Raw data'!$D:$D,"*Diyar Sonzamanci*", 'Raw data'!$Y:$Y,"*1st*",'Raw data'!$I:$I,"*Cross*")</f>
        <v>1</v>
      </c>
      <c r="FZ17" s="8">
        <f>COUNTIFS('Raw data'!$D:$D,"*Diyar Sonzamanci*", 'Raw data'!$Y:$Y,"*1st*",'Raw data'!$I:$I,"*Cross*",'Raw data'!$M:$M,"*Pass Completed*")</f>
        <v>0</v>
      </c>
      <c r="GA17" s="8">
        <f>COUNTIFS('Raw data'!$D:$D,"*Diyar Sonzamanci*", 'Raw data'!$Y:$Y,"*1st*",'Raw data'!$I:$I,"*Cross*",'Raw data'!$M:$M,"*Pass Uncompleted*")</f>
        <v>1</v>
      </c>
      <c r="GB17" s="54">
        <f t="shared" si="17"/>
        <v>0</v>
      </c>
      <c r="GC17" s="54">
        <f t="shared" si="18"/>
        <v>1</v>
      </c>
      <c r="GD17" s="8">
        <f t="shared" si="19"/>
        <v>0</v>
      </c>
      <c r="GE17" s="8">
        <f>COUNTIFS('Raw data'!$D:$D,"*Diyar Sonzamanci*", 'Raw data'!$Y:$Y,"*1st*",'Raw data'!$L:$L,"*On Target*")</f>
        <v>0</v>
      </c>
      <c r="GF17" s="8">
        <f>COUNTIFS('Raw data'!$D:$D,"*Diyar Sonzamanci*", 'Raw data'!$Y:$Y,"*1st*",'Raw data'!$L:$L,"*Off Target*")</f>
        <v>0</v>
      </c>
      <c r="GG17" s="8">
        <f>COUNTIFS('Raw data'!$D:$D,"*Diyar Sonzamanci*", 'Raw data'!$Y:$Y,"*1st*",'Raw data'!$L:$L,"*Blocked*")</f>
        <v>0</v>
      </c>
      <c r="GH17" s="8">
        <f>COUNTIFS('Raw data'!$D:$D,"*Diyar Sonzamanci*", 'Raw data'!$Y:$Y,"*1st*",'Raw data'!$M:$M,"*Goal*")</f>
        <v>0</v>
      </c>
      <c r="GI17" s="8">
        <f>COUNTIFS('Raw data'!$D:$D,"*Diyar Sonzamanci*", 'Raw data'!$Y:$Y,"*1st*",'Raw data'!$M:$M,"*Assist*")</f>
        <v>0</v>
      </c>
      <c r="GJ17" s="8">
        <f>COUNTIFS('Raw data'!$D:$D,"*Diyar Sonzamanci*", 'Raw data'!$Y:$Y,"*1st*",'Raw data'!$H:$H,"*Offensive duel*")</f>
        <v>0</v>
      </c>
      <c r="GK17" s="8">
        <f>COUNTIFS('Raw data'!$D:$D,"*Diyar Sonzamanci*", 'Raw data'!$Y:$Y,"*1st*",'Raw data'!$H:$H,"*Offensive Duel*",'Raw data'!$H:$H,"*Offensive Duel*",'Raw data'!$M:$M,"*Kept Possession*")</f>
        <v>0</v>
      </c>
      <c r="GL17" s="8">
        <f>COUNTIFS('Raw data'!$D:$D,"*Diyar Sonzamanci*", 'Raw data'!$Y:$Y,"*1st*",'Raw data'!$H:$H,"*Offensive Duel*",'Raw data'!$H:$H,"*Offensive Duel*",'Raw data'!$M:$M,"*Lost Possession*")</f>
        <v>0</v>
      </c>
      <c r="GM17" s="54" t="str">
        <f t="shared" si="20"/>
        <v>-</v>
      </c>
      <c r="GN17" s="54" t="str">
        <f t="shared" si="21"/>
        <v>-</v>
      </c>
      <c r="GO17" s="8">
        <f>COUNTIFS('Raw data'!$D:$D,"*Diyar Sonzamanci*", 'Raw data'!$Y:$Y,"*1st*",'Raw data'!$H:$H,"*Acceleration*")</f>
        <v>2</v>
      </c>
      <c r="GP17" s="8">
        <f>COUNTIFS('Raw data'!$D:$D,"*Diyar Sonzamanci*", 'Raw data'!$Y:$Y,"*1st*",'Raw data'!$H:$H,"*Move into Pocket*")</f>
        <v>0</v>
      </c>
      <c r="GQ17" s="8">
        <f>COUNTIFS('Raw data'!$D:$D,"*Diyar Sonzamanci*", 'Raw data'!$Y:$Y,"*1st*",'Raw data'!$H:$H,"*Wide area*")</f>
        <v>11</v>
      </c>
      <c r="GR17" s="8">
        <f>COUNTIFS('Raw data'!$D:$D,"*Diyar Sonzamanci*", 'Raw data'!$Y:$Y,"*1st*",'Raw data'!$H:$H,"*Back to goal*")</f>
        <v>0</v>
      </c>
      <c r="GS17" s="8">
        <f>COUNTIFS('Raw data'!$D:$D,"*Diyar Sonzamanci*", 'Raw data'!$Y:$Y,"*1st*",'Raw data'!$H:$H,"*Over/Underlaps*")</f>
        <v>0</v>
      </c>
      <c r="GT17" s="8">
        <f>COUNTIFS('Raw data'!$D:$D,"*Diyar Sonzamanci*", 'Raw data'!$Y:$Y,"*1st*",'Raw data'!$H:$H,"*Runs in Behind*")</f>
        <v>0</v>
      </c>
      <c r="GU17" s="8">
        <f>COUNTIFS('Raw data'!$D:$D,"*Diyar Sonzamanci*", 'Raw data'!$Y:$Y,"*1st*",'Raw data'!$H:$H,"*Half-space Runs*")</f>
        <v>0</v>
      </c>
      <c r="GV17" s="8">
        <f t="shared" si="22"/>
        <v>4</v>
      </c>
      <c r="GW17" s="8">
        <f t="shared" si="23"/>
        <v>2</v>
      </c>
      <c r="GX17" s="8">
        <f t="shared" si="24"/>
        <v>2</v>
      </c>
      <c r="GY17" s="54">
        <f t="shared" si="25"/>
        <v>0.5</v>
      </c>
      <c r="GZ17" s="54">
        <f t="shared" si="26"/>
        <v>0.5</v>
      </c>
      <c r="HA17" s="8">
        <f>COUNTIFS('Raw data'!$D:$D,"*Diyar Sonzamanci*", 'Raw data'!$Y:$Y,"*1st*",'Raw data'!$K:$K,"*Ground duel*")</f>
        <v>3</v>
      </c>
      <c r="HB17" s="8">
        <f>COUNTIFS('Raw data'!$D:$D,"*Diyar Sonzamanci*", 'Raw data'!$Y:$Y,"*1st*",'Raw data'!$K:$K,"*Ground duel*",'Raw data'!$M:$M,"*Duel Succeeded*")</f>
        <v>1</v>
      </c>
      <c r="HC17" s="8">
        <f>COUNTIFS('Raw data'!$D:$D,"*Diyar Sonzamanci*", 'Raw data'!$Y:$Y,"*1st*",'Raw data'!$K:$K,"*Ground duel*",'Raw data'!$M:$M,"*Duel Unsucceeded*")</f>
        <v>2</v>
      </c>
      <c r="HD17" s="54">
        <f t="shared" si="27"/>
        <v>0.33333333333333331</v>
      </c>
      <c r="HE17" s="54">
        <f t="shared" si="28"/>
        <v>0.66666666666666663</v>
      </c>
      <c r="HF17" s="8">
        <f>COUNTIFS('Raw data'!$D:$D,"*Diyar Sonzamanci*", 'Raw data'!$Y:$Y,"*1st*",'Raw data'!$K:$K,"*Aerial duel*")</f>
        <v>1</v>
      </c>
      <c r="HG17" s="8">
        <f>COUNTIFS('Raw data'!$D:$D,"*Diyar Sonzamanci*", 'Raw data'!$Y:$Y,"*1st*",'Raw data'!$K:$K,"*Aerial duel*",'Raw data'!$M:$M,"*Duel Succeeded*")</f>
        <v>1</v>
      </c>
      <c r="HH17" s="8">
        <f>COUNTIFS('Raw data'!$D:$D,"*Diyar Sonzamanci*", 'Raw data'!$Y:$Y,"*1st*",'Raw data'!$K:$K,"*Aerial duel*",'Raw data'!$M:$M,"*Duel Unsucceeded*")</f>
        <v>0</v>
      </c>
      <c r="HI17" s="54">
        <f t="shared" si="29"/>
        <v>1</v>
      </c>
      <c r="HJ17" s="54">
        <f t="shared" si="30"/>
        <v>0</v>
      </c>
      <c r="HK17" s="8">
        <f>COUNTIFS('Raw data'!$D:$D,"*Diyar Sonzamanci*", 'Raw data'!$Y:$Y,"*1st*",'Raw data'!$K:$K,"*1v1 defense*")</f>
        <v>1</v>
      </c>
      <c r="HL17" s="8">
        <f>COUNTIFS('Raw data'!$D:$D,"*Diyar Sonzamanci*", 'Raw data'!$Y:$Y,"*1st*",'Raw data'!$K:$K,"*1v1 defense*",'Raw data'!$M:$M,"*Duel Succeeded*")</f>
        <v>1</v>
      </c>
      <c r="HM17" s="8">
        <f>COUNTIFS('Raw data'!$D:$D,"*Diyar Sonzamanci*", 'Raw data'!$Y:$Y,"*1st*",'Raw data'!$K:$K,"*1v1 defense*",'Raw data'!$M:$M,"*Duel Unsucceeded*")</f>
        <v>0</v>
      </c>
      <c r="HN17" s="54">
        <f t="shared" si="31"/>
        <v>1</v>
      </c>
      <c r="HO17" s="54">
        <f t="shared" si="32"/>
        <v>0</v>
      </c>
      <c r="HP17" s="8">
        <f>COUNTIFS('Raw data'!$D:$D,"*Diyar Sonzamanci*", 'Raw data'!$Y:$Y,"*1st*",'Raw data'!$J:$J,"*Tackles*")</f>
        <v>1</v>
      </c>
      <c r="HQ17" s="8">
        <f>COUNTIFS('Raw data'!$D:$D,"*Diyar Sonzamanci*", 'Raw data'!$Y:$Y,"*1st*",'Raw data'!$J:$J,"*Tackles*", 'Raw data'!$M:$M,"*Duel Succeeded*")</f>
        <v>1</v>
      </c>
      <c r="HR17" s="8">
        <f>COUNTIFS('Raw data'!$D:$D,"*Diyar Sonzamanci*", 'Raw data'!$Y:$Y,"*1st*",'Raw data'!$J:$J,"*Tackles*", 'Raw data'!$M:$M,"*Duel Unsucceeded*")</f>
        <v>0</v>
      </c>
      <c r="HS17" s="54">
        <f t="shared" si="33"/>
        <v>1</v>
      </c>
      <c r="HT17" s="54">
        <f t="shared" si="34"/>
        <v>0</v>
      </c>
      <c r="HU17" s="8">
        <f>COUNTIFS('Raw data'!$D:$D,"*Diyar Sonzamanci*", 'Raw data'!$Y:$Y,"*1st*",'Raw data'!$K:$K,"*2nd Balls*")</f>
        <v>1</v>
      </c>
      <c r="HV17" s="8">
        <f>COUNTIFS('Raw data'!$D:$D,"*Diyar Sonzamanci*", 'Raw data'!$Y:$Y,"*1st*",'Raw data'!$K:$K,"*2nd Balls*", 'Raw data'!$M:$M,"*Duel Succeeded*")</f>
        <v>1</v>
      </c>
      <c r="HW17" s="8">
        <f>COUNTIFS('Raw data'!$D:$D,"*Diyar Sonzamanci*", 'Raw data'!$Y:$Y,"*1st*",'Raw data'!$K:$K,"*2nd Balls*", 'Raw data'!$M:$M,"*Duel Unsucceeded*")</f>
        <v>0</v>
      </c>
      <c r="HX17" s="54">
        <f t="shared" si="35"/>
        <v>1</v>
      </c>
      <c r="HY17" s="54">
        <f t="shared" si="36"/>
        <v>0</v>
      </c>
      <c r="HZ17" s="8">
        <f>COUNTIFS('Raw data'!$D:$D,"*Diyar Sonzamanci*", 'Raw data'!$Y:$Y,"*1st*",'Raw data'!$J:$J,"*Clearance*")</f>
        <v>1</v>
      </c>
      <c r="IA17" s="8">
        <f>COUNTIFS('Raw data'!$D:$D,"*Diyar Sonzamanci*", 'Raw data'!$Y:$Y,"*1st*",'Raw data'!$J:$J,"*Interception*")</f>
        <v>3</v>
      </c>
      <c r="IB17" s="8">
        <f>COUNTIFS('Raw data'!$D:$D,"*Diyar Sonzamanci*", 'Raw data'!$Y:$Y,"*1st*",'Raw data'!$J:$J,"*Turnover Won*")</f>
        <v>2</v>
      </c>
      <c r="IC17" s="8">
        <f>COUNTIFS('Raw data'!$D:$D,"*Diyar Sonzamanci*", 'Raw data'!$Y:$Y,"*1st*",'Raw data'!$J:$J,"*Recovery*")</f>
        <v>3</v>
      </c>
      <c r="ID17" s="8">
        <f>COUNTIFS('Raw data'!$D:$D,"*Diyar Sonzamanci*", 'Raw data'!$Y:$Y,"*1st*",'Raw data'!$J:$J,"*Blocked Shots*")</f>
        <v>0</v>
      </c>
      <c r="IE17" s="8">
        <f>COUNTIFS('Raw data'!$D:$D,"*Diyar Sonzamanci*", 'Raw data'!$Y:$Y,"*1st*",'Raw data'!$J:$J,"*Man-marking*")</f>
        <v>0</v>
      </c>
      <c r="IF17" s="8">
        <f>COUNTIFS('Raw data'!$D:$D,"*Diyar Sonzamanci*", 'Raw data'!$Y:$Y,"*1st*",'Raw data'!$J:$J,"*Fouls*")</f>
        <v>0</v>
      </c>
      <c r="IG17" s="8">
        <f>COUNTIFS('Raw data'!$D:$D,"*Diyar Sonzamanci*", 'Raw data'!$Y:$Y,"*1st*",'Raw data'!$J:$J,"*Won F*")</f>
        <v>0</v>
      </c>
      <c r="IH17" s="8">
        <f>COUNTIFS('Raw data'!$D:$D,"*Diyar Sonzamanci*", 'Raw data'!$Y:$Y,"*1st*",'Raw data'!$G:$G,"*1v1*")</f>
        <v>0</v>
      </c>
      <c r="II17" s="8">
        <f>COUNTIFS('Raw data'!$D:$D,"*Diyar Sonzamanci*", 'Raw data'!$Y:$Y,"*1st*",'Raw data'!$G:$G,"*On Target*")</f>
        <v>0</v>
      </c>
      <c r="IJ17" s="8">
        <f>COUNTIFS('Raw data'!$D:$D,"*Diyar Sonzamanci*", 'Raw data'!$Y:$Y,"*1st*",'Raw data'!$G:$G,"*Off Target*")</f>
        <v>0</v>
      </c>
      <c r="IK17" s="8">
        <f>COUNTIFS('Raw data'!$D:$D,"*Diyar Sonzamanci*", 'Raw data'!$Y:$Y,"*1st*",'Raw data'!$G:$G,"*Defend the Space*")</f>
        <v>0</v>
      </c>
      <c r="IL17" s="8">
        <f>COUNTIFS('Raw data'!$D:$D,"*Diyar Sonzamanci*", 'Raw data'!$Y:$Y,"*1st*",'Raw data'!$G:$G,"*Conceded*")</f>
        <v>0</v>
      </c>
      <c r="IM17" s="8">
        <f>COUNTIFS('Raw data'!$D:$D,"*Diyar Sonzamanci*", 'Raw data'!$Y:$Y,"*1st*",'Raw data'!$G:$G,"*Save*")</f>
        <v>0</v>
      </c>
      <c r="IN17" s="8">
        <f>COUNTIFS('Raw data'!$D:$D,"*Diyar Sonzamanci*", 'Raw data'!$Y:$Y,"*1st*",'Raw data'!$G:$G,"*Defend the line (Cross)*")</f>
        <v>0</v>
      </c>
      <c r="IO17" s="8">
        <f>COUNTIFS('Raw data'!$D:$D,"*Diyar Sonzamanci*", 'Raw data'!$Y:$Y,"*1st*",'Raw data'!$G:$G,"*Counter Kick*")</f>
        <v>0</v>
      </c>
      <c r="IP17" t="s">
        <v>777</v>
      </c>
    </row>
    <row r="18" spans="2:250">
      <c r="B18" s="7"/>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DW18" t="s">
        <v>462</v>
      </c>
      <c r="DX18" t="s">
        <v>770</v>
      </c>
      <c r="DY18">
        <v>40</v>
      </c>
      <c r="DZ18" t="s">
        <v>538</v>
      </c>
      <c r="EA18">
        <f t="shared" si="0"/>
        <v>15</v>
      </c>
      <c r="EB18" s="8">
        <f t="shared" si="37"/>
        <v>14</v>
      </c>
      <c r="EC18" s="8">
        <f t="shared" si="38"/>
        <v>1</v>
      </c>
      <c r="ED18" s="54">
        <f t="shared" si="1"/>
        <v>0.93333333333333335</v>
      </c>
      <c r="EE18" s="54">
        <f t="shared" si="2"/>
        <v>6.6666666666666666E-2</v>
      </c>
      <c r="EF18">
        <f t="shared" si="39"/>
        <v>2</v>
      </c>
      <c r="EG18">
        <f>COUNTIFS('Raw data'!$D:$D,"*William Swannell*", 'Raw data'!$Y:$Y,"*1st*",'Raw data'!$I:$I,"*Forward Pass*",'Raw data'!$M:$M,"*Pass completed*")</f>
        <v>2</v>
      </c>
      <c r="EH18">
        <f>COUNTIFS('Raw data'!$D:$D,"*William Swannell*", 'Raw data'!$Y:$Y,"*1st*",'Raw data'!$I:$I,"*Forward Pass*",'Raw data'!$M:$M,"*Pass Uncompleted*")</f>
        <v>0</v>
      </c>
      <c r="EI18" s="54">
        <f t="shared" si="3"/>
        <v>1</v>
      </c>
      <c r="EJ18" s="54">
        <f t="shared" si="4"/>
        <v>0</v>
      </c>
      <c r="EK18">
        <f t="shared" si="40"/>
        <v>8</v>
      </c>
      <c r="EL18" s="8">
        <f>COUNTIFS('Raw data'!$D:$D,"*William Swannell*", 'Raw data'!$Y:$Y,"*1st*",'Raw data'!$I:$I,"*Lateral Pass*",'Raw data'!$M:$M,"*Pass completed*")</f>
        <v>8</v>
      </c>
      <c r="EM18" s="8">
        <f>COUNTIFS('Raw data'!$D:$D,"*William Swannell*", 'Raw data'!$Y:$Y,"*1st*",'Raw data'!$I:$I,"*Lateral Pass*",'Raw data'!$M:$M,"*Pass Uncompleted*")</f>
        <v>0</v>
      </c>
      <c r="EN18" s="54">
        <f t="shared" si="5"/>
        <v>1</v>
      </c>
      <c r="EO18" s="54">
        <f t="shared" si="6"/>
        <v>0</v>
      </c>
      <c r="EP18">
        <f t="shared" si="41"/>
        <v>5</v>
      </c>
      <c r="EQ18" s="8">
        <f>COUNTIFS('Raw data'!$D:$D,"*William Swannell*", 'Raw data'!$Y:$Y,"*1st*",'Raw data'!$I:$I,"*Backward Pass*",'Raw data'!$M:$M,"*Pass completed*")</f>
        <v>4</v>
      </c>
      <c r="ER18" s="8">
        <f>COUNTIFS('Raw data'!$D:$D,"*William Swannell*", 'Raw data'!$Y:$Y,"*1st*",'Raw data'!$I:$I,"*Backward Pass*",'Raw data'!$M:$M,"*Pass Uncompleted*")</f>
        <v>1</v>
      </c>
      <c r="ES18" s="54">
        <f t="shared" si="7"/>
        <v>1</v>
      </c>
      <c r="ET18" s="54">
        <f t="shared" si="8"/>
        <v>0.25</v>
      </c>
      <c r="EU18" s="8">
        <f>COUNTIFS('Raw data'!$D:$D,"*William Swannell*", 'Raw data'!$Y:$Y,"*1st*",'Raw data'!$I:$I,"*Long Kick*")</f>
        <v>1</v>
      </c>
      <c r="EV18" s="8">
        <f>COUNTIFS('Raw data'!$D:$D,"*William Swannell*", 'Raw data'!$Y:$Y,"*1st*",'Raw data'!$I:$I,"*Long Kick*",'Raw data'!$M:$M,"*Pass completed*")</f>
        <v>1</v>
      </c>
      <c r="EW18" s="8">
        <f>COUNTIFS('Raw data'!$D:$D,"*William Swannell*", 'Raw data'!$Y:$Y,"*1st*",'Raw data'!$I:$I,"*Long Kick*",'Raw data'!$M:$M,"*Pass Uncompleted*")</f>
        <v>0</v>
      </c>
      <c r="EX18" s="54">
        <f t="shared" si="9"/>
        <v>1</v>
      </c>
      <c r="EY18" s="54">
        <f t="shared" si="10"/>
        <v>0</v>
      </c>
      <c r="EZ18" s="8">
        <f>COUNTIFS('Raw data'!$D:$D,"*William Swannell*", 'Raw data'!$Y:$Y,"*1st*",'Raw data'!$I:$I,"*Balls in Behind*")</f>
        <v>1</v>
      </c>
      <c r="FA18" s="8">
        <f>COUNTIFS('Raw data'!$D:$D,"*William Swannell*", 'Raw data'!$Y:$Y,"*1st*",'Raw data'!$I:$I,"*Balls in Behind*",'Raw data'!$M:$M,"*Pass completed*")</f>
        <v>1</v>
      </c>
      <c r="FB18" s="8">
        <f>COUNTIFS('Raw data'!$D:$D,"*William Swannell*", 'Raw data'!$Y:$Y,"*1st*",'Raw data'!$I:$I,"*Balls in Behind*",'Raw data'!$M:$M,"*Pass Uncompleted*")</f>
        <v>0</v>
      </c>
      <c r="FC18" s="54">
        <f t="shared" si="11"/>
        <v>1</v>
      </c>
      <c r="FD18" s="54">
        <f t="shared" si="12"/>
        <v>0</v>
      </c>
      <c r="FE18" s="8">
        <f>COUNTIFS('Raw data'!$D:$D,"*William Swannell*", 'Raw data'!$Y:$Y,"*1st*",'Raw data'!$I:$I,"*Key/Through pass*")</f>
        <v>1</v>
      </c>
      <c r="FF18" s="8">
        <f>COUNTIFS('Raw data'!$D:$D,"*William Swannell*", 'Raw data'!$Y:$Y,"*1st*",'Raw data'!$I:$I,"*Diagonal pass*")</f>
        <v>0</v>
      </c>
      <c r="FG18" s="8">
        <f>COUNTIFS('Raw data'!$D:$D,"*William Swannell*", 'Raw data'!$Y:$Y,"*1st*",'Raw data'!$I:$I,"*Diagonal pass*",'Raw data'!$M:$M,"*Pass completed*")</f>
        <v>0</v>
      </c>
      <c r="FH18" s="8">
        <f>COUNTIFS('Raw data'!$D:$D,"*William Swannell*", 'Raw data'!$Y:$Y,"*1st*",'Raw data'!$I:$I,"*Diagonal pass*",'Raw data'!$M:$M,"*Pass Uncompleted*")</f>
        <v>0</v>
      </c>
      <c r="FI18" s="54" t="str">
        <f t="shared" si="13"/>
        <v>-</v>
      </c>
      <c r="FJ18" s="54" t="str">
        <f t="shared" si="14"/>
        <v>-</v>
      </c>
      <c r="FK18" s="8">
        <f>COUNTIFS('Raw data'!$D:$D,"*William Swannell*", 'Raw data'!$Y:$Y,"*1st*",'Raw data'!$M:$M,"*Pass Received*")</f>
        <v>11</v>
      </c>
      <c r="FL18" s="8">
        <f>COUNTIFS('Raw data'!$D:$D,"*William Swannell*", 'Raw data'!$Y:$Y,"*1st*",'Raw data'!$M:$M,"*Pass Completed*",'Raw data'!$M:$M,"*Pass Received*")</f>
        <v>9</v>
      </c>
      <c r="FM18" s="8">
        <f>COUNTIFS('Raw data'!$D:$D,"*William Swannell*", 'Raw data'!$Y:$Y,"*1st*",'Raw data'!$M:$M,"*Pass Uncompleted*",'Raw data'!$M:$M,"*Pass Received*")</f>
        <v>1</v>
      </c>
      <c r="FN18" s="8">
        <f>COUNTIFS('Raw data'!$D:$D,"*William Swannell*", 'Raw data'!$Y:$Y,"*1st*",'Raw data'!$M:$M,"*Kept Possession*",'Raw data'!$M:$M,"*Pass Received*")</f>
        <v>0</v>
      </c>
      <c r="FO18" s="8">
        <f>COUNTIFS('Raw data'!$D:$D,"*William Swannell*", 'Raw data'!$Y:$Y,"*1st*",'Raw data'!$M:$M,"*Lost Possession*")</f>
        <v>3</v>
      </c>
      <c r="FP18" s="8">
        <f>COUNTIFS('Raw data'!$D:$D,"*William Swannell*", 'Raw data'!$Y:$Y,"*1st*",'Raw data'!$M:$M,"*Lost Possession*",'Raw data'!$M:$M,"*Lost Final 1/3*")</f>
        <v>0</v>
      </c>
      <c r="FQ18" s="8">
        <f>COUNTIFS('Raw data'!$D:$D,"*William Swannell*", 'Raw data'!$Y:$Y,"*1st*",'Raw data'!$M:$M,"*Lost Possession*",'Raw data'!$M:$M,"*Lost Middle 1/3*")</f>
        <v>1</v>
      </c>
      <c r="FR18" s="8">
        <f>COUNTIFS('Raw data'!$D:$D,"*William Swannell*", 'Raw data'!$Y:$Y,"*1st*",'Raw data'!$M:$M,"*Lost Possession*",'Raw data'!$M:$M,"*Lost Own 1/3*")</f>
        <v>2</v>
      </c>
      <c r="FS18" s="8">
        <f>COUNTIFS('Raw data'!$D:$D,"*William Swannell*", 'Raw data'!$Y:$Y,"*1st*",'Raw data'!$H:$H,"*Touches in the Box*")</f>
        <v>0</v>
      </c>
      <c r="FT18" s="8">
        <f>COUNTIFS('Raw data'!$D:$D,"*William Swannell*", 'Raw data'!$Y:$Y,"*1st*",'Raw data'!$H:$H,"*1v1 Attack*")</f>
        <v>0</v>
      </c>
      <c r="FU18" s="8">
        <f>COUNTIFS('Raw data'!$D:$D,"*William Swannell*", 'Raw data'!$Y:$Y,"*1st*",'Raw data'!$H:$H,"*1v1 Attack*",'Raw data'!$H:$H,"*1v1 Attack*",'Raw data'!$M:$M,"*Kept Possession*")</f>
        <v>0</v>
      </c>
      <c r="FV18" s="8">
        <f>COUNTIFS('Raw data'!$D:$D,"*William Swannell*", 'Raw data'!$Y:$Y,"*1st*",'Raw data'!$H:$H,"*1v1 Attack*",'Raw data'!$H:$H,"*1v1 Attack*",'Raw data'!$M:$M,"*Lost Possession*")</f>
        <v>0</v>
      </c>
      <c r="FW18" s="54" t="str">
        <f t="shared" si="15"/>
        <v>-</v>
      </c>
      <c r="FX18" s="54" t="str">
        <f t="shared" si="16"/>
        <v>-</v>
      </c>
      <c r="FY18" s="8">
        <f>COUNTIFS('Raw data'!$D:$D,"*William Swannell*", 'Raw data'!$Y:$Y,"*1st*",'Raw data'!$I:$I,"*Cross*")</f>
        <v>0</v>
      </c>
      <c r="FZ18" s="8">
        <f>COUNTIFS('Raw data'!$D:$D,"*William Swannell*", 'Raw data'!$Y:$Y,"*1st*",'Raw data'!$I:$I,"*Cross*",'Raw data'!$M:$M,"*Pass Completed*")</f>
        <v>0</v>
      </c>
      <c r="GA18" s="8">
        <f>COUNTIFS('Raw data'!$D:$D,"*William Swannell*", 'Raw data'!$Y:$Y,"*1st*",'Raw data'!$I:$I,"*Cross*",'Raw data'!$M:$M,"*Pass Uncompleted*")</f>
        <v>0</v>
      </c>
      <c r="GB18" s="54" t="str">
        <f t="shared" si="17"/>
        <v>-</v>
      </c>
      <c r="GC18" s="54" t="str">
        <f t="shared" si="18"/>
        <v>-</v>
      </c>
      <c r="GD18" s="8">
        <f t="shared" si="19"/>
        <v>0</v>
      </c>
      <c r="GE18" s="8">
        <f>COUNTIFS('Raw data'!$D:$D,"*William Swannell*", 'Raw data'!$Y:$Y,"*1st*",'Raw data'!$L:$L,"*On Target*")</f>
        <v>0</v>
      </c>
      <c r="GF18" s="8">
        <f>COUNTIFS('Raw data'!$D:$D,"*William Swannell*", 'Raw data'!$Y:$Y,"*1st*",'Raw data'!$L:$L,"*Off Target*")</f>
        <v>0</v>
      </c>
      <c r="GG18" s="8">
        <f>COUNTIFS('Raw data'!$D:$D,"*William Swannell*", 'Raw data'!$Y:$Y,"*1st*",'Raw data'!$L:$L,"*Blocked*")</f>
        <v>0</v>
      </c>
      <c r="GH18" s="8">
        <f>COUNTIFS('Raw data'!$D:$D,"*William Swannell*", 'Raw data'!$Y:$Y,"*1st*",'Raw data'!$M:$M,"*Goal*")</f>
        <v>0</v>
      </c>
      <c r="GI18" s="8">
        <f>COUNTIFS('Raw data'!$D:$D,"*William Swannell*", 'Raw data'!$Y:$Y,"*1st*",'Raw data'!$M:$M,"*Assist*")</f>
        <v>1</v>
      </c>
      <c r="GJ18" s="8">
        <f>COUNTIFS('Raw data'!$D:$D,"*William Swannell*", 'Raw data'!$Y:$Y,"*1st*",'Raw data'!$H:$H,"*Offensive duel*")</f>
        <v>0</v>
      </c>
      <c r="GK18" s="8">
        <f>COUNTIFS('Raw data'!$D:$D,"*William Swannell*", 'Raw data'!$Y:$Y,"*1st*",'Raw data'!$H:$H,"*Offensive Duel*",'Raw data'!$H:$H,"*Offensive Duel*",'Raw data'!$M:$M,"*Kept Possession*")</f>
        <v>0</v>
      </c>
      <c r="GL18" s="8">
        <f>COUNTIFS('Raw data'!$D:$D,"*William Swannell*", 'Raw data'!$Y:$Y,"*1st*",'Raw data'!$H:$H,"*Offensive Duel*",'Raw data'!$H:$H,"*Offensive Duel*",'Raw data'!$M:$M,"*Lost Possession*")</f>
        <v>0</v>
      </c>
      <c r="GM18" s="54" t="str">
        <f t="shared" si="20"/>
        <v>-</v>
      </c>
      <c r="GN18" s="54" t="str">
        <f t="shared" si="21"/>
        <v>-</v>
      </c>
      <c r="GO18" s="8">
        <f>COUNTIFS('Raw data'!$D:$D,"*William Swannell*", 'Raw data'!$Y:$Y,"*1st*",'Raw data'!$H:$H,"*Acceleration*")</f>
        <v>1</v>
      </c>
      <c r="GP18" s="8">
        <f>COUNTIFS('Raw data'!$D:$D,"*William Swannell*", 'Raw data'!$Y:$Y,"*1st*",'Raw data'!$H:$H,"*Move into Pocket*")</f>
        <v>8</v>
      </c>
      <c r="GQ18" s="8">
        <f>COUNTIFS('Raw data'!$D:$D,"*William Swannell*", 'Raw data'!$Y:$Y,"*1st*",'Raw data'!$H:$H,"*Wide area*")</f>
        <v>0</v>
      </c>
      <c r="GR18" s="8">
        <f>COUNTIFS('Raw data'!$D:$D,"*William Swannell*", 'Raw data'!$Y:$Y,"*1st*",'Raw data'!$H:$H,"*Back to goal*")</f>
        <v>0</v>
      </c>
      <c r="GS18" s="8">
        <f>COUNTIFS('Raw data'!$D:$D,"*William Swannell*", 'Raw data'!$Y:$Y,"*1st*",'Raw data'!$H:$H,"*Over/Underlaps*")</f>
        <v>0</v>
      </c>
      <c r="GT18" s="8">
        <f>COUNTIFS('Raw data'!$D:$D,"*William Swannell*", 'Raw data'!$Y:$Y,"*1st*",'Raw data'!$H:$H,"*Runs in Behind*")</f>
        <v>0</v>
      </c>
      <c r="GU18" s="8">
        <f>COUNTIFS('Raw data'!$D:$D,"*William Swannell*", 'Raw data'!$Y:$Y,"*1st*",'Raw data'!$H:$H,"*Half-space Runs*")</f>
        <v>0</v>
      </c>
      <c r="GV18" s="8">
        <f t="shared" si="22"/>
        <v>3</v>
      </c>
      <c r="GW18" s="8">
        <f t="shared" si="23"/>
        <v>1</v>
      </c>
      <c r="GX18" s="8">
        <f t="shared" si="24"/>
        <v>2</v>
      </c>
      <c r="GY18" s="54">
        <f t="shared" si="25"/>
        <v>0.33333333333333331</v>
      </c>
      <c r="GZ18" s="54">
        <f t="shared" si="26"/>
        <v>0.66666666666666663</v>
      </c>
      <c r="HA18" s="8">
        <f>COUNTIFS('Raw data'!$D:$D,"*William Swannell*", 'Raw data'!$Y:$Y,"*1st*",'Raw data'!$K:$K,"*Ground duel*")</f>
        <v>2</v>
      </c>
      <c r="HB18" s="8">
        <f>COUNTIFS('Raw data'!$D:$D,"*William Swannell*", 'Raw data'!$Y:$Y,"*1st*",'Raw data'!$K:$K,"*Ground duel*",'Raw data'!$M:$M,"*Duel Succeeded*")</f>
        <v>1</v>
      </c>
      <c r="HC18" s="8">
        <f>COUNTIFS('Raw data'!$D:$D,"*William Swannell*", 'Raw data'!$Y:$Y,"*1st*",'Raw data'!$K:$K,"*Ground duel*",'Raw data'!$M:$M,"*Duel Unsucceeded*")</f>
        <v>1</v>
      </c>
      <c r="HD18" s="54">
        <f t="shared" si="27"/>
        <v>0.5</v>
      </c>
      <c r="HE18" s="54">
        <f t="shared" si="28"/>
        <v>0.5</v>
      </c>
      <c r="HF18" s="8">
        <f>COUNTIFS('Raw data'!$D:$D,"*William Swannell*", 'Raw data'!$Y:$Y,"*1st*",'Raw data'!$K:$K,"*Aerial duel*")</f>
        <v>1</v>
      </c>
      <c r="HG18" s="8">
        <f>COUNTIFS('Raw data'!$D:$D,"*William Swannell*", 'Raw data'!$Y:$Y,"*1st*",'Raw data'!$K:$K,"*Aerial duel*",'Raw data'!$M:$M,"*Duel Succeeded*")</f>
        <v>0</v>
      </c>
      <c r="HH18" s="8">
        <f>COUNTIFS('Raw data'!$D:$D,"*William Swannell*", 'Raw data'!$Y:$Y,"*1st*",'Raw data'!$K:$K,"*Aerial duel*",'Raw data'!$M:$M,"*Duel Unsucceeded*")</f>
        <v>1</v>
      </c>
      <c r="HI18" s="54" t="str">
        <f t="shared" si="29"/>
        <v>-</v>
      </c>
      <c r="HJ18" s="54" t="str">
        <f t="shared" si="30"/>
        <v>-</v>
      </c>
      <c r="HK18" s="8">
        <f>COUNTIFS('Raw data'!$D:$D,"*William Swannell*", 'Raw data'!$Y:$Y,"*1st*",'Raw data'!$K:$K,"*1v1 defense*")</f>
        <v>0</v>
      </c>
      <c r="HL18" s="8">
        <f>COUNTIFS('Raw data'!$D:$D,"*William Swannell*", 'Raw data'!$Y:$Y,"*1st*",'Raw data'!$K:$K,"*1v1 defense*",'Raw data'!$M:$M,"*Duel Succeeded*")</f>
        <v>0</v>
      </c>
      <c r="HM18" s="8">
        <f>COUNTIFS('Raw data'!$D:$D,"*William Swannell*", 'Raw data'!$Y:$Y,"*1st*",'Raw data'!$K:$K,"*1v1 defense*",'Raw data'!$M:$M,"*Duel Unsucceeded*")</f>
        <v>0</v>
      </c>
      <c r="HN18" s="54" t="str">
        <f t="shared" si="31"/>
        <v>-</v>
      </c>
      <c r="HO18" s="54" t="str">
        <f t="shared" si="32"/>
        <v>-</v>
      </c>
      <c r="HP18" s="8">
        <f>COUNTIFS('Raw data'!$D:$D,"*William Swannell*", 'Raw data'!$Y:$Y,"*1st*",'Raw data'!$J:$J,"*Tackles*")</f>
        <v>1</v>
      </c>
      <c r="HQ18" s="8">
        <f>COUNTIFS('Raw data'!$D:$D,"*William Swannell*", 'Raw data'!$Y:$Y,"*1st*",'Raw data'!$J:$J,"*Tackles*", 'Raw data'!$M:$M,"*Duel Succeeded*")</f>
        <v>1</v>
      </c>
      <c r="HR18" s="8">
        <f>COUNTIFS('Raw data'!$D:$D,"*William Swannell*", 'Raw data'!$Y:$Y,"*1st*",'Raw data'!$J:$J,"*Tackles*", 'Raw data'!$M:$M,"*Duel Unsucceeded*")</f>
        <v>0</v>
      </c>
      <c r="HS18" s="54">
        <f t="shared" si="33"/>
        <v>1</v>
      </c>
      <c r="HT18" s="54">
        <f t="shared" si="34"/>
        <v>0</v>
      </c>
      <c r="HU18" s="8">
        <f>COUNTIFS('Raw data'!$D:$D,"*William Swannell*", 'Raw data'!$Y:$Y,"*1st*",'Raw data'!$K:$K,"*2nd Balls*")</f>
        <v>3</v>
      </c>
      <c r="HV18" s="8">
        <f>COUNTIFS('Raw data'!$D:$D,"*William Swannell*", 'Raw data'!$Y:$Y,"*1st*",'Raw data'!$K:$K,"*2nd Balls*", 'Raw data'!$M:$M,"*Duel Succeeded*")</f>
        <v>1</v>
      </c>
      <c r="HW18" s="8">
        <f>COUNTIFS('Raw data'!$D:$D,"*William Swannell*", 'Raw data'!$Y:$Y,"*1st*",'Raw data'!$K:$K,"*2nd Balls*", 'Raw data'!$M:$M,"*Duel Unsucceeded*")</f>
        <v>2</v>
      </c>
      <c r="HX18" s="54">
        <f t="shared" si="35"/>
        <v>0.33333333333333331</v>
      </c>
      <c r="HY18" s="54">
        <f t="shared" si="36"/>
        <v>0.66666666666666663</v>
      </c>
      <c r="HZ18" s="8">
        <f>COUNTIFS('Raw data'!$D:$D,"*William Swannell*", 'Raw data'!$Y:$Y,"*1st*",'Raw data'!$J:$J,"*Clearance*")</f>
        <v>0</v>
      </c>
      <c r="IA18" s="8">
        <f>COUNTIFS('Raw data'!$D:$D,"*William Swannell*", 'Raw data'!$Y:$Y,"*1st*",'Raw data'!$J:$J,"*Interception*")</f>
        <v>0</v>
      </c>
      <c r="IB18" s="8">
        <f>COUNTIFS('Raw data'!$D:$D,"*William Swannell*", 'Raw data'!$Y:$Y,"*1st*",'Raw data'!$J:$J,"*Turnover Won*")</f>
        <v>0</v>
      </c>
      <c r="IC18" s="8">
        <f>COUNTIFS('Raw data'!$D:$D,"*William Swannell*", 'Raw data'!$Y:$Y,"*1st*",'Raw data'!$J:$J,"*Recovery*")</f>
        <v>0</v>
      </c>
      <c r="ID18" s="8">
        <f>COUNTIFS('Raw data'!$D:$D,"*William Swannell*", 'Raw data'!$Y:$Y,"*1st*",'Raw data'!$J:$J,"*Blocked Shots*")</f>
        <v>0</v>
      </c>
      <c r="IE18" s="8">
        <f>COUNTIFS('Raw data'!$D:$D,"*William Swannell*", 'Raw data'!$Y:$Y,"*1st*",'Raw data'!$J:$J,"*Man-marking*")</f>
        <v>0</v>
      </c>
      <c r="IF18" s="8">
        <f>COUNTIFS('Raw data'!$D:$D,"*William Swannell*", 'Raw data'!$Y:$Y,"*1st*",'Raw data'!$J:$J,"*Fouls*")</f>
        <v>0</v>
      </c>
      <c r="IG18" s="8">
        <f>COUNTIFS('Raw data'!$D:$D,"*William Swannell*", 'Raw data'!$Y:$Y,"*1st*",'Raw data'!$J:$J,"*Won F*")</f>
        <v>0</v>
      </c>
      <c r="IH18" s="8">
        <f>COUNTIFS('Raw data'!$D:$D,"*William Swannell*", 'Raw data'!$Y:$Y,"*1st*",'Raw data'!$G:$G,"*1v1*")</f>
        <v>0</v>
      </c>
      <c r="II18" s="8">
        <f>COUNTIFS('Raw data'!$D:$D,"*William Swannell*", 'Raw data'!$Y:$Y,"*1st*",'Raw data'!$G:$G,"*On Target*")</f>
        <v>0</v>
      </c>
      <c r="IJ18" s="8">
        <f>COUNTIFS('Raw data'!$D:$D,"*William Swannell*", 'Raw data'!$Y:$Y,"*1st*",'Raw data'!$G:$G,"*Off Target*")</f>
        <v>0</v>
      </c>
      <c r="IK18" s="8">
        <f>COUNTIFS('Raw data'!$D:$D,"*William Swannell*", 'Raw data'!$Y:$Y,"*1st*",'Raw data'!$G:$G,"*Defend the Space*")</f>
        <v>0</v>
      </c>
      <c r="IL18" s="8">
        <f>COUNTIFS('Raw data'!$D:$D,"*William Swannell*", 'Raw data'!$Y:$Y,"*1st*",'Raw data'!$G:$G,"*Conceded*")</f>
        <v>0</v>
      </c>
      <c r="IM18" s="8">
        <f>COUNTIFS('Raw data'!$D:$D,"*William Swannell*", 'Raw data'!$Y:$Y,"*1st*",'Raw data'!$G:$G,"*Save*")</f>
        <v>0</v>
      </c>
      <c r="IN18" s="8">
        <f>COUNTIFS('Raw data'!$D:$D,"*William Swannell*", 'Raw data'!$Y:$Y,"*1st*",'Raw data'!$G:$G,"*Defend the line (Cross)*")</f>
        <v>0</v>
      </c>
      <c r="IO18" s="8">
        <f>COUNTIFS('Raw data'!$D:$D,"*William Swannell*", 'Raw data'!$Y:$Y,"*1st*",'Raw data'!$G:$G,"*Counter Kick*")</f>
        <v>0</v>
      </c>
      <c r="IP18" t="s">
        <v>770</v>
      </c>
    </row>
    <row r="19" spans="2:250">
      <c r="B19" s="7"/>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DW19" t="s">
        <v>462</v>
      </c>
      <c r="DX19" t="s">
        <v>774</v>
      </c>
      <c r="DY19">
        <v>40</v>
      </c>
      <c r="DZ19" t="s">
        <v>538</v>
      </c>
      <c r="EA19">
        <f t="shared" si="0"/>
        <v>12</v>
      </c>
      <c r="EB19" s="8">
        <f t="shared" si="37"/>
        <v>11</v>
      </c>
      <c r="EC19" s="8">
        <f t="shared" si="38"/>
        <v>1</v>
      </c>
      <c r="ED19" s="54">
        <f t="shared" si="1"/>
        <v>0.91666666666666663</v>
      </c>
      <c r="EE19" s="54">
        <f t="shared" si="2"/>
        <v>8.3333333333333329E-2</v>
      </c>
      <c r="EF19">
        <f t="shared" si="39"/>
        <v>4</v>
      </c>
      <c r="EG19">
        <f>COUNTIFS('Raw data'!$D:$D,"*Kairo Smith*", 'Raw data'!$Y:$Y,"*1st*",'Raw data'!$I:$I,"*Forward Pass*",'Raw data'!$M:$M,"*Pass completed*")</f>
        <v>3</v>
      </c>
      <c r="EH19">
        <f>COUNTIFS('Raw data'!$D:$D,"*Kairo Smith*", 'Raw data'!$Y:$Y,"*1st*",'Raw data'!$I:$I,"*Forward Pass*",'Raw data'!$M:$M,"*Pass Uncompleted*")</f>
        <v>1</v>
      </c>
      <c r="EI19" s="54">
        <f t="shared" si="3"/>
        <v>0.75</v>
      </c>
      <c r="EJ19" s="54">
        <f t="shared" si="4"/>
        <v>0.25</v>
      </c>
      <c r="EK19">
        <f t="shared" si="40"/>
        <v>2</v>
      </c>
      <c r="EL19" s="8">
        <f>COUNTIFS('Raw data'!$D:$D,"*Kairo Smith*", 'Raw data'!$Y:$Y,"*1st*",'Raw data'!$I:$I,"*Lateral Pass*",'Raw data'!$M:$M,"*Pass completed*")</f>
        <v>2</v>
      </c>
      <c r="EM19" s="8">
        <f>COUNTIFS('Raw data'!$D:$D,"*Kairo Smith*", 'Raw data'!$Y:$Y,"*1st*",'Raw data'!$I:$I,"*Lateral Pass*",'Raw data'!$M:$M,"*Pass Uncompleted*")</f>
        <v>0</v>
      </c>
      <c r="EN19" s="54">
        <f t="shared" si="5"/>
        <v>1</v>
      </c>
      <c r="EO19" s="54">
        <f t="shared" si="6"/>
        <v>0</v>
      </c>
      <c r="EP19">
        <f t="shared" si="41"/>
        <v>6</v>
      </c>
      <c r="EQ19" s="8">
        <f>COUNTIFS('Raw data'!$D:$D,"*Kairo Smith*", 'Raw data'!$Y:$Y,"*1st*",'Raw data'!$I:$I,"*Backward Pass*",'Raw data'!$M:$M,"*Pass completed*")</f>
        <v>6</v>
      </c>
      <c r="ER19" s="8">
        <f>COUNTIFS('Raw data'!$D:$D,"*Kairo Smith*", 'Raw data'!$Y:$Y,"*1st*",'Raw data'!$I:$I,"*Backward Pass*",'Raw data'!$M:$M,"*Pass Uncompleted*")</f>
        <v>0</v>
      </c>
      <c r="ES19" s="54">
        <f t="shared" si="7"/>
        <v>1</v>
      </c>
      <c r="ET19" s="54">
        <f t="shared" si="8"/>
        <v>0</v>
      </c>
      <c r="EU19" s="8">
        <f>COUNTIFS('Raw data'!$D:$D,"*Kairo Smith*", 'Raw data'!$Y:$Y,"*1st*",'Raw data'!$I:$I,"*Long Kick*")</f>
        <v>1</v>
      </c>
      <c r="EV19" s="8">
        <f>COUNTIFS('Raw data'!$D:$D,"*Kairo Smith*", 'Raw data'!$Y:$Y,"*1st*",'Raw data'!$I:$I,"*Long Kick*",'Raw data'!$M:$M,"*Pass completed*")</f>
        <v>0</v>
      </c>
      <c r="EW19" s="8">
        <f>COUNTIFS('Raw data'!$D:$D,"*Kairo Smith*", 'Raw data'!$Y:$Y,"*1st*",'Raw data'!$I:$I,"*Long Kick*",'Raw data'!$M:$M,"*Pass Uncompleted*")</f>
        <v>1</v>
      </c>
      <c r="EX19" s="54">
        <f t="shared" si="9"/>
        <v>0</v>
      </c>
      <c r="EY19" s="54">
        <f t="shared" si="10"/>
        <v>1</v>
      </c>
      <c r="EZ19" s="8">
        <f>COUNTIFS('Raw data'!$D:$D,"*Kairo Smith*", 'Raw data'!$Y:$Y,"*1st*",'Raw data'!$I:$I,"*Balls in Behind*")</f>
        <v>0</v>
      </c>
      <c r="FA19" s="8">
        <f>COUNTIFS('Raw data'!$D:$D,"*Kairo Smith*", 'Raw data'!$Y:$Y,"*1st*",'Raw data'!$I:$I,"*Balls in Behind*",'Raw data'!$M:$M,"*Pass completed*")</f>
        <v>0</v>
      </c>
      <c r="FB19" s="8">
        <f>COUNTIFS('Raw data'!$D:$D,"*Kairo Smith*", 'Raw data'!$Y:$Y,"*1st*",'Raw data'!$I:$I,"*Balls in Behind*",'Raw data'!$M:$M,"*Pass Uncompleted*")</f>
        <v>0</v>
      </c>
      <c r="FC19" s="54" t="str">
        <f t="shared" si="11"/>
        <v>-</v>
      </c>
      <c r="FD19" s="54" t="str">
        <f t="shared" si="12"/>
        <v>-</v>
      </c>
      <c r="FE19" s="8">
        <f>COUNTIFS('Raw data'!$D:$D,"*Kairo Smith*", 'Raw data'!$Y:$Y,"*1st*",'Raw data'!$I:$I,"*Key/Through pass*")</f>
        <v>1</v>
      </c>
      <c r="FF19" s="8">
        <f>COUNTIFS('Raw data'!$D:$D,"*Kairo Smith*", 'Raw data'!$Y:$Y,"*1st*",'Raw data'!$I:$I,"*Diagonal pass*")</f>
        <v>0</v>
      </c>
      <c r="FG19" s="8">
        <f>COUNTIFS('Raw data'!$D:$D,"*Kairo Smith*", 'Raw data'!$Y:$Y,"*1st*",'Raw data'!$I:$I,"*Diagonal pass*",'Raw data'!$M:$M,"*Pass completed*")</f>
        <v>0</v>
      </c>
      <c r="FH19" s="8">
        <f>COUNTIFS('Raw data'!$D:$D,"*Kairo Smith*", 'Raw data'!$Y:$Y,"*1st*",'Raw data'!$I:$I,"*Diagonal pass*",'Raw data'!$M:$M,"*Pass Uncompleted*")</f>
        <v>0</v>
      </c>
      <c r="FI19" s="54" t="str">
        <f t="shared" si="13"/>
        <v>-</v>
      </c>
      <c r="FJ19" s="54" t="str">
        <f t="shared" si="14"/>
        <v>-</v>
      </c>
      <c r="FK19" s="8">
        <f>COUNTIFS('Raw data'!$D:$D,"*Kairo Smith*", 'Raw data'!$Y:$Y,"*1st*",'Raw data'!$M:$M,"*Pass Received*")</f>
        <v>9</v>
      </c>
      <c r="FL19" s="8">
        <f>COUNTIFS('Raw data'!$D:$D,"*Kairo Smith*", 'Raw data'!$Y:$Y,"*1st*",'Raw data'!$M:$M,"*Pass Completed*",'Raw data'!$M:$M,"*Pass Received*")</f>
        <v>8</v>
      </c>
      <c r="FM19" s="8">
        <f>COUNTIFS('Raw data'!$D:$D,"*Kairo Smith*", 'Raw data'!$Y:$Y,"*1st*",'Raw data'!$M:$M,"*Pass Uncompleted*",'Raw data'!$M:$M,"*Pass Received*")</f>
        <v>0</v>
      </c>
      <c r="FN19" s="8">
        <f>COUNTIFS('Raw data'!$D:$D,"*Kairo Smith*", 'Raw data'!$Y:$Y,"*1st*",'Raw data'!$M:$M,"*Kept Possession*",'Raw data'!$M:$M,"*Pass Received*")</f>
        <v>1</v>
      </c>
      <c r="FO19" s="8">
        <f>COUNTIFS('Raw data'!$D:$D,"*Kairo Smith*", 'Raw data'!$Y:$Y,"*1st*",'Raw data'!$M:$M,"*Lost Possession*")</f>
        <v>1</v>
      </c>
      <c r="FP19" s="8">
        <f>COUNTIFS('Raw data'!$D:$D,"*Kairo Smith*", 'Raw data'!$Y:$Y,"*1st*",'Raw data'!$M:$M,"*Lost Possession*",'Raw data'!$M:$M,"*Lost Final 1/3*")</f>
        <v>0</v>
      </c>
      <c r="FQ19" s="8">
        <f>COUNTIFS('Raw data'!$D:$D,"*Kairo Smith*", 'Raw data'!$Y:$Y,"*1st*",'Raw data'!$M:$M,"*Lost Possession*",'Raw data'!$M:$M,"*Lost Middle 1/3*")</f>
        <v>1</v>
      </c>
      <c r="FR19" s="8">
        <f>COUNTIFS('Raw data'!$D:$D,"*Kairo Smith*", 'Raw data'!$Y:$Y,"*1st*",'Raw data'!$M:$M,"*Lost Possession*",'Raw data'!$M:$M,"*Lost Own 1/3*")</f>
        <v>0</v>
      </c>
      <c r="FS19" s="8">
        <f>COUNTIFS('Raw data'!$D:$D,"*Kairo Smith*", 'Raw data'!$Y:$Y,"*1st*",'Raw data'!$H:$H,"*Touches in the Box*")</f>
        <v>1</v>
      </c>
      <c r="FT19" s="8">
        <f>COUNTIFS('Raw data'!$D:$D,"*Kairo Smith*", 'Raw data'!$Y:$Y,"*1st*",'Raw data'!$H:$H,"*1v1 Attack*")</f>
        <v>0</v>
      </c>
      <c r="FU19" s="8">
        <f>COUNTIFS('Raw data'!$D:$D,"*Kairo Smith*", 'Raw data'!$Y:$Y,"*1st*",'Raw data'!$H:$H,"*1v1 Attack*",'Raw data'!$H:$H,"*1v1 Attack*",'Raw data'!$M:$M,"*Kept Possession*")</f>
        <v>0</v>
      </c>
      <c r="FV19" s="8">
        <f>COUNTIFS('Raw data'!$D:$D,"*Kairo Smith*", 'Raw data'!$Y:$Y,"*1st*",'Raw data'!$H:$H,"*1v1 Attack*",'Raw data'!$H:$H,"*1v1 Attack*",'Raw data'!$M:$M,"*Lost Possession*")</f>
        <v>0</v>
      </c>
      <c r="FW19" s="54" t="str">
        <f t="shared" si="15"/>
        <v>-</v>
      </c>
      <c r="FX19" s="54" t="str">
        <f t="shared" si="16"/>
        <v>-</v>
      </c>
      <c r="FY19" s="8">
        <f>COUNTIFS('Raw data'!$D:$D,"*Kairo Smith*", 'Raw data'!$Y:$Y,"*1st*",'Raw data'!$I:$I,"*Cross*")</f>
        <v>0</v>
      </c>
      <c r="FZ19" s="8">
        <f>COUNTIFS('Raw data'!$D:$D,"*Kairo Smith*", 'Raw data'!$Y:$Y,"*1st*",'Raw data'!$I:$I,"*Cross*",'Raw data'!$M:$M,"*Pass Completed*")</f>
        <v>0</v>
      </c>
      <c r="GA19" s="8">
        <f>COUNTIFS('Raw data'!$D:$D,"*Kairo Smith*", 'Raw data'!$Y:$Y,"*1st*",'Raw data'!$I:$I,"*Cross*",'Raw data'!$M:$M,"*Pass Uncompleted*")</f>
        <v>0</v>
      </c>
      <c r="GB19" s="54" t="str">
        <f t="shared" si="17"/>
        <v>-</v>
      </c>
      <c r="GC19" s="54" t="str">
        <f t="shared" si="18"/>
        <v>-</v>
      </c>
      <c r="GD19" s="8">
        <f t="shared" si="19"/>
        <v>1</v>
      </c>
      <c r="GE19" s="8">
        <f>COUNTIFS('Raw data'!$D:$D,"*Kairo Smith*", 'Raw data'!$Y:$Y,"*1st*",'Raw data'!$L:$L,"*On Target*")</f>
        <v>0</v>
      </c>
      <c r="GF19" s="8">
        <f>COUNTIFS('Raw data'!$D:$D,"*Kairo Smith*", 'Raw data'!$Y:$Y,"*1st*",'Raw data'!$L:$L,"*Off Target*")</f>
        <v>0</v>
      </c>
      <c r="GG19" s="8">
        <f>COUNTIFS('Raw data'!$D:$D,"*Kairo Smith*", 'Raw data'!$Y:$Y,"*1st*",'Raw data'!$L:$L,"*Blocked*")</f>
        <v>1</v>
      </c>
      <c r="GH19" s="8">
        <f>COUNTIFS('Raw data'!$D:$D,"*Kairo Smith*", 'Raw data'!$Y:$Y,"*1st*",'Raw data'!$M:$M,"*Goal*")</f>
        <v>0</v>
      </c>
      <c r="GI19" s="8">
        <f>COUNTIFS('Raw data'!$D:$D,"*Kairo Smith*", 'Raw data'!$Y:$Y,"*1st*",'Raw data'!$M:$M,"*Assist*")</f>
        <v>0</v>
      </c>
      <c r="GJ19" s="8">
        <f>COUNTIFS('Raw data'!$D:$D,"*Kairo Smith*", 'Raw data'!$Y:$Y,"*1st*",'Raw data'!$H:$H,"*Offensive duel*")</f>
        <v>1</v>
      </c>
      <c r="GK19" s="8">
        <f>COUNTIFS('Raw data'!$D:$D,"*Kairo Smith*", 'Raw data'!$Y:$Y,"*1st*",'Raw data'!$H:$H,"*Offensive Duel*",'Raw data'!$H:$H,"*Offensive Duel*",'Raw data'!$M:$M,"*Kept Possession*")</f>
        <v>1</v>
      </c>
      <c r="GL19" s="8">
        <f>COUNTIFS('Raw data'!$D:$D,"*Kairo Smith*", 'Raw data'!$Y:$Y,"*1st*",'Raw data'!$H:$H,"*Offensive Duel*",'Raw data'!$H:$H,"*Offensive Duel*",'Raw data'!$M:$M,"*Lost Possession*")</f>
        <v>0</v>
      </c>
      <c r="GM19" s="54">
        <f t="shared" si="20"/>
        <v>1</v>
      </c>
      <c r="GN19" s="54">
        <f t="shared" si="21"/>
        <v>0</v>
      </c>
      <c r="GO19" s="8">
        <f>COUNTIFS('Raw data'!$D:$D,"*Kairo Smith*", 'Raw data'!$Y:$Y,"*1st*",'Raw data'!$H:$H,"*Acceleration*")</f>
        <v>0</v>
      </c>
      <c r="GP19" s="8">
        <f>COUNTIFS('Raw data'!$D:$D,"*Kairo Smith*", 'Raw data'!$Y:$Y,"*1st*",'Raw data'!$H:$H,"*Move into Pocket*")</f>
        <v>5</v>
      </c>
      <c r="GQ19" s="8">
        <f>COUNTIFS('Raw data'!$D:$D,"*Kairo Smith*", 'Raw data'!$Y:$Y,"*1st*",'Raw data'!$H:$H,"*Wide area*")</f>
        <v>0</v>
      </c>
      <c r="GR19" s="8">
        <f>COUNTIFS('Raw data'!$D:$D,"*Kairo Smith*", 'Raw data'!$Y:$Y,"*1st*",'Raw data'!$H:$H,"*Back to goal*")</f>
        <v>0</v>
      </c>
      <c r="GS19" s="8">
        <f>COUNTIFS('Raw data'!$D:$D,"*Kairo Smith*", 'Raw data'!$Y:$Y,"*1st*",'Raw data'!$H:$H,"*Over/Underlaps*")</f>
        <v>0</v>
      </c>
      <c r="GT19" s="8">
        <f>COUNTIFS('Raw data'!$D:$D,"*Kairo Smith*", 'Raw data'!$Y:$Y,"*1st*",'Raw data'!$H:$H,"*Runs in Behind*")</f>
        <v>0</v>
      </c>
      <c r="GU19" s="8">
        <f>COUNTIFS('Raw data'!$D:$D,"*Kairo Smith*", 'Raw data'!$Y:$Y,"*1st*",'Raw data'!$H:$H,"*Half-space Runs*")</f>
        <v>0</v>
      </c>
      <c r="GV19" s="8">
        <f t="shared" si="22"/>
        <v>2</v>
      </c>
      <c r="GW19" s="8">
        <f t="shared" si="23"/>
        <v>1</v>
      </c>
      <c r="GX19" s="8">
        <f t="shared" si="24"/>
        <v>1</v>
      </c>
      <c r="GY19" s="54">
        <f t="shared" si="25"/>
        <v>0.5</v>
      </c>
      <c r="GZ19" s="54">
        <f t="shared" si="26"/>
        <v>0.5</v>
      </c>
      <c r="HA19" s="8">
        <f>COUNTIFS('Raw data'!$D:$D,"*Kairo Smith*", 'Raw data'!$Y:$Y,"*1st*",'Raw data'!$K:$K,"*Ground duel*")</f>
        <v>0</v>
      </c>
      <c r="HB19" s="8">
        <f>COUNTIFS('Raw data'!$D:$D,"*Kairo Smith*", 'Raw data'!$Y:$Y,"*1st*",'Raw data'!$K:$K,"*Ground duel*",'Raw data'!$M:$M,"*Duel Succeeded*")</f>
        <v>0</v>
      </c>
      <c r="HC19" s="8">
        <f>COUNTIFS('Raw data'!$D:$D,"*Kairo Smith*", 'Raw data'!$Y:$Y,"*1st*",'Raw data'!$K:$K,"*Ground duel*",'Raw data'!$M:$M,"*Duel Unsucceeded*")</f>
        <v>0</v>
      </c>
      <c r="HD19" s="54" t="str">
        <f t="shared" si="27"/>
        <v>-</v>
      </c>
      <c r="HE19" s="54" t="str">
        <f t="shared" si="28"/>
        <v>-</v>
      </c>
      <c r="HF19" s="8">
        <f>COUNTIFS('Raw data'!$D:$D,"*Kairo Smith*", 'Raw data'!$Y:$Y,"*1st*",'Raw data'!$K:$K,"*Aerial duel*")</f>
        <v>1</v>
      </c>
      <c r="HG19" s="8">
        <f>COUNTIFS('Raw data'!$D:$D,"*Kairo Smith*", 'Raw data'!$Y:$Y,"*1st*",'Raw data'!$K:$K,"*Aerial duel*",'Raw data'!$M:$M,"*Duel Succeeded*")</f>
        <v>0</v>
      </c>
      <c r="HH19" s="8">
        <f>COUNTIFS('Raw data'!$D:$D,"*Kairo Smith*", 'Raw data'!$Y:$Y,"*1st*",'Raw data'!$K:$K,"*Aerial duel*",'Raw data'!$M:$M,"*Duel Unsucceeded*")</f>
        <v>1</v>
      </c>
      <c r="HI19" s="54" t="str">
        <f t="shared" si="29"/>
        <v>-</v>
      </c>
      <c r="HJ19" s="54" t="str">
        <f t="shared" si="30"/>
        <v>-</v>
      </c>
      <c r="HK19" s="8">
        <f>COUNTIFS('Raw data'!$D:$D,"*Kairo Smith*", 'Raw data'!$Y:$Y,"*1st*",'Raw data'!$K:$K,"*1v1 defense*")</f>
        <v>0</v>
      </c>
      <c r="HL19" s="8">
        <f>COUNTIFS('Raw data'!$D:$D,"*Kairo Smith*", 'Raw data'!$Y:$Y,"*1st*",'Raw data'!$K:$K,"*1v1 defense*",'Raw data'!$M:$M,"*Duel Succeeded*")</f>
        <v>0</v>
      </c>
      <c r="HM19" s="8">
        <f>COUNTIFS('Raw data'!$D:$D,"*Kairo Smith*", 'Raw data'!$Y:$Y,"*1st*",'Raw data'!$K:$K,"*1v1 defense*",'Raw data'!$M:$M,"*Duel Unsucceeded*")</f>
        <v>0</v>
      </c>
      <c r="HN19" s="54" t="str">
        <f t="shared" si="31"/>
        <v>-</v>
      </c>
      <c r="HO19" s="54" t="str">
        <f t="shared" si="32"/>
        <v>-</v>
      </c>
      <c r="HP19" s="8">
        <f>COUNTIFS('Raw data'!$D:$D,"*Kairo Smith*", 'Raw data'!$Y:$Y,"*1st*",'Raw data'!$J:$J,"*Tackles*")</f>
        <v>0</v>
      </c>
      <c r="HQ19" s="8">
        <f>COUNTIFS('Raw data'!$D:$D,"*Kairo Smith*", 'Raw data'!$Y:$Y,"*1st*",'Raw data'!$J:$J,"*Tackles*", 'Raw data'!$M:$M,"*Duel Succeeded*")</f>
        <v>0</v>
      </c>
      <c r="HR19" s="8">
        <f>COUNTIFS('Raw data'!$D:$D,"*Kairo Smith*", 'Raw data'!$Y:$Y,"*1st*",'Raw data'!$J:$J,"*Tackles*", 'Raw data'!$M:$M,"*Duel Unsucceeded*")</f>
        <v>0</v>
      </c>
      <c r="HS19" s="54" t="str">
        <f t="shared" si="33"/>
        <v>-</v>
      </c>
      <c r="HT19" s="54" t="str">
        <f t="shared" si="34"/>
        <v>-</v>
      </c>
      <c r="HU19" s="8">
        <f>COUNTIFS('Raw data'!$D:$D,"*Kairo Smith*", 'Raw data'!$Y:$Y,"*1st*",'Raw data'!$K:$K,"*2nd Balls*")</f>
        <v>2</v>
      </c>
      <c r="HV19" s="8">
        <f>COUNTIFS('Raw data'!$D:$D,"*Kairo Smith*", 'Raw data'!$Y:$Y,"*1st*",'Raw data'!$K:$K,"*2nd Balls*", 'Raw data'!$M:$M,"*Duel Succeeded*")</f>
        <v>1</v>
      </c>
      <c r="HW19" s="8">
        <f>COUNTIFS('Raw data'!$D:$D,"*Kairo Smith*", 'Raw data'!$Y:$Y,"*1st*",'Raw data'!$K:$K,"*2nd Balls*", 'Raw data'!$M:$M,"*Duel Unsucceeded*")</f>
        <v>1</v>
      </c>
      <c r="HX19" s="54">
        <f t="shared" si="35"/>
        <v>0.5</v>
      </c>
      <c r="HY19" s="54">
        <f t="shared" si="36"/>
        <v>0.5</v>
      </c>
      <c r="HZ19" s="8">
        <f>COUNTIFS('Raw data'!$D:$D,"*Kairo Smith*", 'Raw data'!$Y:$Y,"*1st*",'Raw data'!$J:$J,"*Clearance*")</f>
        <v>0</v>
      </c>
      <c r="IA19" s="8">
        <f>COUNTIFS('Raw data'!$D:$D,"*Kairo Smith*", 'Raw data'!$Y:$Y,"*1st*",'Raw data'!$J:$J,"*Interception*")</f>
        <v>2</v>
      </c>
      <c r="IB19" s="8">
        <f>COUNTIFS('Raw data'!$D:$D,"*Kairo Smith*", 'Raw data'!$Y:$Y,"*1st*",'Raw data'!$J:$J,"*Turnover Won*")</f>
        <v>0</v>
      </c>
      <c r="IC19" s="8">
        <f>COUNTIFS('Raw data'!$D:$D,"*Kairo Smith*", 'Raw data'!$Y:$Y,"*1st*",'Raw data'!$J:$J,"*Recovery*")</f>
        <v>0</v>
      </c>
      <c r="ID19" s="8">
        <f>COUNTIFS('Raw data'!$D:$D,"*Kairo Smith*", 'Raw data'!$Y:$Y,"*1st*",'Raw data'!$J:$J,"*Blocked Shots*")</f>
        <v>0</v>
      </c>
      <c r="IE19" s="8">
        <f>COUNTIFS('Raw data'!$D:$D,"*Kairo Smith*", 'Raw data'!$Y:$Y,"*1st*",'Raw data'!$J:$J,"*Man-marking*")</f>
        <v>0</v>
      </c>
      <c r="IF19" s="8">
        <f>COUNTIFS('Raw data'!$D:$D,"*Kairo Smith*", 'Raw data'!$Y:$Y,"*1st*",'Raw data'!$J:$J,"*Fouls*")</f>
        <v>0</v>
      </c>
      <c r="IG19" s="8">
        <f>COUNTIFS('Raw data'!$D:$D,"*Kairo Smith*", 'Raw data'!$Y:$Y,"*1st*",'Raw data'!$J:$J,"*Won F*")</f>
        <v>0</v>
      </c>
      <c r="IH19" s="8">
        <f>COUNTIFS('Raw data'!$D:$D,"*Kairo Smith*", 'Raw data'!$Y:$Y,"*1st*",'Raw data'!$G:$G,"*1v1*")</f>
        <v>0</v>
      </c>
      <c r="II19" s="8">
        <f>COUNTIFS('Raw data'!$D:$D,"*Kairo Smith*", 'Raw data'!$Y:$Y,"*1st*",'Raw data'!$G:$G,"*On Target*")</f>
        <v>0</v>
      </c>
      <c r="IJ19" s="8">
        <f>COUNTIFS('Raw data'!$D:$D,"*Kairo Smith*", 'Raw data'!$Y:$Y,"*1st*",'Raw data'!$G:$G,"*Off Target*")</f>
        <v>0</v>
      </c>
      <c r="IK19" s="8">
        <f>COUNTIFS('Raw data'!$D:$D,"*Kairo Smith*", 'Raw data'!$Y:$Y,"*1st*",'Raw data'!$G:$G,"*Defend the Space*")</f>
        <v>0</v>
      </c>
      <c r="IL19" s="8">
        <f>COUNTIFS('Raw data'!$D:$D,"*Kairo Smith*", 'Raw data'!$Y:$Y,"*1st*",'Raw data'!$G:$G,"*Conceded*")</f>
        <v>0</v>
      </c>
      <c r="IM19" s="8">
        <f>COUNTIFS('Raw data'!$D:$D,"*Kairo Smith*", 'Raw data'!$Y:$Y,"*1st*",'Raw data'!$G:$G,"*Save*")</f>
        <v>0</v>
      </c>
      <c r="IN19" s="8">
        <f>COUNTIFS('Raw data'!$D:$D,"*Kairo Smith*", 'Raw data'!$Y:$Y,"*1st*",'Raw data'!$G:$G,"*Defend the line (Cross)*")</f>
        <v>0</v>
      </c>
      <c r="IO19" s="8">
        <f>COUNTIFS('Raw data'!$D:$D,"*Kairo Smith*", 'Raw data'!$Y:$Y,"*1st*",'Raw data'!$G:$G,"*Counter Kick*")</f>
        <v>0</v>
      </c>
      <c r="IP19" t="s">
        <v>774</v>
      </c>
    </row>
    <row r="20" spans="2:250">
      <c r="B20" s="7"/>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DW20" t="s">
        <v>462</v>
      </c>
      <c r="DX20" t="s">
        <v>685</v>
      </c>
      <c r="DY20">
        <v>40</v>
      </c>
      <c r="DZ20" t="s">
        <v>538</v>
      </c>
      <c r="EA20">
        <f t="shared" si="0"/>
        <v>7</v>
      </c>
      <c r="EB20" s="8">
        <f t="shared" si="37"/>
        <v>4</v>
      </c>
      <c r="EC20" s="8">
        <f t="shared" si="38"/>
        <v>3</v>
      </c>
      <c r="ED20" s="54">
        <f t="shared" si="1"/>
        <v>0.5714285714285714</v>
      </c>
      <c r="EE20" s="54">
        <f t="shared" si="2"/>
        <v>0.42857142857142855</v>
      </c>
      <c r="EF20">
        <f t="shared" si="39"/>
        <v>4</v>
      </c>
      <c r="EG20">
        <f>COUNTIFS('Raw data'!$D:$D,"*Harley Moyes*", 'Raw data'!$Y:$Y,"*1st*",'Raw data'!$I:$I,"*Forward Pass*",'Raw data'!$M:$M,"*Pass completed*")</f>
        <v>2</v>
      </c>
      <c r="EH20">
        <f>COUNTIFS('Raw data'!$D:$D,"*Harley Moyes*", 'Raw data'!$Y:$Y,"*1st*",'Raw data'!$I:$I,"*Forward Pass*",'Raw data'!$M:$M,"*Pass Uncompleted*")</f>
        <v>2</v>
      </c>
      <c r="EI20" s="54">
        <f t="shared" si="3"/>
        <v>0.5</v>
      </c>
      <c r="EJ20" s="54">
        <f t="shared" si="4"/>
        <v>0.5</v>
      </c>
      <c r="EK20">
        <f t="shared" si="40"/>
        <v>2</v>
      </c>
      <c r="EL20" s="8">
        <f>COUNTIFS('Raw data'!$D:$D,"*Harley Moyes*", 'Raw data'!$Y:$Y,"*1st*",'Raw data'!$I:$I,"*Lateral Pass*",'Raw data'!$M:$M,"*Pass completed*")</f>
        <v>1</v>
      </c>
      <c r="EM20" s="8">
        <f>COUNTIFS('Raw data'!$D:$D,"*Harley Moyes*", 'Raw data'!$Y:$Y,"*1st*",'Raw data'!$I:$I,"*Lateral Pass*",'Raw data'!$M:$M,"*Pass Uncompleted*")</f>
        <v>1</v>
      </c>
      <c r="EN20" s="54">
        <f t="shared" si="5"/>
        <v>0.5</v>
      </c>
      <c r="EO20" s="54">
        <f t="shared" si="6"/>
        <v>0.5</v>
      </c>
      <c r="EP20">
        <f t="shared" si="41"/>
        <v>1</v>
      </c>
      <c r="EQ20" s="8">
        <f>COUNTIFS('Raw data'!$D:$D,"*Harley Moyes*", 'Raw data'!$Y:$Y,"*1st*",'Raw data'!$I:$I,"*Backward Pass*",'Raw data'!$M:$M,"*Pass completed*")</f>
        <v>1</v>
      </c>
      <c r="ER20" s="8">
        <f>COUNTIFS('Raw data'!$D:$D,"*Harley Moyes*", 'Raw data'!$Y:$Y,"*1st*",'Raw data'!$I:$I,"*Backward Pass*",'Raw data'!$M:$M,"*Pass Uncompleted*")</f>
        <v>0</v>
      </c>
      <c r="ES20" s="54">
        <f t="shared" si="7"/>
        <v>1</v>
      </c>
      <c r="ET20" s="54">
        <f t="shared" si="8"/>
        <v>0</v>
      </c>
      <c r="EU20" s="8">
        <f>COUNTIFS('Raw data'!$D:$D,"*Harley Moyes*", 'Raw data'!$Y:$Y,"*1st*",'Raw data'!$I:$I,"*Long Kick*")</f>
        <v>1</v>
      </c>
      <c r="EV20" s="8">
        <f>COUNTIFS('Raw data'!$D:$D,"*Harley Moyes*", 'Raw data'!$Y:$Y,"*1st*",'Raw data'!$I:$I,"*Long Kick*",'Raw data'!$M:$M,"*Pass completed*")</f>
        <v>0</v>
      </c>
      <c r="EW20" s="8">
        <f>COUNTIFS('Raw data'!$D:$D,"*Harley Moyes*", 'Raw data'!$Y:$Y,"*1st*",'Raw data'!$I:$I,"*Long Kick*",'Raw data'!$M:$M,"*Pass Uncompleted*")</f>
        <v>1</v>
      </c>
      <c r="EX20" s="54">
        <f t="shared" si="9"/>
        <v>0</v>
      </c>
      <c r="EY20" s="54">
        <f t="shared" si="10"/>
        <v>1</v>
      </c>
      <c r="EZ20" s="8">
        <f>COUNTIFS('Raw data'!$D:$D,"*Harley Moyes*", 'Raw data'!$Y:$Y,"*1st*",'Raw data'!$I:$I,"*Balls in Behind*")</f>
        <v>2</v>
      </c>
      <c r="FA20" s="8">
        <f>COUNTIFS('Raw data'!$D:$D,"*Harley Moyes*", 'Raw data'!$Y:$Y,"*1st*",'Raw data'!$I:$I,"*Balls in Behind*",'Raw data'!$M:$M,"*Pass completed*")</f>
        <v>1</v>
      </c>
      <c r="FB20" s="8">
        <f>COUNTIFS('Raw data'!$D:$D,"*Harley Moyes*", 'Raw data'!$Y:$Y,"*1st*",'Raw data'!$I:$I,"*Balls in Behind*",'Raw data'!$M:$M,"*Pass Uncompleted*")</f>
        <v>1</v>
      </c>
      <c r="FC20" s="54">
        <f t="shared" si="11"/>
        <v>0.5</v>
      </c>
      <c r="FD20" s="54">
        <f t="shared" si="12"/>
        <v>0.5</v>
      </c>
      <c r="FE20" s="8">
        <f>COUNTIFS('Raw data'!$D:$D,"*Harley Moyes*", 'Raw data'!$Y:$Y,"*1st*",'Raw data'!$I:$I,"*Key/Through pass*")</f>
        <v>0</v>
      </c>
      <c r="FF20" s="8">
        <f>COUNTIFS('Raw data'!$D:$D,"*Harley Moyes*", 'Raw data'!$Y:$Y,"*1st*",'Raw data'!$I:$I,"*Diagonal pass*")</f>
        <v>0</v>
      </c>
      <c r="FG20" s="8">
        <f>COUNTIFS('Raw data'!$D:$D,"*Harley Moyes*", 'Raw data'!$Y:$Y,"*1st*",'Raw data'!$I:$I,"*Diagonal pass*",'Raw data'!$M:$M,"*Pass completed*")</f>
        <v>0</v>
      </c>
      <c r="FH20" s="8">
        <f>COUNTIFS('Raw data'!$D:$D,"*Harley Moyes*", 'Raw data'!$Y:$Y,"*1st*",'Raw data'!$I:$I,"*Diagonal pass*",'Raw data'!$M:$M,"*Pass Uncompleted*")</f>
        <v>0</v>
      </c>
      <c r="FI20" s="54" t="str">
        <f t="shared" si="13"/>
        <v>-</v>
      </c>
      <c r="FJ20" s="54" t="str">
        <f t="shared" si="14"/>
        <v>-</v>
      </c>
      <c r="FK20" s="8">
        <f>COUNTIFS('Raw data'!$D:$D,"*Harley Moyes*", 'Raw data'!$Y:$Y,"*1st*",'Raw data'!$M:$M,"*Pass Received*")</f>
        <v>4</v>
      </c>
      <c r="FL20" s="8">
        <f>COUNTIFS('Raw data'!$D:$D,"*Harley Moyes*", 'Raw data'!$Y:$Y,"*1st*",'Raw data'!$M:$M,"*Pass Completed*",'Raw data'!$M:$M,"*Pass Received*")</f>
        <v>1</v>
      </c>
      <c r="FM20" s="8">
        <f>COUNTIFS('Raw data'!$D:$D,"*Harley Moyes*", 'Raw data'!$Y:$Y,"*1st*",'Raw data'!$M:$M,"*Pass Uncompleted*",'Raw data'!$M:$M,"*Pass Received*")</f>
        <v>2</v>
      </c>
      <c r="FN20" s="8">
        <f>COUNTIFS('Raw data'!$D:$D,"*Harley Moyes*", 'Raw data'!$Y:$Y,"*1st*",'Raw data'!$M:$M,"*Kept Possession*",'Raw data'!$M:$M,"*Pass Received*")</f>
        <v>1</v>
      </c>
      <c r="FO20" s="8">
        <f>COUNTIFS('Raw data'!$D:$D,"*Harley Moyes*", 'Raw data'!$Y:$Y,"*1st*",'Raw data'!$M:$M,"*Lost Possession*")</f>
        <v>1</v>
      </c>
      <c r="FP20" s="8">
        <f>COUNTIFS('Raw data'!$D:$D,"*Harley Moyes*", 'Raw data'!$Y:$Y,"*1st*",'Raw data'!$M:$M,"*Lost Possession*",'Raw data'!$M:$M,"*Lost Final 1/3*")</f>
        <v>0</v>
      </c>
      <c r="FQ20" s="8">
        <f>COUNTIFS('Raw data'!$D:$D,"*Harley Moyes*", 'Raw data'!$Y:$Y,"*1st*",'Raw data'!$M:$M,"*Lost Possession*",'Raw data'!$M:$M,"*Lost Middle 1/3*")</f>
        <v>0</v>
      </c>
      <c r="FR20" s="8">
        <f>COUNTIFS('Raw data'!$D:$D,"*Harley Moyes*", 'Raw data'!$Y:$Y,"*1st*",'Raw data'!$M:$M,"*Lost Possession*",'Raw data'!$M:$M,"*Lost Own 1/3*")</f>
        <v>1</v>
      </c>
      <c r="FS20" s="8">
        <f>COUNTIFS('Raw data'!$D:$D,"*Harley Moyes*", 'Raw data'!$Y:$Y,"*1st*",'Raw data'!$H:$H,"*Touches in the Box*")</f>
        <v>0</v>
      </c>
      <c r="FT20" s="8">
        <f>COUNTIFS('Raw data'!$D:$D,"*Harley Moyes*", 'Raw data'!$Y:$Y,"*1st*",'Raw data'!$H:$H,"*1v1 Attack*")</f>
        <v>2</v>
      </c>
      <c r="FU20" s="8">
        <f>COUNTIFS('Raw data'!$D:$D,"*Harley Moyes*", 'Raw data'!$Y:$Y,"*1st*",'Raw data'!$H:$H,"*1v1 Attack*",'Raw data'!$H:$H,"*1v1 Attack*",'Raw data'!$M:$M,"*Kept Possession*")</f>
        <v>2</v>
      </c>
      <c r="FV20" s="8">
        <f>COUNTIFS('Raw data'!$D:$D,"*Harley Moyes*", 'Raw data'!$Y:$Y,"*1st*",'Raw data'!$H:$H,"*1v1 Attack*",'Raw data'!$H:$H,"*1v1 Attack*",'Raw data'!$M:$M,"*Lost Possession*")</f>
        <v>0</v>
      </c>
      <c r="FW20" s="54">
        <f t="shared" si="15"/>
        <v>1</v>
      </c>
      <c r="FX20" s="54">
        <f t="shared" si="16"/>
        <v>0</v>
      </c>
      <c r="FY20" s="8">
        <f>COUNTIFS('Raw data'!$D:$D,"*Harley Moyes*", 'Raw data'!$Y:$Y,"*1st*",'Raw data'!$I:$I,"*Cross*")</f>
        <v>0</v>
      </c>
      <c r="FZ20" s="8">
        <f>COUNTIFS('Raw data'!$D:$D,"*Harley Moyes*", 'Raw data'!$Y:$Y,"*1st*",'Raw data'!$I:$I,"*Cross*",'Raw data'!$M:$M,"*Pass Completed*")</f>
        <v>0</v>
      </c>
      <c r="GA20" s="8">
        <f>COUNTIFS('Raw data'!$D:$D,"*Harley Moyes*", 'Raw data'!$Y:$Y,"*1st*",'Raw data'!$I:$I,"*Cross*",'Raw data'!$M:$M,"*Pass Uncompleted*")</f>
        <v>0</v>
      </c>
      <c r="GB20" s="54" t="str">
        <f t="shared" si="17"/>
        <v>-</v>
      </c>
      <c r="GC20" s="54" t="str">
        <f t="shared" si="18"/>
        <v>-</v>
      </c>
      <c r="GD20" s="8">
        <f t="shared" si="19"/>
        <v>0</v>
      </c>
      <c r="GE20" s="8">
        <f>COUNTIFS('Raw data'!$D:$D,"*Harley Moyes*", 'Raw data'!$Y:$Y,"*1st*",'Raw data'!$L:$L,"*On Target*")</f>
        <v>0</v>
      </c>
      <c r="GF20" s="8">
        <f>COUNTIFS('Raw data'!$D:$D,"*Harley Moyes*", 'Raw data'!$Y:$Y,"*1st*",'Raw data'!$L:$L,"*Off Target*")</f>
        <v>0</v>
      </c>
      <c r="GG20" s="8">
        <f>COUNTIFS('Raw data'!$D:$D,"*Harley Moyes*", 'Raw data'!$Y:$Y,"*1st*",'Raw data'!$L:$L,"*Blocked*")</f>
        <v>0</v>
      </c>
      <c r="GH20" s="8">
        <f>COUNTIFS('Raw data'!$D:$D,"*Harley Moyes*", 'Raw data'!$Y:$Y,"*1st*",'Raw data'!$M:$M,"*Goal*")</f>
        <v>0</v>
      </c>
      <c r="GI20" s="8">
        <f>COUNTIFS('Raw data'!$D:$D,"*Harley Moyes*", 'Raw data'!$Y:$Y,"*1st*",'Raw data'!$M:$M,"*Assist*")</f>
        <v>1</v>
      </c>
      <c r="GJ20" s="8">
        <f>COUNTIFS('Raw data'!$D:$D,"*Harley Moyes*", 'Raw data'!$Y:$Y,"*1st*",'Raw data'!$H:$H,"*Offensive duel*")</f>
        <v>0</v>
      </c>
      <c r="GK20" s="8">
        <f>COUNTIFS('Raw data'!$D:$D,"*Harley Moyes*", 'Raw data'!$Y:$Y,"*1st*",'Raw data'!$H:$H,"*Offensive Duel*",'Raw data'!$H:$H,"*Offensive Duel*",'Raw data'!$M:$M,"*Kept Possession*")</f>
        <v>0</v>
      </c>
      <c r="GL20" s="8">
        <f>COUNTIFS('Raw data'!$D:$D,"*Harley Moyes*", 'Raw data'!$Y:$Y,"*1st*",'Raw data'!$H:$H,"*Offensive Duel*",'Raw data'!$H:$H,"*Offensive Duel*",'Raw data'!$M:$M,"*Lost Possession*")</f>
        <v>0</v>
      </c>
      <c r="GM20" s="54" t="str">
        <f t="shared" si="20"/>
        <v>-</v>
      </c>
      <c r="GN20" s="54" t="str">
        <f t="shared" si="21"/>
        <v>-</v>
      </c>
      <c r="GO20" s="8">
        <f>COUNTIFS('Raw data'!$D:$D,"*Harley Moyes*", 'Raw data'!$Y:$Y,"*1st*",'Raw data'!$H:$H,"*Acceleration*")</f>
        <v>0</v>
      </c>
      <c r="GP20" s="8">
        <f>COUNTIFS('Raw data'!$D:$D,"*Harley Moyes*", 'Raw data'!$Y:$Y,"*1st*",'Raw data'!$H:$H,"*Move into Pocket*")</f>
        <v>3</v>
      </c>
      <c r="GQ20" s="8">
        <f>COUNTIFS('Raw data'!$D:$D,"*Harley Moyes*", 'Raw data'!$Y:$Y,"*1st*",'Raw data'!$H:$H,"*Wide area*")</f>
        <v>0</v>
      </c>
      <c r="GR20" s="8">
        <f>COUNTIFS('Raw data'!$D:$D,"*Harley Moyes*", 'Raw data'!$Y:$Y,"*1st*",'Raw data'!$H:$H,"*Back to goal*")</f>
        <v>0</v>
      </c>
      <c r="GS20" s="8">
        <f>COUNTIFS('Raw data'!$D:$D,"*Harley Moyes*", 'Raw data'!$Y:$Y,"*1st*",'Raw data'!$H:$H,"*Over/Underlaps*")</f>
        <v>0</v>
      </c>
      <c r="GT20" s="8">
        <f>COUNTIFS('Raw data'!$D:$D,"*Harley Moyes*", 'Raw data'!$Y:$Y,"*1st*",'Raw data'!$H:$H,"*Runs in Behind*")</f>
        <v>0</v>
      </c>
      <c r="GU20" s="8">
        <f>COUNTIFS('Raw data'!$D:$D,"*Harley Moyes*", 'Raw data'!$Y:$Y,"*1st*",'Raw data'!$H:$H,"*Half-space Runs*")</f>
        <v>0</v>
      </c>
      <c r="GV20" s="8">
        <f t="shared" si="22"/>
        <v>2</v>
      </c>
      <c r="GW20" s="8">
        <f t="shared" si="23"/>
        <v>0</v>
      </c>
      <c r="GX20" s="8">
        <f t="shared" si="24"/>
        <v>2</v>
      </c>
      <c r="GY20" s="54">
        <f t="shared" si="25"/>
        <v>0</v>
      </c>
      <c r="GZ20" s="54">
        <f t="shared" si="26"/>
        <v>1</v>
      </c>
      <c r="HA20" s="8">
        <f>COUNTIFS('Raw data'!$D:$D,"*Harley Moyes*", 'Raw data'!$Y:$Y,"*1st*",'Raw data'!$K:$K,"*Ground duel*")</f>
        <v>0</v>
      </c>
      <c r="HB20" s="8">
        <f>COUNTIFS('Raw data'!$D:$D,"*Harley Moyes*", 'Raw data'!$Y:$Y,"*1st*",'Raw data'!$K:$K,"*Ground duel*",'Raw data'!$M:$M,"*Duel Succeeded*")</f>
        <v>0</v>
      </c>
      <c r="HC20" s="8">
        <f>COUNTIFS('Raw data'!$D:$D,"*Harley Moyes*", 'Raw data'!$Y:$Y,"*1st*",'Raw data'!$K:$K,"*Ground duel*",'Raw data'!$M:$M,"*Duel Unsucceeded*")</f>
        <v>0</v>
      </c>
      <c r="HD20" s="54" t="str">
        <f t="shared" si="27"/>
        <v>-</v>
      </c>
      <c r="HE20" s="54" t="str">
        <f t="shared" si="28"/>
        <v>-</v>
      </c>
      <c r="HF20" s="8">
        <f>COUNTIFS('Raw data'!$D:$D,"*Harley Moyes*", 'Raw data'!$Y:$Y,"*1st*",'Raw data'!$K:$K,"*Aerial duel*")</f>
        <v>2</v>
      </c>
      <c r="HG20" s="8">
        <f>COUNTIFS('Raw data'!$D:$D,"*Harley Moyes*", 'Raw data'!$Y:$Y,"*1st*",'Raw data'!$K:$K,"*Aerial duel*",'Raw data'!$M:$M,"*Duel Succeeded*")</f>
        <v>0</v>
      </c>
      <c r="HH20" s="8">
        <f>COUNTIFS('Raw data'!$D:$D,"*Harley Moyes*", 'Raw data'!$Y:$Y,"*1st*",'Raw data'!$K:$K,"*Aerial duel*",'Raw data'!$M:$M,"*Duel Unsucceeded*")</f>
        <v>2</v>
      </c>
      <c r="HI20" s="54" t="str">
        <f t="shared" si="29"/>
        <v>-</v>
      </c>
      <c r="HJ20" s="54" t="str">
        <f t="shared" si="30"/>
        <v>-</v>
      </c>
      <c r="HK20" s="8">
        <f>COUNTIFS('Raw data'!$D:$D,"*Harley Moyes*", 'Raw data'!$Y:$Y,"*1st*",'Raw data'!$K:$K,"*1v1 defense*")</f>
        <v>0</v>
      </c>
      <c r="HL20" s="8">
        <f>COUNTIFS('Raw data'!$D:$D,"*Harley Moyes*", 'Raw data'!$Y:$Y,"*1st*",'Raw data'!$K:$K,"*1v1 defense*",'Raw data'!$M:$M,"*Duel Succeeded*")</f>
        <v>0</v>
      </c>
      <c r="HM20" s="8">
        <f>COUNTIFS('Raw data'!$D:$D,"*Harley Moyes*", 'Raw data'!$Y:$Y,"*1st*",'Raw data'!$K:$K,"*1v1 defense*",'Raw data'!$M:$M,"*Duel Unsucceeded*")</f>
        <v>0</v>
      </c>
      <c r="HN20" s="54" t="str">
        <f t="shared" si="31"/>
        <v>-</v>
      </c>
      <c r="HO20" s="54" t="str">
        <f t="shared" si="32"/>
        <v>-</v>
      </c>
      <c r="HP20" s="8">
        <f>COUNTIFS('Raw data'!$D:$D,"*Harley Moyes*", 'Raw data'!$Y:$Y,"*1st*",'Raw data'!$J:$J,"*Tackles*")</f>
        <v>1</v>
      </c>
      <c r="HQ20" s="8">
        <f>COUNTIFS('Raw data'!$D:$D,"*Harley Moyes*", 'Raw data'!$Y:$Y,"*1st*",'Raw data'!$J:$J,"*Tackles*", 'Raw data'!$M:$M,"*Duel Succeeded*")</f>
        <v>1</v>
      </c>
      <c r="HR20" s="8">
        <f>COUNTIFS('Raw data'!$D:$D,"*Harley Moyes*", 'Raw data'!$Y:$Y,"*1st*",'Raw data'!$J:$J,"*Tackles*", 'Raw data'!$M:$M,"*Duel Unsucceeded*")</f>
        <v>0</v>
      </c>
      <c r="HS20" s="54">
        <f t="shared" si="33"/>
        <v>1</v>
      </c>
      <c r="HT20" s="54">
        <f t="shared" si="34"/>
        <v>0</v>
      </c>
      <c r="HU20" s="8">
        <f>COUNTIFS('Raw data'!$D:$D,"*Harley Moyes*", 'Raw data'!$Y:$Y,"*1st*",'Raw data'!$K:$K,"*2nd Balls*")</f>
        <v>2</v>
      </c>
      <c r="HV20" s="8">
        <f>COUNTIFS('Raw data'!$D:$D,"*Harley Moyes*", 'Raw data'!$Y:$Y,"*1st*",'Raw data'!$K:$K,"*2nd Balls*", 'Raw data'!$M:$M,"*Duel Succeeded*")</f>
        <v>2</v>
      </c>
      <c r="HW20" s="8">
        <f>COUNTIFS('Raw data'!$D:$D,"*Harley Moyes*", 'Raw data'!$Y:$Y,"*1st*",'Raw data'!$K:$K,"*2nd Balls*", 'Raw data'!$M:$M,"*Duel Unsucceeded*")</f>
        <v>0</v>
      </c>
      <c r="HX20" s="54">
        <f t="shared" si="35"/>
        <v>1</v>
      </c>
      <c r="HY20" s="54">
        <f t="shared" si="36"/>
        <v>0</v>
      </c>
      <c r="HZ20" s="8">
        <f>COUNTIFS('Raw data'!$D:$D,"*Harley Moyes*", 'Raw data'!$Y:$Y,"*1st*",'Raw data'!$J:$J,"*Clearance*")</f>
        <v>0</v>
      </c>
      <c r="IA20" s="8">
        <f>COUNTIFS('Raw data'!$D:$D,"*Harley Moyes*", 'Raw data'!$Y:$Y,"*1st*",'Raw data'!$J:$J,"*Interception*")</f>
        <v>1</v>
      </c>
      <c r="IB20" s="8">
        <f>COUNTIFS('Raw data'!$D:$D,"*Harley Moyes*", 'Raw data'!$Y:$Y,"*1st*",'Raw data'!$J:$J,"*Turnover Won*")</f>
        <v>3</v>
      </c>
      <c r="IC20" s="8">
        <f>COUNTIFS('Raw data'!$D:$D,"*Harley Moyes*", 'Raw data'!$Y:$Y,"*1st*",'Raw data'!$J:$J,"*Recovery*")</f>
        <v>1</v>
      </c>
      <c r="ID20" s="8">
        <f>COUNTIFS('Raw data'!$D:$D,"*Harley Moyes*", 'Raw data'!$Y:$Y,"*1st*",'Raw data'!$J:$J,"*Blocked Shots*")</f>
        <v>1</v>
      </c>
      <c r="IE20" s="8">
        <f>COUNTIFS('Raw data'!$D:$D,"*Harley Moyes*", 'Raw data'!$Y:$Y,"*1st*",'Raw data'!$J:$J,"*Man-marking*")</f>
        <v>0</v>
      </c>
      <c r="IF20" s="8">
        <f>COUNTIFS('Raw data'!$D:$D,"*Harley Moyes*", 'Raw data'!$Y:$Y,"*1st*",'Raw data'!$J:$J,"*Fouls*")</f>
        <v>0</v>
      </c>
      <c r="IG20" s="8">
        <f>COUNTIFS('Raw data'!$D:$D,"*Harley Moyes*", 'Raw data'!$Y:$Y,"*1st*",'Raw data'!$J:$J,"*Won F*")</f>
        <v>0</v>
      </c>
      <c r="IH20" s="8">
        <f>COUNTIFS('Raw data'!$D:$D,"*Harley Moyes*", 'Raw data'!$Y:$Y,"*1st*",'Raw data'!$G:$G,"*1v1*")</f>
        <v>0</v>
      </c>
      <c r="II20" s="8">
        <f>COUNTIFS('Raw data'!$D:$D,"*Harley Moyes*", 'Raw data'!$Y:$Y,"*1st*",'Raw data'!$G:$G,"*On Target*")</f>
        <v>0</v>
      </c>
      <c r="IJ20" s="8">
        <f>COUNTIFS('Raw data'!$D:$D,"*Harley Moyes*", 'Raw data'!$Y:$Y,"*1st*",'Raw data'!$G:$G,"*Off Target*")</f>
        <v>0</v>
      </c>
      <c r="IK20" s="8">
        <f>COUNTIFS('Raw data'!$D:$D,"*Harley Moyes*", 'Raw data'!$Y:$Y,"*1st*",'Raw data'!$G:$G,"*Defend the Space*")</f>
        <v>0</v>
      </c>
      <c r="IL20" s="8">
        <f>COUNTIFS('Raw data'!$D:$D,"*Harley Moyes*", 'Raw data'!$Y:$Y,"*1st*",'Raw data'!$G:$G,"*Conceded*")</f>
        <v>0</v>
      </c>
      <c r="IM20" s="8">
        <f>COUNTIFS('Raw data'!$D:$D,"*Harley Moyes*", 'Raw data'!$Y:$Y,"*1st*",'Raw data'!$G:$G,"*Save*")</f>
        <v>0</v>
      </c>
      <c r="IN20" s="8">
        <f>COUNTIFS('Raw data'!$D:$D,"*Harley Moyes*", 'Raw data'!$Y:$Y,"*1st*",'Raw data'!$G:$G,"*Defend the line (Cross)*")</f>
        <v>0</v>
      </c>
      <c r="IO20" s="8">
        <f>COUNTIFS('Raw data'!$D:$D,"*Harley Moyes*", 'Raw data'!$Y:$Y,"*1st*",'Raw data'!$G:$G,"*Counter Kick*")</f>
        <v>0</v>
      </c>
      <c r="IP20" t="s">
        <v>685</v>
      </c>
    </row>
    <row r="21" spans="2:250">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DW21" t="s">
        <v>462</v>
      </c>
      <c r="DX21" t="s">
        <v>783</v>
      </c>
      <c r="DY21">
        <v>40</v>
      </c>
      <c r="DZ21" t="s">
        <v>540</v>
      </c>
      <c r="EA21">
        <f t="shared" si="0"/>
        <v>4</v>
      </c>
      <c r="EB21" s="8">
        <f t="shared" si="37"/>
        <v>3</v>
      </c>
      <c r="EC21" s="8">
        <f t="shared" si="38"/>
        <v>1</v>
      </c>
      <c r="ED21" s="54">
        <f t="shared" si="1"/>
        <v>0.75</v>
      </c>
      <c r="EE21" s="54">
        <f t="shared" si="2"/>
        <v>0.25</v>
      </c>
      <c r="EF21">
        <f t="shared" si="39"/>
        <v>1</v>
      </c>
      <c r="EG21">
        <f>COUNTIFS('Raw data'!$D:$D,"*Dylan Tambe*", 'Raw data'!$Y:$Y,"*1st*",'Raw data'!$I:$I,"*Forward Pass*",'Raw data'!$M:$M,"*Pass completed*")</f>
        <v>1</v>
      </c>
      <c r="EH21">
        <f>COUNTIFS('Raw data'!$D:$D,"*Dylan Tambe*", 'Raw data'!$Y:$Y,"*1st*",'Raw data'!$I:$I,"*Forward Pass*",'Raw data'!$M:$M,"*Pass Uncompleted*")</f>
        <v>0</v>
      </c>
      <c r="EI21" s="54">
        <f t="shared" si="3"/>
        <v>1</v>
      </c>
      <c r="EJ21" s="54">
        <f t="shared" si="4"/>
        <v>0</v>
      </c>
      <c r="EK21">
        <f t="shared" si="40"/>
        <v>2</v>
      </c>
      <c r="EL21" s="8">
        <f>COUNTIFS('Raw data'!$D:$D,"*Dylan Tambe*", 'Raw data'!$Y:$Y,"*1st*",'Raw data'!$I:$I,"*Lateral Pass*",'Raw data'!$M:$M,"*Pass completed*")</f>
        <v>1</v>
      </c>
      <c r="EM21" s="8">
        <f>COUNTIFS('Raw data'!$D:$D,"*Dylan Tambe*", 'Raw data'!$Y:$Y,"*1st*",'Raw data'!$I:$I,"*Lateral Pass*",'Raw data'!$M:$M,"*Pass Uncompleted*")</f>
        <v>1</v>
      </c>
      <c r="EN21" s="54">
        <f t="shared" si="5"/>
        <v>0.5</v>
      </c>
      <c r="EO21" s="54">
        <f t="shared" si="6"/>
        <v>0.5</v>
      </c>
      <c r="EP21">
        <f t="shared" si="41"/>
        <v>1</v>
      </c>
      <c r="EQ21" s="8">
        <f>COUNTIFS('Raw data'!$D:$D,"*Dylan Tambe*", 'Raw data'!$Y:$Y,"*1st*",'Raw data'!$I:$I,"*Backward Pass*",'Raw data'!$M:$M,"*Pass completed*")</f>
        <v>1</v>
      </c>
      <c r="ER21" s="8">
        <f>COUNTIFS('Raw data'!$D:$D,"*Dylan Tambe*", 'Raw data'!$Y:$Y,"*1st*",'Raw data'!$I:$I,"*Backward Pass*",'Raw data'!$M:$M,"*Pass Uncompleted*")</f>
        <v>0</v>
      </c>
      <c r="ES21" s="54">
        <f t="shared" si="7"/>
        <v>1</v>
      </c>
      <c r="ET21" s="54">
        <f t="shared" si="8"/>
        <v>0</v>
      </c>
      <c r="EU21" s="8">
        <f>COUNTIFS('Raw data'!$D:$D,"*Dylan Tambe*", 'Raw data'!$Y:$Y,"*1st*",'Raw data'!$I:$I,"*Long Kick*")</f>
        <v>0</v>
      </c>
      <c r="EV21" s="8">
        <f>COUNTIFS('Raw data'!$D:$D,"*Dylan Tambe*", 'Raw data'!$Y:$Y,"*1st*",'Raw data'!$I:$I,"*Long Kick*",'Raw data'!$M:$M,"*Pass completed*")</f>
        <v>0</v>
      </c>
      <c r="EW21" s="8">
        <f>COUNTIFS('Raw data'!$D:$D,"*Dylan Tambe*", 'Raw data'!$Y:$Y,"*1st*",'Raw data'!$I:$I,"*Long Kick*",'Raw data'!$M:$M,"*Pass Uncompleted*")</f>
        <v>0</v>
      </c>
      <c r="EX21" s="54" t="str">
        <f t="shared" si="9"/>
        <v>-</v>
      </c>
      <c r="EY21" s="54" t="str">
        <f t="shared" si="10"/>
        <v>-</v>
      </c>
      <c r="EZ21" s="8">
        <f>COUNTIFS('Raw data'!$D:$D,"*Dylan Tambe*", 'Raw data'!$Y:$Y,"*1st*",'Raw data'!$I:$I,"*Balls in Behind*")</f>
        <v>0</v>
      </c>
      <c r="FA21" s="8">
        <f>COUNTIFS('Raw data'!$D:$D,"*Dylan Tambe*", 'Raw data'!$Y:$Y,"*1st*",'Raw data'!$I:$I,"*Balls in Behind*",'Raw data'!$M:$M,"*Pass completed*")</f>
        <v>0</v>
      </c>
      <c r="FB21" s="8">
        <f>COUNTIFS('Raw data'!$D:$D,"*Dylan Tambe*", 'Raw data'!$Y:$Y,"*1st*",'Raw data'!$I:$I,"*Balls in Behind*",'Raw data'!$M:$M,"*Pass Uncompleted*")</f>
        <v>0</v>
      </c>
      <c r="FC21" s="54" t="str">
        <f t="shared" si="11"/>
        <v>-</v>
      </c>
      <c r="FD21" s="54" t="str">
        <f t="shared" si="12"/>
        <v>-</v>
      </c>
      <c r="FE21" s="8">
        <f>COUNTIFS('Raw data'!$D:$D,"*Dylan Tambe*", 'Raw data'!$Y:$Y,"*1st*",'Raw data'!$I:$I,"*Key/Through pass*")</f>
        <v>0</v>
      </c>
      <c r="FF21" s="8">
        <f>COUNTIFS('Raw data'!$D:$D,"*Dylan Tambe*", 'Raw data'!$Y:$Y,"*1st*",'Raw data'!$I:$I,"*Diagonal pass*")</f>
        <v>0</v>
      </c>
      <c r="FG21" s="8">
        <f>COUNTIFS('Raw data'!$D:$D,"*Dylan Tambe*", 'Raw data'!$Y:$Y,"*1st*",'Raw data'!$I:$I,"*Diagonal pass*",'Raw data'!$M:$M,"*Pass completed*")</f>
        <v>0</v>
      </c>
      <c r="FH21" s="8">
        <f>COUNTIFS('Raw data'!$D:$D,"*Dylan Tambe*", 'Raw data'!$Y:$Y,"*1st*",'Raw data'!$I:$I,"*Diagonal pass*",'Raw data'!$M:$M,"*Pass Uncompleted*")</f>
        <v>0</v>
      </c>
      <c r="FI21" s="54" t="str">
        <f t="shared" si="13"/>
        <v>-</v>
      </c>
      <c r="FJ21" s="54" t="str">
        <f t="shared" si="14"/>
        <v>-</v>
      </c>
      <c r="FK21" s="8">
        <f>COUNTIFS('Raw data'!$D:$D,"*Dylan Tambe*", 'Raw data'!$Y:$Y,"*1st*",'Raw data'!$M:$M,"*Pass Received*")</f>
        <v>5</v>
      </c>
      <c r="FL21" s="8">
        <f>COUNTIFS('Raw data'!$D:$D,"*Dylan Tambe*", 'Raw data'!$Y:$Y,"*1st*",'Raw data'!$M:$M,"*Pass Completed*",'Raw data'!$M:$M,"*Pass Received*")</f>
        <v>3</v>
      </c>
      <c r="FM21" s="8">
        <f>COUNTIFS('Raw data'!$D:$D,"*Dylan Tambe*", 'Raw data'!$Y:$Y,"*1st*",'Raw data'!$M:$M,"*Pass Uncompleted*",'Raw data'!$M:$M,"*Pass Received*")</f>
        <v>2</v>
      </c>
      <c r="FN21" s="8">
        <f>COUNTIFS('Raw data'!$D:$D,"*Dylan Tambe*", 'Raw data'!$Y:$Y,"*1st*",'Raw data'!$M:$M,"*Kept Possession*",'Raw data'!$M:$M,"*Pass Received*")</f>
        <v>1</v>
      </c>
      <c r="FO21" s="8">
        <f>COUNTIFS('Raw data'!$D:$D,"*Dylan Tambe*", 'Raw data'!$Y:$Y,"*1st*",'Raw data'!$M:$M,"*Lost Possession*")</f>
        <v>0</v>
      </c>
      <c r="FP21" s="8">
        <f>COUNTIFS('Raw data'!$D:$D,"*Dylan Tambe*", 'Raw data'!$Y:$Y,"*1st*",'Raw data'!$M:$M,"*Lost Possession*",'Raw data'!$M:$M,"*Lost Final 1/3*")</f>
        <v>0</v>
      </c>
      <c r="FQ21" s="8">
        <f>COUNTIFS('Raw data'!$D:$D,"*Dylan Tambe*", 'Raw data'!$Y:$Y,"*1st*",'Raw data'!$M:$M,"*Lost Possession*",'Raw data'!$M:$M,"*Lost Middle 1/3*")</f>
        <v>0</v>
      </c>
      <c r="FR21" s="8">
        <f>COUNTIFS('Raw data'!$D:$D,"*Dylan Tambe*", 'Raw data'!$Y:$Y,"*1st*",'Raw data'!$M:$M,"*Lost Possession*",'Raw data'!$M:$M,"*Lost Own 1/3*")</f>
        <v>0</v>
      </c>
      <c r="FS21" s="8">
        <f>COUNTIFS('Raw data'!$D:$D,"*Dylan Tambe*", 'Raw data'!$Y:$Y,"*1st*",'Raw data'!$H:$H,"*Touches in the Box*")</f>
        <v>1</v>
      </c>
      <c r="FT21" s="8">
        <f>COUNTIFS('Raw data'!$D:$D,"*Dylan Tambe*", 'Raw data'!$Y:$Y,"*1st*",'Raw data'!$H:$H,"*1v1 Attack*")</f>
        <v>1</v>
      </c>
      <c r="FU21" s="8">
        <f>COUNTIFS('Raw data'!$D:$D,"*Dylan Tambe*", 'Raw data'!$Y:$Y,"*1st*",'Raw data'!$H:$H,"*1v1 Attack*",'Raw data'!$H:$H,"*1v1 Attack*",'Raw data'!$M:$M,"*Kept Possession*")</f>
        <v>1</v>
      </c>
      <c r="FV21" s="8">
        <f>COUNTIFS('Raw data'!$D:$D,"*Dylan Tambe*", 'Raw data'!$Y:$Y,"*1st*",'Raw data'!$H:$H,"*1v1 Attack*",'Raw data'!$H:$H,"*1v1 Attack*",'Raw data'!$M:$M,"*Lost Possession*")</f>
        <v>0</v>
      </c>
      <c r="FW21" s="54">
        <f t="shared" si="15"/>
        <v>1</v>
      </c>
      <c r="FX21" s="54">
        <f t="shared" si="16"/>
        <v>0</v>
      </c>
      <c r="FY21" s="8">
        <f>COUNTIFS('Raw data'!$D:$D,"*Dylan Tambe*", 'Raw data'!$Y:$Y,"*1st*",'Raw data'!$I:$I,"*Cross*")</f>
        <v>2</v>
      </c>
      <c r="FZ21" s="8">
        <f>COUNTIFS('Raw data'!$D:$D,"*Dylan Tambe*", 'Raw data'!$Y:$Y,"*1st*",'Raw data'!$I:$I,"*Cross*",'Raw data'!$M:$M,"*Pass Completed*")</f>
        <v>1</v>
      </c>
      <c r="GA21" s="8">
        <f>COUNTIFS('Raw data'!$D:$D,"*Dylan Tambe*", 'Raw data'!$Y:$Y,"*1st*",'Raw data'!$I:$I,"*Cross*",'Raw data'!$M:$M,"*Pass Uncompleted*")</f>
        <v>1</v>
      </c>
      <c r="GB21" s="54">
        <f t="shared" si="17"/>
        <v>0.5</v>
      </c>
      <c r="GC21" s="54">
        <f t="shared" si="18"/>
        <v>0.5</v>
      </c>
      <c r="GD21" s="8">
        <f t="shared" si="19"/>
        <v>0</v>
      </c>
      <c r="GE21" s="8">
        <f>COUNTIFS('Raw data'!$D:$D,"*Dylan Tambe*", 'Raw data'!$Y:$Y,"*1st*",'Raw data'!$L:$L,"*On Target*")</f>
        <v>0</v>
      </c>
      <c r="GF21" s="8">
        <f>COUNTIFS('Raw data'!$D:$D,"*Dylan Tambe*", 'Raw data'!$Y:$Y,"*1st*",'Raw data'!$L:$L,"*Off Target*")</f>
        <v>0</v>
      </c>
      <c r="GG21" s="8">
        <f>COUNTIFS('Raw data'!$D:$D,"*Dylan Tambe*", 'Raw data'!$Y:$Y,"*1st*",'Raw data'!$L:$L,"*Blocked*")</f>
        <v>0</v>
      </c>
      <c r="GH21" s="8">
        <f>COUNTIFS('Raw data'!$D:$D,"*Dylan Tambe*", 'Raw data'!$Y:$Y,"*1st*",'Raw data'!$M:$M,"*Goal*")</f>
        <v>0</v>
      </c>
      <c r="GI21" s="8">
        <f>COUNTIFS('Raw data'!$D:$D,"*Dylan Tambe*", 'Raw data'!$Y:$Y,"*1st*",'Raw data'!$M:$M,"*Assist*")</f>
        <v>0</v>
      </c>
      <c r="GJ21" s="8">
        <f>COUNTIFS('Raw data'!$D:$D,"*Dylan Tambe*", 'Raw data'!$Y:$Y,"*1st*",'Raw data'!$H:$H,"*Offensive duel*")</f>
        <v>0</v>
      </c>
      <c r="GK21" s="8">
        <f>COUNTIFS('Raw data'!$D:$D,"*Dylan Tambe*", 'Raw data'!$Y:$Y,"*1st*",'Raw data'!$H:$H,"*Offensive Duel*",'Raw data'!$H:$H,"*Offensive Duel*",'Raw data'!$M:$M,"*Kept Possession*")</f>
        <v>0</v>
      </c>
      <c r="GL21" s="8">
        <f>COUNTIFS('Raw data'!$D:$D,"*Dylan Tambe*", 'Raw data'!$Y:$Y,"*1st*",'Raw data'!$H:$H,"*Offensive Duel*",'Raw data'!$H:$H,"*Offensive Duel*",'Raw data'!$M:$M,"*Lost Possession*")</f>
        <v>0</v>
      </c>
      <c r="GM21" s="54" t="str">
        <f t="shared" si="20"/>
        <v>-</v>
      </c>
      <c r="GN21" s="54" t="str">
        <f t="shared" si="21"/>
        <v>-</v>
      </c>
      <c r="GO21" s="8">
        <f>COUNTIFS('Raw data'!$D:$D,"*Dylan Tambe*", 'Raw data'!$Y:$Y,"*1st*",'Raw data'!$H:$H,"*Acceleration*")</f>
        <v>0</v>
      </c>
      <c r="GP21" s="8">
        <f>COUNTIFS('Raw data'!$D:$D,"*Dylan Tambe*", 'Raw data'!$Y:$Y,"*1st*",'Raw data'!$H:$H,"*Move into Pocket*")</f>
        <v>0</v>
      </c>
      <c r="GQ21" s="8">
        <f>COUNTIFS('Raw data'!$D:$D,"*Dylan Tambe*", 'Raw data'!$Y:$Y,"*1st*",'Raw data'!$H:$H,"*Wide area*")</f>
        <v>2</v>
      </c>
      <c r="GR21" s="8">
        <f>COUNTIFS('Raw data'!$D:$D,"*Dylan Tambe*", 'Raw data'!$Y:$Y,"*1st*",'Raw data'!$H:$H,"*Back to goal*")</f>
        <v>1</v>
      </c>
      <c r="GS21" s="8">
        <f>COUNTIFS('Raw data'!$D:$D,"*Dylan Tambe*", 'Raw data'!$Y:$Y,"*1st*",'Raw data'!$H:$H,"*Over/Underlaps*")</f>
        <v>0</v>
      </c>
      <c r="GT21" s="8">
        <f>COUNTIFS('Raw data'!$D:$D,"*Dylan Tambe*", 'Raw data'!$Y:$Y,"*1st*",'Raw data'!$H:$H,"*Runs in Behind*")</f>
        <v>0</v>
      </c>
      <c r="GU21" s="8">
        <f>COUNTIFS('Raw data'!$D:$D,"*Dylan Tambe*", 'Raw data'!$Y:$Y,"*1st*",'Raw data'!$H:$H,"*Half-space Runs*")</f>
        <v>0</v>
      </c>
      <c r="GV21" s="8">
        <f t="shared" si="22"/>
        <v>2</v>
      </c>
      <c r="GW21" s="8">
        <f t="shared" si="23"/>
        <v>0</v>
      </c>
      <c r="GX21" s="8">
        <f t="shared" si="24"/>
        <v>2</v>
      </c>
      <c r="GY21" s="54">
        <f t="shared" si="25"/>
        <v>0</v>
      </c>
      <c r="GZ21" s="54">
        <f t="shared" si="26"/>
        <v>1</v>
      </c>
      <c r="HA21" s="8">
        <f>COUNTIFS('Raw data'!$D:$D,"*Dylan Tambe*", 'Raw data'!$Y:$Y,"*1st*",'Raw data'!$K:$K,"*Ground duel*")</f>
        <v>0</v>
      </c>
      <c r="HB21" s="8">
        <f>COUNTIFS('Raw data'!$D:$D,"*Dylan Tambe*", 'Raw data'!$Y:$Y,"*1st*",'Raw data'!$K:$K,"*Ground duel*",'Raw data'!$M:$M,"*Duel Succeeded*")</f>
        <v>0</v>
      </c>
      <c r="HC21" s="8">
        <f>COUNTIFS('Raw data'!$D:$D,"*Dylan Tambe*", 'Raw data'!$Y:$Y,"*1st*",'Raw data'!$K:$K,"*Ground duel*",'Raw data'!$M:$M,"*Duel Unsucceeded*")</f>
        <v>0</v>
      </c>
      <c r="HD21" s="54" t="str">
        <f t="shared" si="27"/>
        <v>-</v>
      </c>
      <c r="HE21" s="54" t="str">
        <f t="shared" si="28"/>
        <v>-</v>
      </c>
      <c r="HF21" s="8">
        <f>COUNTIFS('Raw data'!$D:$D,"*Dylan Tambe*", 'Raw data'!$Y:$Y,"*1st*",'Raw data'!$K:$K,"*Aerial duel*")</f>
        <v>2</v>
      </c>
      <c r="HG21" s="8">
        <f>COUNTIFS('Raw data'!$D:$D,"*Dylan Tambe*", 'Raw data'!$Y:$Y,"*1st*",'Raw data'!$K:$K,"*Aerial duel*",'Raw data'!$M:$M,"*Duel Succeeded*")</f>
        <v>0</v>
      </c>
      <c r="HH21" s="8">
        <f>COUNTIFS('Raw data'!$D:$D,"*Dylan Tambe*", 'Raw data'!$Y:$Y,"*1st*",'Raw data'!$K:$K,"*Aerial duel*",'Raw data'!$M:$M,"*Duel Unsucceeded*")</f>
        <v>2</v>
      </c>
      <c r="HI21" s="54" t="str">
        <f t="shared" si="29"/>
        <v>-</v>
      </c>
      <c r="HJ21" s="54" t="str">
        <f t="shared" si="30"/>
        <v>-</v>
      </c>
      <c r="HK21" s="8">
        <f>COUNTIFS('Raw data'!$D:$D,"*Dylan Tambe*", 'Raw data'!$Y:$Y,"*1st*",'Raw data'!$K:$K,"*1v1 defense*")</f>
        <v>0</v>
      </c>
      <c r="HL21" s="8">
        <f>COUNTIFS('Raw data'!$D:$D,"*Dylan Tambe*", 'Raw data'!$Y:$Y,"*1st*",'Raw data'!$K:$K,"*1v1 defense*",'Raw data'!$M:$M,"*Duel Succeeded*")</f>
        <v>0</v>
      </c>
      <c r="HM21" s="8">
        <f>COUNTIFS('Raw data'!$D:$D,"*Dylan Tambe*", 'Raw data'!$Y:$Y,"*1st*",'Raw data'!$K:$K,"*1v1 defense*",'Raw data'!$M:$M,"*Duel Unsucceeded*")</f>
        <v>0</v>
      </c>
      <c r="HN21" s="54" t="str">
        <f t="shared" si="31"/>
        <v>-</v>
      </c>
      <c r="HO21" s="54" t="str">
        <f t="shared" si="32"/>
        <v>-</v>
      </c>
      <c r="HP21" s="8">
        <f>COUNTIFS('Raw data'!$D:$D,"*Dylan Tambe*", 'Raw data'!$Y:$Y,"*1st*",'Raw data'!$J:$J,"*Tackles*")</f>
        <v>0</v>
      </c>
      <c r="HQ21" s="8">
        <f>COUNTIFS('Raw data'!$D:$D,"*Dylan Tambe*", 'Raw data'!$Y:$Y,"*1st*",'Raw data'!$J:$J,"*Tackles*", 'Raw data'!$M:$M,"*Duel Succeeded*")</f>
        <v>0</v>
      </c>
      <c r="HR21" s="8">
        <f>COUNTIFS('Raw data'!$D:$D,"*Dylan Tambe*", 'Raw data'!$Y:$Y,"*1st*",'Raw data'!$J:$J,"*Tackles*", 'Raw data'!$M:$M,"*Duel Unsucceeded*")</f>
        <v>0</v>
      </c>
      <c r="HS21" s="54" t="str">
        <f t="shared" si="33"/>
        <v>-</v>
      </c>
      <c r="HT21" s="54" t="str">
        <f t="shared" si="34"/>
        <v>-</v>
      </c>
      <c r="HU21" s="8">
        <f>COUNTIFS('Raw data'!$D:$D,"*Dylan Tambe*", 'Raw data'!$Y:$Y,"*1st*",'Raw data'!$K:$K,"*2nd Balls*")</f>
        <v>0</v>
      </c>
      <c r="HV21" s="8">
        <f>COUNTIFS('Raw data'!$D:$D,"*Dylan Tambe*", 'Raw data'!$Y:$Y,"*1st*",'Raw data'!$K:$K,"*2nd Balls*", 'Raw data'!$M:$M,"*Duel Succeeded*")</f>
        <v>0</v>
      </c>
      <c r="HW21" s="8">
        <f>COUNTIFS('Raw data'!$D:$D,"*Dylan Tambe*", 'Raw data'!$Y:$Y,"*1st*",'Raw data'!$K:$K,"*2nd Balls*", 'Raw data'!$M:$M,"*Duel Unsucceeded*")</f>
        <v>0</v>
      </c>
      <c r="HX21" s="54" t="str">
        <f t="shared" si="35"/>
        <v>-</v>
      </c>
      <c r="HY21" s="54" t="str">
        <f t="shared" si="36"/>
        <v>-</v>
      </c>
      <c r="HZ21" s="8">
        <f>COUNTIFS('Raw data'!$D:$D,"*Dylan Tambe*", 'Raw data'!$Y:$Y,"*1st*",'Raw data'!$J:$J,"*Clearance*")</f>
        <v>0</v>
      </c>
      <c r="IA21" s="8">
        <f>COUNTIFS('Raw data'!$D:$D,"*Dylan Tambe*", 'Raw data'!$Y:$Y,"*1st*",'Raw data'!$J:$J,"*Interception*")</f>
        <v>1</v>
      </c>
      <c r="IB21" s="8">
        <f>COUNTIFS('Raw data'!$D:$D,"*Dylan Tambe*", 'Raw data'!$Y:$Y,"*1st*",'Raw data'!$J:$J,"*Turnover Won*")</f>
        <v>1</v>
      </c>
      <c r="IC21" s="8">
        <f>COUNTIFS('Raw data'!$D:$D,"*Dylan Tambe*", 'Raw data'!$Y:$Y,"*1st*",'Raw data'!$J:$J,"*Recovery*")</f>
        <v>0</v>
      </c>
      <c r="ID21" s="8">
        <f>COUNTIFS('Raw data'!$D:$D,"*Dylan Tambe*", 'Raw data'!$Y:$Y,"*1st*",'Raw data'!$J:$J,"*Blocked Shots*")</f>
        <v>0</v>
      </c>
      <c r="IE21" s="8">
        <f>COUNTIFS('Raw data'!$D:$D,"*Dylan Tambe*", 'Raw data'!$Y:$Y,"*1st*",'Raw data'!$J:$J,"*Man-marking*")</f>
        <v>0</v>
      </c>
      <c r="IF21" s="8">
        <f>COUNTIFS('Raw data'!$D:$D,"*Dylan Tambe*", 'Raw data'!$Y:$Y,"*1st*",'Raw data'!$J:$J,"*Fouls*")</f>
        <v>0</v>
      </c>
      <c r="IG21" s="8">
        <f>COUNTIFS('Raw data'!$D:$D,"*Dylan Tambe*", 'Raw data'!$Y:$Y,"*1st*",'Raw data'!$J:$J,"*Won F*")</f>
        <v>0</v>
      </c>
      <c r="IH21" s="8">
        <f>COUNTIFS('Raw data'!$D:$D,"*Dylan Tambe*", 'Raw data'!$Y:$Y,"*1st*",'Raw data'!$G:$G,"*1v1*")</f>
        <v>0</v>
      </c>
      <c r="II21" s="8">
        <f>COUNTIFS('Raw data'!$D:$D,"*Dylan Tambe*", 'Raw data'!$Y:$Y,"*1st*",'Raw data'!$G:$G,"*On Target*")</f>
        <v>0</v>
      </c>
      <c r="IJ21" s="8">
        <f>COUNTIFS('Raw data'!$D:$D,"*Dylan Tambe*", 'Raw data'!$Y:$Y,"*1st*",'Raw data'!$G:$G,"*Off Target*")</f>
        <v>0</v>
      </c>
      <c r="IK21" s="8">
        <f>COUNTIFS('Raw data'!$D:$D,"*Dylan Tambe*", 'Raw data'!$Y:$Y,"*1st*",'Raw data'!$G:$G,"*Defend the Space*")</f>
        <v>0</v>
      </c>
      <c r="IL21" s="8">
        <f>COUNTIFS('Raw data'!$D:$D,"*Dylan Tambe*", 'Raw data'!$Y:$Y,"*1st*",'Raw data'!$G:$G,"*Conceded*")</f>
        <v>0</v>
      </c>
      <c r="IM21" s="8">
        <f>COUNTIFS('Raw data'!$D:$D,"*Dylan Tambe*", 'Raw data'!$Y:$Y,"*1st*",'Raw data'!$G:$G,"*Save*")</f>
        <v>0</v>
      </c>
      <c r="IN21" s="8">
        <f>COUNTIFS('Raw data'!$D:$D,"*Dylan Tambe*", 'Raw data'!$Y:$Y,"*1st*",'Raw data'!$G:$G,"*Defend the line (Cross)*")</f>
        <v>0</v>
      </c>
      <c r="IO21" s="8">
        <f>COUNTIFS('Raw data'!$D:$D,"*Dylan Tambe*", 'Raw data'!$Y:$Y,"*1st*",'Raw data'!$G:$G,"*Counter Kick*")</f>
        <v>0</v>
      </c>
      <c r="IP21" t="s">
        <v>783</v>
      </c>
    </row>
    <row r="22" spans="2:250">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DW22" t="s">
        <v>462</v>
      </c>
      <c r="DX22" t="s">
        <v>795</v>
      </c>
      <c r="DY22">
        <v>40</v>
      </c>
      <c r="DZ22" t="s">
        <v>539</v>
      </c>
      <c r="EA22">
        <f t="shared" si="0"/>
        <v>9</v>
      </c>
      <c r="EB22" s="8">
        <f t="shared" si="37"/>
        <v>5</v>
      </c>
      <c r="EC22" s="8">
        <f t="shared" si="38"/>
        <v>4</v>
      </c>
      <c r="ED22" s="54">
        <f t="shared" si="1"/>
        <v>0.55555555555555558</v>
      </c>
      <c r="EE22" s="54">
        <f t="shared" si="2"/>
        <v>0.44444444444444442</v>
      </c>
      <c r="EF22">
        <f t="shared" si="39"/>
        <v>5</v>
      </c>
      <c r="EG22">
        <f>COUNTIFS('Raw data'!$D:$D,"*Jeffrey Sam-Deekue*", 'Raw data'!$Y:$Y,"*1st*",'Raw data'!$I:$I,"*Forward Pass*",'Raw data'!$M:$M,"*Pass completed*")</f>
        <v>1</v>
      </c>
      <c r="EH22">
        <f>COUNTIFS('Raw data'!$D:$D,"*Jeffrey Sam-Deekue*", 'Raw data'!$Y:$Y,"*1st*",'Raw data'!$I:$I,"*Forward Pass*",'Raw data'!$M:$M,"*Pass Uncompleted*")</f>
        <v>4</v>
      </c>
      <c r="EI22" s="54">
        <f t="shared" si="3"/>
        <v>0.2</v>
      </c>
      <c r="EJ22" s="54">
        <f t="shared" si="4"/>
        <v>0.8</v>
      </c>
      <c r="EK22">
        <f t="shared" si="40"/>
        <v>1</v>
      </c>
      <c r="EL22" s="8">
        <f>COUNTIFS('Raw data'!$D:$D,"*Jeffrey Sam-Deekue*", 'Raw data'!$Y:$Y,"*1st*",'Raw data'!$I:$I,"*Lateral Pass*",'Raw data'!$M:$M,"*Pass completed*")</f>
        <v>1</v>
      </c>
      <c r="EM22" s="8">
        <f>COUNTIFS('Raw data'!$D:$D,"*Jeffrey Sam-Deekue*", 'Raw data'!$Y:$Y,"*1st*",'Raw data'!$I:$I,"*Lateral Pass*",'Raw data'!$M:$M,"*Pass Uncompleted*")</f>
        <v>0</v>
      </c>
      <c r="EN22" s="54">
        <f t="shared" si="5"/>
        <v>1</v>
      </c>
      <c r="EO22" s="54">
        <f t="shared" si="6"/>
        <v>0</v>
      </c>
      <c r="EP22">
        <f t="shared" si="41"/>
        <v>3</v>
      </c>
      <c r="EQ22" s="8">
        <f>COUNTIFS('Raw data'!$D:$D,"*Jeffrey Sam-Deekue*", 'Raw data'!$Y:$Y,"*1st*",'Raw data'!$I:$I,"*Backward Pass*",'Raw data'!$M:$M,"*Pass completed*")</f>
        <v>3</v>
      </c>
      <c r="ER22" s="8">
        <f>COUNTIFS('Raw data'!$D:$D,"*Jeffrey Sam-Deekue*", 'Raw data'!$Y:$Y,"*1st*",'Raw data'!$I:$I,"*Backward Pass*",'Raw data'!$M:$M,"*Pass Uncompleted*")</f>
        <v>0</v>
      </c>
      <c r="ES22" s="54">
        <f t="shared" si="7"/>
        <v>1</v>
      </c>
      <c r="ET22" s="54">
        <f t="shared" si="8"/>
        <v>0</v>
      </c>
      <c r="EU22" s="8">
        <f>COUNTIFS('Raw data'!$D:$D,"*Jeffrey Sam-Deekue*", 'Raw data'!$Y:$Y,"*1st*",'Raw data'!$I:$I,"*Long Kick*")</f>
        <v>0</v>
      </c>
      <c r="EV22" s="8">
        <f>COUNTIFS('Raw data'!$D:$D,"*Jeffrey Sam-Deekue*", 'Raw data'!$Y:$Y,"*1st*",'Raw data'!$I:$I,"*Long Kick*",'Raw data'!$M:$M,"*Pass completed*")</f>
        <v>0</v>
      </c>
      <c r="EW22" s="8">
        <f>COUNTIFS('Raw data'!$D:$D,"*Jeffrey Sam-Deekue*", 'Raw data'!$Y:$Y,"*1st*",'Raw data'!$I:$I,"*Long Kick*",'Raw data'!$M:$M,"*Pass Uncompleted*")</f>
        <v>0</v>
      </c>
      <c r="EX22" s="54" t="str">
        <f t="shared" si="9"/>
        <v>-</v>
      </c>
      <c r="EY22" s="54" t="str">
        <f t="shared" si="10"/>
        <v>-</v>
      </c>
      <c r="EZ22" s="8">
        <f>COUNTIFS('Raw data'!$D:$D,"*Jeffrey Sam-Deekue*", 'Raw data'!$Y:$Y,"*1st*",'Raw data'!$I:$I,"*Balls in Behind*")</f>
        <v>0</v>
      </c>
      <c r="FA22" s="8">
        <f>COUNTIFS('Raw data'!$D:$D,"*Jeffrey Sam-Deekue*", 'Raw data'!$Y:$Y,"*1st*",'Raw data'!$I:$I,"*Balls in Behind*",'Raw data'!$M:$M,"*Pass completed*")</f>
        <v>0</v>
      </c>
      <c r="FB22" s="8">
        <f>COUNTIFS('Raw data'!$D:$D,"*Jeffrey Sam-Deekue*", 'Raw data'!$Y:$Y,"*1st*",'Raw data'!$I:$I,"*Balls in Behind*",'Raw data'!$M:$M,"*Pass Uncompleted*")</f>
        <v>0</v>
      </c>
      <c r="FC22" s="54" t="str">
        <f t="shared" si="11"/>
        <v>-</v>
      </c>
      <c r="FD22" s="54" t="str">
        <f t="shared" si="12"/>
        <v>-</v>
      </c>
      <c r="FE22" s="8">
        <f>COUNTIFS('Raw data'!$D:$D,"*Jeffrey Sam-Deekue*", 'Raw data'!$Y:$Y,"*1st*",'Raw data'!$I:$I,"*Key/Through pass*")</f>
        <v>0</v>
      </c>
      <c r="FF22" s="8">
        <f>COUNTIFS('Raw data'!$D:$D,"*Jeffrey Sam-Deekue*", 'Raw data'!$Y:$Y,"*1st*",'Raw data'!$I:$I,"*Diagonal pass*")</f>
        <v>0</v>
      </c>
      <c r="FG22" s="8">
        <f>COUNTIFS('Raw data'!$D:$D,"*Jeffrey Sam-Deekue*", 'Raw data'!$Y:$Y,"*1st*",'Raw data'!$I:$I,"*Diagonal pass*",'Raw data'!$M:$M,"*Pass completed*")</f>
        <v>0</v>
      </c>
      <c r="FH22" s="8">
        <f>COUNTIFS('Raw data'!$D:$D,"*Jeffrey Sam-Deekue*", 'Raw data'!$Y:$Y,"*1st*",'Raw data'!$I:$I,"*Diagonal pass*",'Raw data'!$M:$M,"*Pass Uncompleted*")</f>
        <v>0</v>
      </c>
      <c r="FI22" s="54" t="str">
        <f t="shared" si="13"/>
        <v>-</v>
      </c>
      <c r="FJ22" s="54" t="str">
        <f t="shared" si="14"/>
        <v>-</v>
      </c>
      <c r="FK22" s="8">
        <f>COUNTIFS('Raw data'!$D:$D,"*Jeffrey Sam-Deekue*", 'Raw data'!$Y:$Y,"*1st*",'Raw data'!$M:$M,"*Pass Received*")</f>
        <v>11</v>
      </c>
      <c r="FL22" s="8">
        <f>COUNTIFS('Raw data'!$D:$D,"*Jeffrey Sam-Deekue*", 'Raw data'!$Y:$Y,"*1st*",'Raw data'!$M:$M,"*Pass Completed*",'Raw data'!$M:$M,"*Pass Received*")</f>
        <v>3</v>
      </c>
      <c r="FM22" s="8">
        <f>COUNTIFS('Raw data'!$D:$D,"*Jeffrey Sam-Deekue*", 'Raw data'!$Y:$Y,"*1st*",'Raw data'!$M:$M,"*Pass Uncompleted*",'Raw data'!$M:$M,"*Pass Received*")</f>
        <v>6</v>
      </c>
      <c r="FN22" s="8">
        <f>COUNTIFS('Raw data'!$D:$D,"*Jeffrey Sam-Deekue*", 'Raw data'!$Y:$Y,"*1st*",'Raw data'!$M:$M,"*Kept Possession*",'Raw data'!$M:$M,"*Pass Received*")</f>
        <v>2</v>
      </c>
      <c r="FO22" s="8">
        <f>COUNTIFS('Raw data'!$D:$D,"*Jeffrey Sam-Deekue*", 'Raw data'!$Y:$Y,"*1st*",'Raw data'!$M:$M,"*Lost Possession*")</f>
        <v>1</v>
      </c>
      <c r="FP22" s="8">
        <f>COUNTIFS('Raw data'!$D:$D,"*Jeffrey Sam-Deekue*", 'Raw data'!$Y:$Y,"*1st*",'Raw data'!$M:$M,"*Lost Possession*",'Raw data'!$M:$M,"*Lost Final 1/3*")</f>
        <v>1</v>
      </c>
      <c r="FQ22" s="8">
        <f>COUNTIFS('Raw data'!$D:$D,"*Jeffrey Sam-Deekue*", 'Raw data'!$Y:$Y,"*1st*",'Raw data'!$M:$M,"*Lost Possession*",'Raw data'!$M:$M,"*Lost Middle 1/3*")</f>
        <v>0</v>
      </c>
      <c r="FR22" s="8">
        <f>COUNTIFS('Raw data'!$D:$D,"*Jeffrey Sam-Deekue*", 'Raw data'!$Y:$Y,"*1st*",'Raw data'!$M:$M,"*Lost Possession*",'Raw data'!$M:$M,"*Lost Own 1/3*")</f>
        <v>0</v>
      </c>
      <c r="FS22" s="8">
        <f>COUNTIFS('Raw data'!$D:$D,"*Jeffrey Sam-Deekue*", 'Raw data'!$Y:$Y,"*1st*",'Raw data'!$H:$H,"*Touches in the Box*")</f>
        <v>2</v>
      </c>
      <c r="FT22" s="8">
        <f>COUNTIFS('Raw data'!$D:$D,"*Jeffrey Sam-Deekue*", 'Raw data'!$Y:$Y,"*1st*",'Raw data'!$H:$H,"*1v1 Attack*")</f>
        <v>1</v>
      </c>
      <c r="FU22" s="8">
        <f>COUNTIFS('Raw data'!$D:$D,"*Jeffrey Sam-Deekue*", 'Raw data'!$Y:$Y,"*1st*",'Raw data'!$H:$H,"*1v1 Attack*",'Raw data'!$H:$H,"*1v1 Attack*",'Raw data'!$M:$M,"*Kept Possession*")</f>
        <v>1</v>
      </c>
      <c r="FV22" s="8">
        <f>COUNTIFS('Raw data'!$D:$D,"*Jeffrey Sam-Deekue*", 'Raw data'!$Y:$Y,"*1st*",'Raw data'!$H:$H,"*1v1 Attack*",'Raw data'!$H:$H,"*1v1 Attack*",'Raw data'!$M:$M,"*Lost Possession*")</f>
        <v>0</v>
      </c>
      <c r="FW22" s="54">
        <f t="shared" si="15"/>
        <v>1</v>
      </c>
      <c r="FX22" s="54">
        <f t="shared" si="16"/>
        <v>0</v>
      </c>
      <c r="FY22" s="8">
        <f>COUNTIFS('Raw data'!$D:$D,"*Jeffrey Sam-Deekue*", 'Raw data'!$Y:$Y,"*1st*",'Raw data'!$I:$I,"*Cross*")</f>
        <v>2</v>
      </c>
      <c r="FZ22" s="8">
        <f>COUNTIFS('Raw data'!$D:$D,"*Jeffrey Sam-Deekue*", 'Raw data'!$Y:$Y,"*1st*",'Raw data'!$I:$I,"*Cross*",'Raw data'!$M:$M,"*Pass Completed*")</f>
        <v>0</v>
      </c>
      <c r="GA22" s="8">
        <f>COUNTIFS('Raw data'!$D:$D,"*Jeffrey Sam-Deekue*", 'Raw data'!$Y:$Y,"*1st*",'Raw data'!$I:$I,"*Cross*",'Raw data'!$M:$M,"*Pass Uncompleted*")</f>
        <v>2</v>
      </c>
      <c r="GB22" s="54">
        <f t="shared" si="17"/>
        <v>0</v>
      </c>
      <c r="GC22" s="54">
        <f t="shared" si="18"/>
        <v>1</v>
      </c>
      <c r="GD22" s="8">
        <f t="shared" si="19"/>
        <v>1</v>
      </c>
      <c r="GE22" s="8">
        <f>COUNTIFS('Raw data'!$D:$D,"*Jeffrey Sam-Deekue*", 'Raw data'!$Y:$Y,"*1st*",'Raw data'!$L:$L,"*On Target*")</f>
        <v>0</v>
      </c>
      <c r="GF22" s="8">
        <f>COUNTIFS('Raw data'!$D:$D,"*Jeffrey Sam-Deekue*", 'Raw data'!$Y:$Y,"*1st*",'Raw data'!$L:$L,"*Off Target*")</f>
        <v>1</v>
      </c>
      <c r="GG22" s="8">
        <f>COUNTIFS('Raw data'!$D:$D,"*Jeffrey Sam-Deekue*", 'Raw data'!$Y:$Y,"*1st*",'Raw data'!$L:$L,"*Blocked*")</f>
        <v>0</v>
      </c>
      <c r="GH22" s="8">
        <f>COUNTIFS('Raw data'!$D:$D,"*Jeffrey Sam-Deekue*", 'Raw data'!$Y:$Y,"*1st*",'Raw data'!$M:$M,"*Goal*")</f>
        <v>0</v>
      </c>
      <c r="GI22" s="8">
        <f>COUNTIFS('Raw data'!$D:$D,"*Jeffrey Sam-Deekue*", 'Raw data'!$Y:$Y,"*1st*",'Raw data'!$M:$M,"*Assist*")</f>
        <v>0</v>
      </c>
      <c r="GJ22" s="8">
        <f>COUNTIFS('Raw data'!$D:$D,"*Jeffrey Sam-Deekue*", 'Raw data'!$Y:$Y,"*1st*",'Raw data'!$H:$H,"*Offensive duel*")</f>
        <v>1</v>
      </c>
      <c r="GK22" s="8">
        <f>COUNTIFS('Raw data'!$D:$D,"*Jeffrey Sam-Deekue*", 'Raw data'!$Y:$Y,"*1st*",'Raw data'!$H:$H,"*Offensive Duel*",'Raw data'!$H:$H,"*Offensive Duel*",'Raw data'!$M:$M,"*Kept Possession*")</f>
        <v>1</v>
      </c>
      <c r="GL22" s="8">
        <f>COUNTIFS('Raw data'!$D:$D,"*Jeffrey Sam-Deekue*", 'Raw data'!$Y:$Y,"*1st*",'Raw data'!$H:$H,"*Offensive Duel*",'Raw data'!$H:$H,"*Offensive Duel*",'Raw data'!$M:$M,"*Lost Possession*")</f>
        <v>0</v>
      </c>
      <c r="GM22" s="54">
        <f t="shared" si="20"/>
        <v>1</v>
      </c>
      <c r="GN22" s="54">
        <f t="shared" si="21"/>
        <v>0</v>
      </c>
      <c r="GO22" s="8">
        <f>COUNTIFS('Raw data'!$D:$D,"*Jeffrey Sam-Deekue*", 'Raw data'!$Y:$Y,"*1st*",'Raw data'!$H:$H,"*Acceleration*")</f>
        <v>0</v>
      </c>
      <c r="GP22" s="8">
        <f>COUNTIFS('Raw data'!$D:$D,"*Jeffrey Sam-Deekue*", 'Raw data'!$Y:$Y,"*1st*",'Raw data'!$H:$H,"*Move into Pocket*")</f>
        <v>0</v>
      </c>
      <c r="GQ22" s="8">
        <f>COUNTIFS('Raw data'!$D:$D,"*Jeffrey Sam-Deekue*", 'Raw data'!$Y:$Y,"*1st*",'Raw data'!$H:$H,"*Wide area*")</f>
        <v>6</v>
      </c>
      <c r="GR22" s="8">
        <f>COUNTIFS('Raw data'!$D:$D,"*Jeffrey Sam-Deekue*", 'Raw data'!$Y:$Y,"*1st*",'Raw data'!$H:$H,"*Back to goal*")</f>
        <v>0</v>
      </c>
      <c r="GS22" s="8">
        <f>COUNTIFS('Raw data'!$D:$D,"*Jeffrey Sam-Deekue*", 'Raw data'!$Y:$Y,"*1st*",'Raw data'!$H:$H,"*Over/Underlaps*")</f>
        <v>0</v>
      </c>
      <c r="GT22" s="8">
        <f>COUNTIFS('Raw data'!$D:$D,"*Jeffrey Sam-Deekue*", 'Raw data'!$Y:$Y,"*1st*",'Raw data'!$H:$H,"*Runs in Behind*")</f>
        <v>1</v>
      </c>
      <c r="GU22" s="8">
        <f>COUNTIFS('Raw data'!$D:$D,"*Jeffrey Sam-Deekue*", 'Raw data'!$Y:$Y,"*1st*",'Raw data'!$H:$H,"*Half-space Runs*")</f>
        <v>0</v>
      </c>
      <c r="GV22" s="8">
        <f t="shared" si="22"/>
        <v>3</v>
      </c>
      <c r="GW22" s="8">
        <f t="shared" si="23"/>
        <v>1</v>
      </c>
      <c r="GX22" s="8">
        <f t="shared" si="24"/>
        <v>2</v>
      </c>
      <c r="GY22" s="54">
        <f t="shared" si="25"/>
        <v>0.33333333333333331</v>
      </c>
      <c r="GZ22" s="54">
        <f t="shared" si="26"/>
        <v>0.66666666666666663</v>
      </c>
      <c r="HA22" s="8">
        <f>COUNTIFS('Raw data'!$D:$D,"*Jeffrey Sam-Deekue*", 'Raw data'!$Y:$Y,"*1st*",'Raw data'!$K:$K,"*Ground duel*")</f>
        <v>2</v>
      </c>
      <c r="HB22" s="8">
        <f>COUNTIFS('Raw data'!$D:$D,"*Jeffrey Sam-Deekue*", 'Raw data'!$Y:$Y,"*1st*",'Raw data'!$K:$K,"*Ground duel*",'Raw data'!$M:$M,"*Duel Succeeded*")</f>
        <v>0</v>
      </c>
      <c r="HC22" s="8">
        <f>COUNTIFS('Raw data'!$D:$D,"*Jeffrey Sam-Deekue*", 'Raw data'!$Y:$Y,"*1st*",'Raw data'!$K:$K,"*Ground duel*",'Raw data'!$M:$M,"*Duel Unsucceeded*")</f>
        <v>2</v>
      </c>
      <c r="HD22" s="54">
        <f t="shared" si="27"/>
        <v>0</v>
      </c>
      <c r="HE22" s="54">
        <f t="shared" si="28"/>
        <v>1</v>
      </c>
      <c r="HF22" s="8">
        <f>COUNTIFS('Raw data'!$D:$D,"*Jeffrey Sam-Deekue*", 'Raw data'!$Y:$Y,"*1st*",'Raw data'!$K:$K,"*Aerial duel*")</f>
        <v>0</v>
      </c>
      <c r="HG22" s="8">
        <f>COUNTIFS('Raw data'!$D:$D,"*Jeffrey Sam-Deekue*", 'Raw data'!$Y:$Y,"*1st*",'Raw data'!$K:$K,"*Aerial duel*",'Raw data'!$M:$M,"*Duel Succeeded*")</f>
        <v>0</v>
      </c>
      <c r="HH22" s="8">
        <f>COUNTIFS('Raw data'!$D:$D,"*Jeffrey Sam-Deekue*", 'Raw data'!$Y:$Y,"*1st*",'Raw data'!$K:$K,"*Aerial duel*",'Raw data'!$M:$M,"*Duel Unsucceeded*")</f>
        <v>0</v>
      </c>
      <c r="HI22" s="54" t="str">
        <f t="shared" si="29"/>
        <v>-</v>
      </c>
      <c r="HJ22" s="54" t="str">
        <f t="shared" si="30"/>
        <v>-</v>
      </c>
      <c r="HK22" s="8">
        <f>COUNTIFS('Raw data'!$D:$D,"*Jeffrey Sam-Deekue*", 'Raw data'!$Y:$Y,"*1st*",'Raw data'!$K:$K,"*1v1 defense*")</f>
        <v>0</v>
      </c>
      <c r="HL22" s="8">
        <f>COUNTIFS('Raw data'!$D:$D,"*Jeffrey Sam-Deekue*", 'Raw data'!$Y:$Y,"*1st*",'Raw data'!$K:$K,"*1v1 defense*",'Raw data'!$M:$M,"*Duel Succeeded*")</f>
        <v>0</v>
      </c>
      <c r="HM22" s="8">
        <f>COUNTIFS('Raw data'!$D:$D,"*Jeffrey Sam-Deekue*", 'Raw data'!$Y:$Y,"*1st*",'Raw data'!$K:$K,"*1v1 defense*",'Raw data'!$M:$M,"*Duel Unsucceeded*")</f>
        <v>0</v>
      </c>
      <c r="HN22" s="54" t="str">
        <f t="shared" si="31"/>
        <v>-</v>
      </c>
      <c r="HO22" s="54" t="str">
        <f t="shared" si="32"/>
        <v>-</v>
      </c>
      <c r="HP22" s="8">
        <f>COUNTIFS('Raw data'!$D:$D,"*Jeffrey Sam-Deekue*", 'Raw data'!$Y:$Y,"*1st*",'Raw data'!$J:$J,"*Tackles*")</f>
        <v>0</v>
      </c>
      <c r="HQ22" s="8">
        <f>COUNTIFS('Raw data'!$D:$D,"*Jeffrey Sam-Deekue*", 'Raw data'!$Y:$Y,"*1st*",'Raw data'!$J:$J,"*Tackles*", 'Raw data'!$M:$M,"*Duel Succeeded*")</f>
        <v>0</v>
      </c>
      <c r="HR22" s="8">
        <f>COUNTIFS('Raw data'!$D:$D,"*Jeffrey Sam-Deekue*", 'Raw data'!$Y:$Y,"*1st*",'Raw data'!$J:$J,"*Tackles*", 'Raw data'!$M:$M,"*Duel Unsucceeded*")</f>
        <v>0</v>
      </c>
      <c r="HS22" s="54" t="str">
        <f t="shared" si="33"/>
        <v>-</v>
      </c>
      <c r="HT22" s="54" t="str">
        <f t="shared" si="34"/>
        <v>-</v>
      </c>
      <c r="HU22" s="8">
        <f>COUNTIFS('Raw data'!$D:$D,"*Jeffrey Sam-Deekue*", 'Raw data'!$Y:$Y,"*1st*",'Raw data'!$K:$K,"*2nd Balls*")</f>
        <v>1</v>
      </c>
      <c r="HV22" s="8">
        <f>COUNTIFS('Raw data'!$D:$D,"*Jeffrey Sam-Deekue*", 'Raw data'!$Y:$Y,"*1st*",'Raw data'!$K:$K,"*2nd Balls*", 'Raw data'!$M:$M,"*Duel Succeeded*")</f>
        <v>0</v>
      </c>
      <c r="HW22" s="8">
        <f>COUNTIFS('Raw data'!$D:$D,"*Jeffrey Sam-Deekue*", 'Raw data'!$Y:$Y,"*1st*",'Raw data'!$K:$K,"*2nd Balls*", 'Raw data'!$M:$M,"*Duel Unsucceeded*")</f>
        <v>1</v>
      </c>
      <c r="HX22" s="54">
        <f t="shared" si="35"/>
        <v>0</v>
      </c>
      <c r="HY22" s="54">
        <f t="shared" si="36"/>
        <v>1</v>
      </c>
      <c r="HZ22" s="8">
        <f>COUNTIFS('Raw data'!$D:$D,"*Jeffrey Sam-Deekue*", 'Raw data'!$Y:$Y,"*1st*",'Raw data'!$J:$J,"*Clearance*")</f>
        <v>0</v>
      </c>
      <c r="IA22" s="8">
        <f>COUNTIFS('Raw data'!$D:$D,"*Jeffrey Sam-Deekue*", 'Raw data'!$Y:$Y,"*1st*",'Raw data'!$J:$J,"*Interception*")</f>
        <v>0</v>
      </c>
      <c r="IB22" s="8">
        <f>COUNTIFS('Raw data'!$D:$D,"*Jeffrey Sam-Deekue*", 'Raw data'!$Y:$Y,"*1st*",'Raw data'!$J:$J,"*Turnover Won*")</f>
        <v>2</v>
      </c>
      <c r="IC22" s="8">
        <f>COUNTIFS('Raw data'!$D:$D,"*Jeffrey Sam-Deekue*", 'Raw data'!$Y:$Y,"*1st*",'Raw data'!$J:$J,"*Recovery*")</f>
        <v>1</v>
      </c>
      <c r="ID22" s="8">
        <f>COUNTIFS('Raw data'!$D:$D,"*Jeffrey Sam-Deekue*", 'Raw data'!$Y:$Y,"*1st*",'Raw data'!$J:$J,"*Blocked Shots*")</f>
        <v>0</v>
      </c>
      <c r="IE22" s="8">
        <f>COUNTIFS('Raw data'!$D:$D,"*Jeffrey Sam-Deekue*", 'Raw data'!$Y:$Y,"*1st*",'Raw data'!$J:$J,"*Man-marking*")</f>
        <v>0</v>
      </c>
      <c r="IF22" s="8">
        <f>COUNTIFS('Raw data'!$D:$D,"*Jeffrey Sam-Deekue*", 'Raw data'!$Y:$Y,"*1st*",'Raw data'!$J:$J,"*Fouls*")</f>
        <v>1</v>
      </c>
      <c r="IG22" s="8">
        <f>COUNTIFS('Raw data'!$D:$D,"*Jeffrey Sam-Deekue*", 'Raw data'!$Y:$Y,"*1st*",'Raw data'!$J:$J,"*Won F*")</f>
        <v>0</v>
      </c>
      <c r="IH22" s="8">
        <f>COUNTIFS('Raw data'!$D:$D,"*Jeffrey Sam-Deekue*", 'Raw data'!$Y:$Y,"*1st*",'Raw data'!$G:$G,"*1v1*")</f>
        <v>0</v>
      </c>
      <c r="II22" s="8">
        <f>COUNTIFS('Raw data'!$D:$D,"*Jeffrey Sam-Deekue*", 'Raw data'!$Y:$Y,"*1st*",'Raw data'!$G:$G,"*On Target*")</f>
        <v>0</v>
      </c>
      <c r="IJ22" s="8">
        <f>COUNTIFS('Raw data'!$D:$D,"*Jeffrey Sam-Deekue*", 'Raw data'!$Y:$Y,"*1st*",'Raw data'!$G:$G,"*Off Target*")</f>
        <v>0</v>
      </c>
      <c r="IK22" s="8">
        <f>COUNTIFS('Raw data'!$D:$D,"*Jeffrey Sam-Deekue*", 'Raw data'!$Y:$Y,"*1st*",'Raw data'!$G:$G,"*Defend the Space*")</f>
        <v>0</v>
      </c>
      <c r="IL22" s="8">
        <f>COUNTIFS('Raw data'!$D:$D,"*Jeffrey Sam-Deekue*", 'Raw data'!$Y:$Y,"*1st*",'Raw data'!$G:$G,"*Conceded*")</f>
        <v>0</v>
      </c>
      <c r="IM22" s="8">
        <f>COUNTIFS('Raw data'!$D:$D,"*Jeffrey Sam-Deekue*", 'Raw data'!$Y:$Y,"*1st*",'Raw data'!$G:$G,"*Save*")</f>
        <v>0</v>
      </c>
      <c r="IN22" s="8">
        <f>COUNTIFS('Raw data'!$D:$D,"*Jeffrey Sam-Deekue*", 'Raw data'!$Y:$Y,"*1st*",'Raw data'!$G:$G,"*Defend the line (Cross)*")</f>
        <v>0</v>
      </c>
      <c r="IO22" s="8">
        <f>COUNTIFS('Raw data'!$D:$D,"*Jeffrey Sam-Deekue*", 'Raw data'!$Y:$Y,"*1st*",'Raw data'!$G:$G,"*Counter Kick*")</f>
        <v>0</v>
      </c>
      <c r="IP22" t="s">
        <v>795</v>
      </c>
    </row>
    <row r="23" spans="2:250">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DW23" t="s">
        <v>462</v>
      </c>
      <c r="DX23" t="s">
        <v>687</v>
      </c>
      <c r="DY23">
        <v>40</v>
      </c>
      <c r="DZ23" t="s">
        <v>643</v>
      </c>
      <c r="EA23">
        <f t="shared" si="0"/>
        <v>13</v>
      </c>
      <c r="EB23" s="8">
        <f t="shared" si="37"/>
        <v>7</v>
      </c>
      <c r="EC23" s="8">
        <f t="shared" si="38"/>
        <v>6</v>
      </c>
      <c r="ED23" s="54">
        <f t="shared" si="1"/>
        <v>0.53846153846153844</v>
      </c>
      <c r="EE23" s="54">
        <f t="shared" si="2"/>
        <v>0.46153846153846156</v>
      </c>
      <c r="EF23">
        <f t="shared" si="39"/>
        <v>5</v>
      </c>
      <c r="EG23">
        <f>COUNTIFS('Raw data'!$D:$D,"*Sebastian Bixby-Gutierrez*", 'Raw data'!$Y:$Y,"*1st*",'Raw data'!$I:$I,"*Forward Pass*",'Raw data'!$M:$M,"*Pass completed*")</f>
        <v>1</v>
      </c>
      <c r="EH23">
        <f>COUNTIFS('Raw data'!$D:$D,"*Sebastian Bixby-Gutierrez*", 'Raw data'!$Y:$Y,"*1st*",'Raw data'!$I:$I,"*Forward Pass*",'Raw data'!$M:$M,"*Pass Uncompleted*")</f>
        <v>4</v>
      </c>
      <c r="EI23" s="54">
        <f t="shared" si="3"/>
        <v>0.2</v>
      </c>
      <c r="EJ23" s="54">
        <f t="shared" si="4"/>
        <v>0.8</v>
      </c>
      <c r="EK23">
        <f t="shared" si="40"/>
        <v>2</v>
      </c>
      <c r="EL23" s="8">
        <f>COUNTIFS('Raw data'!$D:$D,"*Sebastian Bixby-Gutierrez*", 'Raw data'!$Y:$Y,"*1st*",'Raw data'!$I:$I,"*Lateral Pass*",'Raw data'!$M:$M,"*Pass completed*")</f>
        <v>1</v>
      </c>
      <c r="EM23" s="8">
        <f>COUNTIFS('Raw data'!$D:$D,"*Sebastian Bixby-Gutierrez*", 'Raw data'!$Y:$Y,"*1st*",'Raw data'!$I:$I,"*Lateral Pass*",'Raw data'!$M:$M,"*Pass Uncompleted*")</f>
        <v>1</v>
      </c>
      <c r="EN23" s="54">
        <f t="shared" si="5"/>
        <v>0.5</v>
      </c>
      <c r="EO23" s="54">
        <f t="shared" si="6"/>
        <v>0.5</v>
      </c>
      <c r="EP23">
        <f t="shared" si="41"/>
        <v>6</v>
      </c>
      <c r="EQ23" s="8">
        <f>COUNTIFS('Raw data'!$D:$D,"*Sebastian Bixby-Gutierrez*", 'Raw data'!$Y:$Y,"*1st*",'Raw data'!$I:$I,"*Backward Pass*",'Raw data'!$M:$M,"*Pass completed*")</f>
        <v>5</v>
      </c>
      <c r="ER23" s="8">
        <f>COUNTIFS('Raw data'!$D:$D,"*Sebastian Bixby-Gutierrez*", 'Raw data'!$Y:$Y,"*1st*",'Raw data'!$I:$I,"*Backward Pass*",'Raw data'!$M:$M,"*Pass Uncompleted*")</f>
        <v>1</v>
      </c>
      <c r="ES23" s="54">
        <f t="shared" si="7"/>
        <v>1</v>
      </c>
      <c r="ET23" s="54">
        <f t="shared" si="8"/>
        <v>0.2</v>
      </c>
      <c r="EU23" s="8">
        <f>COUNTIFS('Raw data'!$D:$D,"*Sebastian Bixby-Gutierrez*", 'Raw data'!$Y:$Y,"*1st*",'Raw data'!$I:$I,"*Long Kick*")</f>
        <v>1</v>
      </c>
      <c r="EV23" s="8">
        <f>COUNTIFS('Raw data'!$D:$D,"*Sebastian Bixby-Gutierrez*", 'Raw data'!$Y:$Y,"*1st*",'Raw data'!$I:$I,"*Long Kick*",'Raw data'!$M:$M,"*Pass completed*")</f>
        <v>0</v>
      </c>
      <c r="EW23" s="8">
        <f>COUNTIFS('Raw data'!$D:$D,"*Sebastian Bixby-Gutierrez*", 'Raw data'!$Y:$Y,"*1st*",'Raw data'!$I:$I,"*Long Kick*",'Raw data'!$M:$M,"*Pass Uncompleted*")</f>
        <v>1</v>
      </c>
      <c r="EX23" s="54">
        <f t="shared" si="9"/>
        <v>0</v>
      </c>
      <c r="EY23" s="54">
        <f t="shared" si="10"/>
        <v>1</v>
      </c>
      <c r="EZ23" s="8">
        <f>COUNTIFS('Raw data'!$D:$D,"*Sebastian Bixby-Gutierrez*", 'Raw data'!$Y:$Y,"*1st*",'Raw data'!$I:$I,"*Balls in Behind*")</f>
        <v>3</v>
      </c>
      <c r="FA23" s="8">
        <f>COUNTIFS('Raw data'!$D:$D,"*Sebastian Bixby-Gutierrez*", 'Raw data'!$Y:$Y,"*1st*",'Raw data'!$I:$I,"*Balls in Behind*",'Raw data'!$M:$M,"*Pass completed*")</f>
        <v>1</v>
      </c>
      <c r="FB23" s="8">
        <f>COUNTIFS('Raw data'!$D:$D,"*Sebastian Bixby-Gutierrez*", 'Raw data'!$Y:$Y,"*1st*",'Raw data'!$I:$I,"*Balls in Behind*",'Raw data'!$M:$M,"*Pass Uncompleted*")</f>
        <v>2</v>
      </c>
      <c r="FC23" s="54">
        <f t="shared" si="11"/>
        <v>0.33333333333333331</v>
      </c>
      <c r="FD23" s="54">
        <f t="shared" si="12"/>
        <v>0.66666666666666663</v>
      </c>
      <c r="FE23" s="8">
        <f>COUNTIFS('Raw data'!$D:$D,"*Sebastian Bixby-Gutierrez*", 'Raw data'!$Y:$Y,"*1st*",'Raw data'!$I:$I,"*Key/Through pass*")</f>
        <v>0</v>
      </c>
      <c r="FF23" s="8">
        <f>COUNTIFS('Raw data'!$D:$D,"*Sebastian Bixby-Gutierrez*", 'Raw data'!$Y:$Y,"*1st*",'Raw data'!$I:$I,"*Diagonal pass*")</f>
        <v>0</v>
      </c>
      <c r="FG23" s="8">
        <f>COUNTIFS('Raw data'!$D:$D,"*Sebastian Bixby-Gutierrez*", 'Raw data'!$Y:$Y,"*1st*",'Raw data'!$I:$I,"*Diagonal pass*",'Raw data'!$M:$M,"*Pass completed*")</f>
        <v>0</v>
      </c>
      <c r="FH23" s="8">
        <f>COUNTIFS('Raw data'!$D:$D,"*Sebastian Bixby-Gutierrez*", 'Raw data'!$Y:$Y,"*1st*",'Raw data'!$I:$I,"*Diagonal pass*",'Raw data'!$M:$M,"*Pass Uncompleted*")</f>
        <v>0</v>
      </c>
      <c r="FI23" s="54" t="str">
        <f t="shared" si="13"/>
        <v>-</v>
      </c>
      <c r="FJ23" s="54" t="str">
        <f t="shared" si="14"/>
        <v>-</v>
      </c>
      <c r="FK23" s="8">
        <f>COUNTIFS('Raw data'!$D:$D,"*Sebastian Bixby-Gutierrez*", 'Raw data'!$Y:$Y,"*1st*",'Raw data'!$M:$M,"*Pass Received*")</f>
        <v>8</v>
      </c>
      <c r="FL23" s="8">
        <f>COUNTIFS('Raw data'!$D:$D,"*Sebastian Bixby-Gutierrez*", 'Raw data'!$Y:$Y,"*1st*",'Raw data'!$M:$M,"*Pass Completed*",'Raw data'!$M:$M,"*Pass Received*")</f>
        <v>3</v>
      </c>
      <c r="FM23" s="8">
        <f>COUNTIFS('Raw data'!$D:$D,"*Sebastian Bixby-Gutierrez*", 'Raw data'!$Y:$Y,"*1st*",'Raw data'!$M:$M,"*Pass Uncompleted*",'Raw data'!$M:$M,"*Pass Received*")</f>
        <v>4</v>
      </c>
      <c r="FN23" s="8">
        <f>COUNTIFS('Raw data'!$D:$D,"*Sebastian Bixby-Gutierrez*", 'Raw data'!$Y:$Y,"*1st*",'Raw data'!$M:$M,"*Kept Possession*",'Raw data'!$M:$M,"*Pass Received*")</f>
        <v>2</v>
      </c>
      <c r="FO23" s="8">
        <f>COUNTIFS('Raw data'!$D:$D,"*Sebastian Bixby-Gutierrez*", 'Raw data'!$Y:$Y,"*1st*",'Raw data'!$M:$M,"*Lost Possession*")</f>
        <v>3</v>
      </c>
      <c r="FP23" s="8">
        <f>COUNTIFS('Raw data'!$D:$D,"*Sebastian Bixby-Gutierrez*", 'Raw data'!$Y:$Y,"*1st*",'Raw data'!$M:$M,"*Lost Possession*",'Raw data'!$M:$M,"*Lost Final 1/3*")</f>
        <v>2</v>
      </c>
      <c r="FQ23" s="8">
        <f>COUNTIFS('Raw data'!$D:$D,"*Sebastian Bixby-Gutierrez*", 'Raw data'!$Y:$Y,"*1st*",'Raw data'!$M:$M,"*Lost Possession*",'Raw data'!$M:$M,"*Lost Middle 1/3*")</f>
        <v>1</v>
      </c>
      <c r="FR23" s="8">
        <f>COUNTIFS('Raw data'!$D:$D,"*Sebastian Bixby-Gutierrez*", 'Raw data'!$Y:$Y,"*1st*",'Raw data'!$M:$M,"*Lost Possession*",'Raw data'!$M:$M,"*Lost Own 1/3*")</f>
        <v>0</v>
      </c>
      <c r="FS23" s="8">
        <f>COUNTIFS('Raw data'!$D:$D,"*Sebastian Bixby-Gutierrez*", 'Raw data'!$Y:$Y,"*1st*",'Raw data'!$H:$H,"*Touches in the Box*")</f>
        <v>4</v>
      </c>
      <c r="FT23" s="8">
        <f>COUNTIFS('Raw data'!$D:$D,"*Sebastian Bixby-Gutierrez*", 'Raw data'!$Y:$Y,"*1st*",'Raw data'!$H:$H,"*1v1 Attack*")</f>
        <v>0</v>
      </c>
      <c r="FU23" s="8">
        <f>COUNTIFS('Raw data'!$D:$D,"*Sebastian Bixby-Gutierrez*", 'Raw data'!$Y:$Y,"*1st*",'Raw data'!$H:$H,"*1v1 Attack*",'Raw data'!$H:$H,"*1v1 Attack*",'Raw data'!$M:$M,"*Kept Possession*")</f>
        <v>0</v>
      </c>
      <c r="FV23" s="8">
        <f>COUNTIFS('Raw data'!$D:$D,"*Sebastian Bixby-Gutierrez*", 'Raw data'!$Y:$Y,"*1st*",'Raw data'!$H:$H,"*1v1 Attack*",'Raw data'!$H:$H,"*1v1 Attack*",'Raw data'!$M:$M,"*Lost Possession*")</f>
        <v>0</v>
      </c>
      <c r="FW23" s="54" t="str">
        <f t="shared" si="15"/>
        <v>-</v>
      </c>
      <c r="FX23" s="54" t="str">
        <f t="shared" si="16"/>
        <v>-</v>
      </c>
      <c r="FY23" s="8">
        <f>COUNTIFS('Raw data'!$D:$D,"*Sebastian Bixby-Gutierrez*", 'Raw data'!$Y:$Y,"*1st*",'Raw data'!$I:$I,"*Cross*")</f>
        <v>0</v>
      </c>
      <c r="FZ23" s="8">
        <f>COUNTIFS('Raw data'!$D:$D,"*Sebastian Bixby-Gutierrez*", 'Raw data'!$Y:$Y,"*1st*",'Raw data'!$I:$I,"*Cross*",'Raw data'!$M:$M,"*Pass Completed*")</f>
        <v>0</v>
      </c>
      <c r="GA23" s="8">
        <f>COUNTIFS('Raw data'!$D:$D,"*Sebastian Bixby-Gutierrez*", 'Raw data'!$Y:$Y,"*1st*",'Raw data'!$I:$I,"*Cross*",'Raw data'!$M:$M,"*Pass Uncompleted*")</f>
        <v>0</v>
      </c>
      <c r="GB23" s="54" t="str">
        <f t="shared" si="17"/>
        <v>-</v>
      </c>
      <c r="GC23" s="54" t="str">
        <f t="shared" si="18"/>
        <v>-</v>
      </c>
      <c r="GD23" s="8">
        <f t="shared" si="19"/>
        <v>4</v>
      </c>
      <c r="GE23" s="8">
        <f>COUNTIFS('Raw data'!$D:$D,"*Sebastian Bixby-Gutierrez*", 'Raw data'!$Y:$Y,"*1st*",'Raw data'!$L:$L,"*On Target*")</f>
        <v>2</v>
      </c>
      <c r="GF23" s="8">
        <f>COUNTIFS('Raw data'!$D:$D,"*Sebastian Bixby-Gutierrez*", 'Raw data'!$Y:$Y,"*1st*",'Raw data'!$L:$L,"*Off Target*")</f>
        <v>0</v>
      </c>
      <c r="GG23" s="8">
        <f>COUNTIFS('Raw data'!$D:$D,"*Sebastian Bixby-Gutierrez*", 'Raw data'!$Y:$Y,"*1st*",'Raw data'!$L:$L,"*Blocked*")</f>
        <v>2</v>
      </c>
      <c r="GH23" s="8">
        <f>COUNTIFS('Raw data'!$D:$D,"*Sebastian Bixby-Gutierrez*", 'Raw data'!$Y:$Y,"*1st*",'Raw data'!$M:$M,"*Goal*")</f>
        <v>2</v>
      </c>
      <c r="GI23" s="8">
        <f>COUNTIFS('Raw data'!$D:$D,"*Sebastian Bixby-Gutierrez*", 'Raw data'!$Y:$Y,"*1st*",'Raw data'!$M:$M,"*Assist*")</f>
        <v>0</v>
      </c>
      <c r="GJ23" s="8">
        <f>COUNTIFS('Raw data'!$D:$D,"*Sebastian Bixby-Gutierrez*", 'Raw data'!$Y:$Y,"*1st*",'Raw data'!$H:$H,"*Offensive duel*")</f>
        <v>3</v>
      </c>
      <c r="GK23" s="8">
        <f>COUNTIFS('Raw data'!$D:$D,"*Sebastian Bixby-Gutierrez*", 'Raw data'!$Y:$Y,"*1st*",'Raw data'!$H:$H,"*Offensive Duel*",'Raw data'!$H:$H,"*Offensive Duel*",'Raw data'!$M:$M,"*Kept Possession*")</f>
        <v>3</v>
      </c>
      <c r="GL23" s="8">
        <f>COUNTIFS('Raw data'!$D:$D,"*Sebastian Bixby-Gutierrez*", 'Raw data'!$Y:$Y,"*1st*",'Raw data'!$H:$H,"*Offensive Duel*",'Raw data'!$H:$H,"*Offensive Duel*",'Raw data'!$M:$M,"*Lost Possession*")</f>
        <v>0</v>
      </c>
      <c r="GM23" s="54">
        <f t="shared" si="20"/>
        <v>1</v>
      </c>
      <c r="GN23" s="54">
        <f t="shared" si="21"/>
        <v>0</v>
      </c>
      <c r="GO23" s="8">
        <f>COUNTIFS('Raw data'!$D:$D,"*Sebastian Bixby-Gutierrez*", 'Raw data'!$Y:$Y,"*1st*",'Raw data'!$H:$H,"*Acceleration*")</f>
        <v>0</v>
      </c>
      <c r="GP23" s="8">
        <f>COUNTIFS('Raw data'!$D:$D,"*Sebastian Bixby-Gutierrez*", 'Raw data'!$Y:$Y,"*1st*",'Raw data'!$H:$H,"*Move into Pocket*")</f>
        <v>1</v>
      </c>
      <c r="GQ23" s="8">
        <f>COUNTIFS('Raw data'!$D:$D,"*Sebastian Bixby-Gutierrez*", 'Raw data'!$Y:$Y,"*1st*",'Raw data'!$H:$H,"*Wide area*")</f>
        <v>0</v>
      </c>
      <c r="GR23" s="8">
        <f>COUNTIFS('Raw data'!$D:$D,"*Sebastian Bixby-Gutierrez*", 'Raw data'!$Y:$Y,"*1st*",'Raw data'!$H:$H,"*Back to goal*")</f>
        <v>4</v>
      </c>
      <c r="GS23" s="8">
        <f>COUNTIFS('Raw data'!$D:$D,"*Sebastian Bixby-Gutierrez*", 'Raw data'!$Y:$Y,"*1st*",'Raw data'!$H:$H,"*Over/Underlaps*")</f>
        <v>0</v>
      </c>
      <c r="GT23" s="8">
        <f>COUNTIFS('Raw data'!$D:$D,"*Sebastian Bixby-Gutierrez*", 'Raw data'!$Y:$Y,"*1st*",'Raw data'!$H:$H,"*Runs in Behind*")</f>
        <v>4</v>
      </c>
      <c r="GU23" s="8">
        <f>COUNTIFS('Raw data'!$D:$D,"*Sebastian Bixby-Gutierrez*", 'Raw data'!$Y:$Y,"*1st*",'Raw data'!$H:$H,"*Half-space Runs*")</f>
        <v>0</v>
      </c>
      <c r="GV23" s="8">
        <f t="shared" si="22"/>
        <v>5</v>
      </c>
      <c r="GW23" s="8">
        <f t="shared" si="23"/>
        <v>3</v>
      </c>
      <c r="GX23" s="8">
        <f t="shared" si="24"/>
        <v>2</v>
      </c>
      <c r="GY23" s="54">
        <f t="shared" si="25"/>
        <v>0.6</v>
      </c>
      <c r="GZ23" s="54">
        <f t="shared" si="26"/>
        <v>0.4</v>
      </c>
      <c r="HA23" s="8">
        <f>COUNTIFS('Raw data'!$D:$D,"*Sebastian Bixby-Gutierrez*", 'Raw data'!$Y:$Y,"*1st*",'Raw data'!$K:$K,"*Ground duel*")</f>
        <v>1</v>
      </c>
      <c r="HB23" s="8">
        <f>COUNTIFS('Raw data'!$D:$D,"*Sebastian Bixby-Gutierrez*", 'Raw data'!$Y:$Y,"*1st*",'Raw data'!$K:$K,"*Ground duel*",'Raw data'!$M:$M,"*Duel Succeeded*")</f>
        <v>0</v>
      </c>
      <c r="HC23" s="8">
        <f>COUNTIFS('Raw data'!$D:$D,"*Sebastian Bixby-Gutierrez*", 'Raw data'!$Y:$Y,"*1st*",'Raw data'!$K:$K,"*Ground duel*",'Raw data'!$M:$M,"*Duel Unsucceeded*")</f>
        <v>1</v>
      </c>
      <c r="HD23" s="54">
        <f t="shared" si="27"/>
        <v>0</v>
      </c>
      <c r="HE23" s="54">
        <f t="shared" si="28"/>
        <v>1</v>
      </c>
      <c r="HF23" s="8">
        <f>COUNTIFS('Raw data'!$D:$D,"*Sebastian Bixby-Gutierrez*", 'Raw data'!$Y:$Y,"*1st*",'Raw data'!$K:$K,"*Aerial duel*")</f>
        <v>1</v>
      </c>
      <c r="HG23" s="8">
        <f>COUNTIFS('Raw data'!$D:$D,"*Sebastian Bixby-Gutierrez*", 'Raw data'!$Y:$Y,"*1st*",'Raw data'!$K:$K,"*Aerial duel*",'Raw data'!$M:$M,"*Duel Succeeded*")</f>
        <v>0</v>
      </c>
      <c r="HH23" s="8">
        <f>COUNTIFS('Raw data'!$D:$D,"*Sebastian Bixby-Gutierrez*", 'Raw data'!$Y:$Y,"*1st*",'Raw data'!$K:$K,"*Aerial duel*",'Raw data'!$M:$M,"*Duel Unsucceeded*")</f>
        <v>1</v>
      </c>
      <c r="HI23" s="54" t="str">
        <f t="shared" si="29"/>
        <v>-</v>
      </c>
      <c r="HJ23" s="54" t="str">
        <f t="shared" si="30"/>
        <v>-</v>
      </c>
      <c r="HK23" s="8">
        <f>COUNTIFS('Raw data'!$D:$D,"*Sebastian Bixby-Gutierrez*", 'Raw data'!$Y:$Y,"*1st*",'Raw data'!$K:$K,"*1v1 defense*")</f>
        <v>0</v>
      </c>
      <c r="HL23" s="8">
        <f>COUNTIFS('Raw data'!$D:$D,"*Sebastian Bixby-Gutierrez*", 'Raw data'!$Y:$Y,"*1st*",'Raw data'!$K:$K,"*1v1 defense*",'Raw data'!$M:$M,"*Duel Succeeded*")</f>
        <v>0</v>
      </c>
      <c r="HM23" s="8">
        <f>COUNTIFS('Raw data'!$D:$D,"*Sebastian Bixby-Gutierrez*", 'Raw data'!$Y:$Y,"*1st*",'Raw data'!$K:$K,"*1v1 defense*",'Raw data'!$M:$M,"*Duel Unsucceeded*")</f>
        <v>0</v>
      </c>
      <c r="HN23" s="54" t="str">
        <f t="shared" si="31"/>
        <v>-</v>
      </c>
      <c r="HO23" s="54" t="str">
        <f t="shared" si="32"/>
        <v>-</v>
      </c>
      <c r="HP23" s="8">
        <f>COUNTIFS('Raw data'!$D:$D,"*Sebastian Bixby-Gutierrez*", 'Raw data'!$Y:$Y,"*1st*",'Raw data'!$J:$J,"*Tackles*")</f>
        <v>1</v>
      </c>
      <c r="HQ23" s="8">
        <f>COUNTIFS('Raw data'!$D:$D,"*Sebastian Bixby-Gutierrez*", 'Raw data'!$Y:$Y,"*1st*",'Raw data'!$J:$J,"*Tackles*", 'Raw data'!$M:$M,"*Duel Succeeded*")</f>
        <v>1</v>
      </c>
      <c r="HR23" s="8">
        <f>COUNTIFS('Raw data'!$D:$D,"*Sebastian Bixby-Gutierrez*", 'Raw data'!$Y:$Y,"*1st*",'Raw data'!$J:$J,"*Tackles*", 'Raw data'!$M:$M,"*Duel Unsucceeded*")</f>
        <v>0</v>
      </c>
      <c r="HS23" s="54">
        <f t="shared" si="33"/>
        <v>1</v>
      </c>
      <c r="HT23" s="54">
        <f t="shared" si="34"/>
        <v>0</v>
      </c>
      <c r="HU23" s="8">
        <f>COUNTIFS('Raw data'!$D:$D,"*Sebastian Bixby-Gutierrez*", 'Raw data'!$Y:$Y,"*1st*",'Raw data'!$K:$K,"*2nd Balls*")</f>
        <v>1</v>
      </c>
      <c r="HV23" s="8">
        <f>COUNTIFS('Raw data'!$D:$D,"*Sebastian Bixby-Gutierrez*", 'Raw data'!$Y:$Y,"*1st*",'Raw data'!$K:$K,"*2nd Balls*", 'Raw data'!$M:$M,"*Duel Succeeded*")</f>
        <v>1</v>
      </c>
      <c r="HW23" s="8">
        <f>COUNTIFS('Raw data'!$D:$D,"*Sebastian Bixby-Gutierrez*", 'Raw data'!$Y:$Y,"*1st*",'Raw data'!$K:$K,"*2nd Balls*", 'Raw data'!$M:$M,"*Duel Unsucceeded*")</f>
        <v>0</v>
      </c>
      <c r="HX23" s="54">
        <f t="shared" si="35"/>
        <v>1</v>
      </c>
      <c r="HY23" s="54">
        <f t="shared" si="36"/>
        <v>0</v>
      </c>
      <c r="HZ23" s="8">
        <f>COUNTIFS('Raw data'!$D:$D,"*Sebastian Bixby-Gutierrez*", 'Raw data'!$Y:$Y,"*1st*",'Raw data'!$J:$J,"*Clearance*")</f>
        <v>1</v>
      </c>
      <c r="IA23" s="8">
        <f>COUNTIFS('Raw data'!$D:$D,"*Sebastian Bixby-Gutierrez*", 'Raw data'!$Y:$Y,"*1st*",'Raw data'!$J:$J,"*Interception*")</f>
        <v>0</v>
      </c>
      <c r="IB23" s="8">
        <f>COUNTIFS('Raw data'!$D:$D,"*Sebastian Bixby-Gutierrez*", 'Raw data'!$Y:$Y,"*1st*",'Raw data'!$J:$J,"*Turnover Won*")</f>
        <v>0</v>
      </c>
      <c r="IC23" s="8">
        <f>COUNTIFS('Raw data'!$D:$D,"*Sebastian Bixby-Gutierrez*", 'Raw data'!$Y:$Y,"*1st*",'Raw data'!$J:$J,"*Recovery*")</f>
        <v>0</v>
      </c>
      <c r="ID23" s="8">
        <f>COUNTIFS('Raw data'!$D:$D,"*Sebastian Bixby-Gutierrez*", 'Raw data'!$Y:$Y,"*1st*",'Raw data'!$J:$J,"*Blocked Shots*")</f>
        <v>0</v>
      </c>
      <c r="IE23" s="8">
        <f>COUNTIFS('Raw data'!$D:$D,"*Sebastian Bixby-Gutierrez*", 'Raw data'!$Y:$Y,"*1st*",'Raw data'!$J:$J,"*Man-marking*")</f>
        <v>0</v>
      </c>
      <c r="IF23" s="8">
        <f>COUNTIFS('Raw data'!$D:$D,"*Sebastian Bixby-Gutierrez*", 'Raw data'!$Y:$Y,"*1st*",'Raw data'!$J:$J,"*Fouls*")</f>
        <v>1</v>
      </c>
      <c r="IG23" s="8">
        <f>COUNTIFS('Raw data'!$D:$D,"*Sebastian Bixby-Gutierrez*", 'Raw data'!$Y:$Y,"*1st*",'Raw data'!$J:$J,"*Won F*")</f>
        <v>0</v>
      </c>
      <c r="IH23" s="8">
        <f>COUNTIFS('Raw data'!$D:$D,"*Sebastian Bixby-Gutierrez*", 'Raw data'!$Y:$Y,"*1st*",'Raw data'!$G:$G,"*1v1*")</f>
        <v>0</v>
      </c>
      <c r="II23" s="8">
        <f>COUNTIFS('Raw data'!$D:$D,"*Sebastian Bixby-Gutierrez*", 'Raw data'!$Y:$Y,"*1st*",'Raw data'!$G:$G,"*On Target*")</f>
        <v>0</v>
      </c>
      <c r="IJ23" s="8">
        <f>COUNTIFS('Raw data'!$D:$D,"*Sebastian Bixby-Gutierrez*", 'Raw data'!$Y:$Y,"*1st*",'Raw data'!$G:$G,"*Off Target*")</f>
        <v>0</v>
      </c>
      <c r="IK23" s="8">
        <f>COUNTIFS('Raw data'!$D:$D,"*Sebastian Bixby-Gutierrez*", 'Raw data'!$Y:$Y,"*1st*",'Raw data'!$G:$G,"*Defend the Space*")</f>
        <v>0</v>
      </c>
      <c r="IL23" s="8">
        <f>COUNTIFS('Raw data'!$D:$D,"*Sebastian Bixby-Gutierrez*", 'Raw data'!$Y:$Y,"*1st*",'Raw data'!$G:$G,"*Conceded*")</f>
        <v>0</v>
      </c>
      <c r="IM23" s="8">
        <f>COUNTIFS('Raw data'!$D:$D,"*Sebastian Bixby-Gutierrez*", 'Raw data'!$Y:$Y,"*1st*",'Raw data'!$G:$G,"*Save*")</f>
        <v>0</v>
      </c>
      <c r="IN23" s="8">
        <f>COUNTIFS('Raw data'!$D:$D,"*Sebastian Bixby-Gutierrez*", 'Raw data'!$Y:$Y,"*1st*",'Raw data'!$G:$G,"*Defend the line (Cross)*")</f>
        <v>0</v>
      </c>
      <c r="IO23" s="8">
        <f>COUNTIFS('Raw data'!$D:$D,"*Sebastian Bixby-Gutierrez*", 'Raw data'!$Y:$Y,"*1st*",'Raw data'!$G:$G,"*Counter Kick*")</f>
        <v>0</v>
      </c>
      <c r="IP23" t="s">
        <v>687</v>
      </c>
    </row>
    <row r="24" spans="2:250">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ED24" s="54"/>
      <c r="EE24" s="54"/>
      <c r="EI24" s="54"/>
      <c r="EJ24" s="54"/>
      <c r="EK24" s="8"/>
      <c r="EL24" s="8"/>
      <c r="EM24" s="8"/>
      <c r="EN24" s="54"/>
      <c r="EO24" s="54"/>
      <c r="EP24" s="8"/>
      <c r="EQ24" s="8"/>
      <c r="ER24" s="8"/>
      <c r="ES24" s="54"/>
      <c r="ET24" s="54"/>
      <c r="EU24" s="8"/>
      <c r="EV24" s="8"/>
      <c r="EW24" s="8"/>
      <c r="EX24" s="54"/>
      <c r="EY24" s="54"/>
      <c r="EZ24" s="8"/>
      <c r="FA24" s="8"/>
      <c r="FB24" s="8"/>
      <c r="FC24" s="54"/>
      <c r="FD24" s="54"/>
      <c r="FE24" s="8"/>
      <c r="FF24" s="8"/>
      <c r="FG24" s="8"/>
      <c r="FH24" s="8"/>
      <c r="FI24" s="54"/>
      <c r="FJ24" s="54"/>
      <c r="FK24" s="54"/>
      <c r="FL24" s="54"/>
      <c r="FM24" s="54"/>
      <c r="FN24" s="8"/>
      <c r="FO24" s="8"/>
      <c r="FP24" s="8"/>
      <c r="FQ24" s="8"/>
      <c r="FR24" s="8"/>
      <c r="FS24" s="8"/>
      <c r="FT24" s="8"/>
      <c r="FU24" s="8"/>
      <c r="FV24" s="8"/>
      <c r="FW24" s="54"/>
      <c r="FX24" s="54"/>
      <c r="FY24" s="8"/>
      <c r="FZ24" s="8"/>
      <c r="GA24" s="8"/>
      <c r="GB24" s="54"/>
      <c r="GC24" s="54"/>
      <c r="GD24" s="8"/>
      <c r="GE24" s="8"/>
      <c r="GF24" s="8"/>
      <c r="GG24" s="8"/>
      <c r="GH24" s="8"/>
      <c r="GI24" s="8"/>
      <c r="GJ24" s="8"/>
      <c r="GK24" s="8"/>
      <c r="GL24" s="8"/>
      <c r="GM24" s="54"/>
      <c r="GN24" s="54"/>
      <c r="GO24" s="8"/>
      <c r="GP24" s="54"/>
      <c r="GQ24" s="54"/>
      <c r="GR24" s="54"/>
      <c r="GS24" s="54"/>
      <c r="GT24" s="54"/>
      <c r="GU24" s="54"/>
      <c r="GV24" s="8"/>
      <c r="GW24" s="8"/>
      <c r="GX24" s="8"/>
      <c r="GY24" s="54"/>
      <c r="GZ24" s="54"/>
      <c r="HA24" s="8"/>
      <c r="HB24" s="8"/>
      <c r="HC24" s="8"/>
      <c r="HD24" s="54"/>
      <c r="HE24" s="54"/>
      <c r="HF24" s="8"/>
      <c r="HG24" s="8"/>
      <c r="HH24" s="8"/>
      <c r="HI24" s="54"/>
      <c r="HJ24" s="54"/>
      <c r="HK24" s="8"/>
      <c r="HL24" s="8"/>
      <c r="HM24" s="8"/>
      <c r="HN24" s="54"/>
      <c r="HO24" s="54"/>
      <c r="HP24" s="8"/>
      <c r="HQ24" s="8"/>
      <c r="HR24" s="8"/>
      <c r="HS24" s="54"/>
      <c r="HT24" s="54"/>
      <c r="HU24" s="8"/>
      <c r="HV24" s="8"/>
      <c r="HW24" s="8"/>
      <c r="HX24" s="54"/>
      <c r="HY24" s="54"/>
      <c r="HZ24" s="8"/>
      <c r="IA24" s="8"/>
      <c r="IB24" s="8"/>
      <c r="IC24" s="8"/>
      <c r="ID24" s="8"/>
      <c r="IE24" s="8"/>
      <c r="IF24" s="8"/>
      <c r="IG24" s="8"/>
      <c r="IH24" s="8"/>
      <c r="II24" s="8"/>
      <c r="IJ24" s="8"/>
      <c r="IK24" s="8"/>
      <c r="IL24" s="8"/>
      <c r="IM24" s="8"/>
    </row>
    <row r="25" spans="2:250">
      <c r="DW25" t="s">
        <v>464</v>
      </c>
      <c r="DX25" t="s">
        <v>140</v>
      </c>
      <c r="DY25" t="s">
        <v>541</v>
      </c>
      <c r="DZ25" t="s">
        <v>151</v>
      </c>
      <c r="EA25" s="2" t="s">
        <v>233</v>
      </c>
      <c r="EB25" s="2" t="s">
        <v>234</v>
      </c>
      <c r="EC25" s="2" t="s">
        <v>235</v>
      </c>
      <c r="ED25" s="2" t="s">
        <v>501</v>
      </c>
      <c r="EE25" s="2" t="s">
        <v>502</v>
      </c>
      <c r="EF25" s="2" t="s">
        <v>236</v>
      </c>
      <c r="EG25" s="2" t="s">
        <v>237</v>
      </c>
      <c r="EH25" s="2" t="s">
        <v>238</v>
      </c>
      <c r="EI25" s="2" t="s">
        <v>503</v>
      </c>
      <c r="EJ25" s="2" t="s">
        <v>504</v>
      </c>
      <c r="EK25" s="2" t="s">
        <v>239</v>
      </c>
      <c r="EL25" s="35" t="s">
        <v>240</v>
      </c>
      <c r="EM25" s="2" t="s">
        <v>241</v>
      </c>
      <c r="EN25" s="35" t="s">
        <v>505</v>
      </c>
      <c r="EO25" s="2" t="s">
        <v>506</v>
      </c>
      <c r="EP25" s="2" t="s">
        <v>242</v>
      </c>
      <c r="EQ25" s="2" t="s">
        <v>243</v>
      </c>
      <c r="ER25" s="2" t="s">
        <v>244</v>
      </c>
      <c r="ES25" s="2" t="s">
        <v>507</v>
      </c>
      <c r="ET25" s="2" t="s">
        <v>508</v>
      </c>
      <c r="EU25" s="2" t="s">
        <v>251</v>
      </c>
      <c r="EV25" s="2" t="s">
        <v>252</v>
      </c>
      <c r="EW25" s="2" t="s">
        <v>253</v>
      </c>
      <c r="EX25" s="2" t="s">
        <v>509</v>
      </c>
      <c r="EY25" s="2" t="s">
        <v>510</v>
      </c>
      <c r="EZ25" s="2" t="s">
        <v>257</v>
      </c>
      <c r="FA25" s="2" t="s">
        <v>258</v>
      </c>
      <c r="FB25" s="2" t="s">
        <v>259</v>
      </c>
      <c r="FC25" s="2" t="s">
        <v>511</v>
      </c>
      <c r="FD25" s="2" t="s">
        <v>512</v>
      </c>
      <c r="FE25" s="2" t="s">
        <v>260</v>
      </c>
      <c r="FF25" s="2" t="s">
        <v>261</v>
      </c>
      <c r="FG25" s="2" t="s">
        <v>262</v>
      </c>
      <c r="FH25" s="2" t="s">
        <v>263</v>
      </c>
      <c r="FI25" s="2" t="s">
        <v>513</v>
      </c>
      <c r="FJ25" s="2" t="s">
        <v>514</v>
      </c>
      <c r="FK25" s="2" t="s">
        <v>546</v>
      </c>
      <c r="FL25" s="2" t="s">
        <v>645</v>
      </c>
      <c r="FM25" s="2" t="s">
        <v>647</v>
      </c>
      <c r="FN25" s="2" t="s">
        <v>245</v>
      </c>
      <c r="FO25" s="2" t="s">
        <v>246</v>
      </c>
      <c r="FP25" s="2" t="s">
        <v>247</v>
      </c>
      <c r="FQ25" s="2" t="s">
        <v>248</v>
      </c>
      <c r="FR25" s="2" t="s">
        <v>249</v>
      </c>
      <c r="FS25" s="2" t="s">
        <v>177</v>
      </c>
      <c r="FT25" s="2" t="s">
        <v>250</v>
      </c>
      <c r="FU25" s="2" t="s">
        <v>547</v>
      </c>
      <c r="FV25" s="2" t="s">
        <v>548</v>
      </c>
      <c r="FW25" s="2" t="s">
        <v>515</v>
      </c>
      <c r="FX25" s="2" t="s">
        <v>516</v>
      </c>
      <c r="FY25" s="2" t="s">
        <v>254</v>
      </c>
      <c r="FZ25" s="2" t="s">
        <v>255</v>
      </c>
      <c r="GA25" s="2" t="s">
        <v>256</v>
      </c>
      <c r="GB25" s="2" t="s">
        <v>517</v>
      </c>
      <c r="GC25" s="2" t="s">
        <v>518</v>
      </c>
      <c r="GD25" s="2" t="s">
        <v>150</v>
      </c>
      <c r="GE25" s="2" t="s">
        <v>38</v>
      </c>
      <c r="GF25" s="2" t="s">
        <v>39</v>
      </c>
      <c r="GG25" s="2" t="s">
        <v>37</v>
      </c>
      <c r="GH25" s="2" t="s">
        <v>52</v>
      </c>
      <c r="GI25" s="2" t="s">
        <v>54</v>
      </c>
      <c r="GJ25" s="2" t="s">
        <v>581</v>
      </c>
      <c r="GK25" s="2" t="s">
        <v>339</v>
      </c>
      <c r="GL25" s="2" t="s">
        <v>340</v>
      </c>
      <c r="GM25" s="2" t="s">
        <v>519</v>
      </c>
      <c r="GN25" s="2" t="s">
        <v>520</v>
      </c>
      <c r="GO25" s="2" t="s">
        <v>451</v>
      </c>
      <c r="GP25" s="2" t="s">
        <v>552</v>
      </c>
      <c r="GQ25" s="2" t="s">
        <v>553</v>
      </c>
      <c r="GR25" s="2" t="s">
        <v>554</v>
      </c>
      <c r="GS25" s="2" t="s">
        <v>555</v>
      </c>
      <c r="GT25" s="2" t="s">
        <v>556</v>
      </c>
      <c r="GU25" s="2" t="s">
        <v>649</v>
      </c>
      <c r="GV25" s="1" t="s">
        <v>351</v>
      </c>
      <c r="GW25" s="1" t="s">
        <v>521</v>
      </c>
      <c r="GX25" s="1" t="s">
        <v>522</v>
      </c>
      <c r="GY25" s="1" t="s">
        <v>523</v>
      </c>
      <c r="GZ25" s="1" t="s">
        <v>524</v>
      </c>
      <c r="HA25" s="1" t="s">
        <v>487</v>
      </c>
      <c r="HB25" s="1" t="s">
        <v>525</v>
      </c>
      <c r="HC25" s="1" t="s">
        <v>526</v>
      </c>
      <c r="HD25" s="1" t="s">
        <v>527</v>
      </c>
      <c r="HE25" s="1" t="s">
        <v>528</v>
      </c>
      <c r="HF25" s="1" t="s">
        <v>264</v>
      </c>
      <c r="HG25" s="1" t="s">
        <v>266</v>
      </c>
      <c r="HH25" s="1" t="s">
        <v>265</v>
      </c>
      <c r="HI25" s="1" t="s">
        <v>529</v>
      </c>
      <c r="HJ25" s="1" t="s">
        <v>530</v>
      </c>
      <c r="HK25" s="1" t="s">
        <v>267</v>
      </c>
      <c r="HL25" s="1" t="s">
        <v>268</v>
      </c>
      <c r="HM25" s="1" t="s">
        <v>269</v>
      </c>
      <c r="HN25" s="1" t="s">
        <v>531</v>
      </c>
      <c r="HO25" s="1" t="s">
        <v>532</v>
      </c>
      <c r="HP25" s="1" t="s">
        <v>270</v>
      </c>
      <c r="HQ25" s="1" t="s">
        <v>271</v>
      </c>
      <c r="HR25" s="1" t="s">
        <v>272</v>
      </c>
      <c r="HS25" s="116" t="s">
        <v>533</v>
      </c>
      <c r="HT25" s="116" t="s">
        <v>534</v>
      </c>
      <c r="HU25" s="1" t="s">
        <v>650</v>
      </c>
      <c r="HV25" s="1" t="s">
        <v>274</v>
      </c>
      <c r="HW25" s="1" t="s">
        <v>275</v>
      </c>
      <c r="HX25" s="1" t="s">
        <v>535</v>
      </c>
      <c r="HY25" s="1" t="s">
        <v>536</v>
      </c>
      <c r="HZ25" s="1" t="s">
        <v>47</v>
      </c>
      <c r="IA25" s="1" t="s">
        <v>49</v>
      </c>
      <c r="IB25" s="1" t="s">
        <v>608</v>
      </c>
      <c r="IC25" s="1" t="s">
        <v>50</v>
      </c>
      <c r="ID25" s="1" t="s">
        <v>55</v>
      </c>
      <c r="IE25" s="1" t="s">
        <v>276</v>
      </c>
      <c r="IF25" s="1" t="s">
        <v>223</v>
      </c>
      <c r="IG25" s="1" t="s">
        <v>222</v>
      </c>
      <c r="IH25" s="36" t="s">
        <v>277</v>
      </c>
      <c r="II25" s="36" t="s">
        <v>278</v>
      </c>
      <c r="IJ25" s="36" t="s">
        <v>279</v>
      </c>
      <c r="IK25" s="36" t="s">
        <v>280</v>
      </c>
      <c r="IL25" s="36" t="s">
        <v>57</v>
      </c>
      <c r="IM25" s="36" t="s">
        <v>281</v>
      </c>
      <c r="IN25" s="36" t="s">
        <v>458</v>
      </c>
      <c r="IO25" s="83" t="s">
        <v>459</v>
      </c>
      <c r="IP25" t="s">
        <v>414</v>
      </c>
    </row>
    <row r="26" spans="2:250">
      <c r="DW26" t="s">
        <v>461</v>
      </c>
      <c r="DX26" t="s">
        <v>638</v>
      </c>
      <c r="DY26">
        <v>40</v>
      </c>
      <c r="DZ26" t="s">
        <v>152</v>
      </c>
      <c r="EA26">
        <f t="shared" ref="EA26:EA38" si="42">EB26+EC26</f>
        <v>33</v>
      </c>
      <c r="EB26" s="8">
        <f t="shared" ref="EB26:EC38" si="43">EG26+EL26+EQ26</f>
        <v>25</v>
      </c>
      <c r="EC26" s="8">
        <f t="shared" si="43"/>
        <v>8</v>
      </c>
      <c r="ED26" s="54">
        <f t="shared" ref="ED26:ED38" si="44">IFERROR(EB26/$EA26,"-")</f>
        <v>0.75757575757575757</v>
      </c>
      <c r="EE26" s="54">
        <f t="shared" ref="EE26:EE38" si="45">IFERROR(EC26/$EA26,"-")</f>
        <v>0.24242424242424243</v>
      </c>
      <c r="EF26">
        <f t="shared" ref="EF26:EF38" si="46">EG26+EH26</f>
        <v>30</v>
      </c>
      <c r="EG26">
        <f>COUNTIFS('Raw data'!$D:$D,"*Joshua Harrup*", 'Raw data'!$Y:$Y,"*2nd*",'Raw data'!$I:$I,"*Forward Pass*",'Raw data'!$M:$M,"*Pass completed*")</f>
        <v>22</v>
      </c>
      <c r="EH26">
        <f>COUNTIFS('Raw data'!$D:$D,"*Joshua Harrup*", 'Raw data'!$Y:$Y,"*2nd*",'Raw data'!$I:$I,"*Forward Pass*",'Raw data'!$M:$M,"*Pass Uncompleted*")</f>
        <v>8</v>
      </c>
      <c r="EI26" s="54">
        <f t="shared" ref="EI26:EI38" si="47">IFERROR(EG26/$EF26,"-")</f>
        <v>0.73333333333333328</v>
      </c>
      <c r="EJ26" s="54">
        <f t="shared" ref="EJ26:EJ38" si="48">IFERROR(EH26/$EF26,"-")</f>
        <v>0.26666666666666666</v>
      </c>
      <c r="EK26">
        <f t="shared" ref="EK26:EK38" si="49">EL26+EM26</f>
        <v>3</v>
      </c>
      <c r="EL26" s="8">
        <f>COUNTIFS('Raw data'!$D:$D,"*Joshua Harrup*", 'Raw data'!$Y:$Y,"*2nd*",'Raw data'!$I:$I,"*Lateral Pass*",'Raw data'!$M:$M,"*Pass completed*")</f>
        <v>3</v>
      </c>
      <c r="EM26" s="8">
        <f>COUNTIFS('Raw data'!$D:$D,"*Joshua Harrup*", 'Raw data'!$Y:$Y,"*2nd*",'Raw data'!$I:$I,"*Lateral Pass*",'Raw data'!$M:$M,"*Pass Uncompleted*")</f>
        <v>0</v>
      </c>
      <c r="EN26" s="54">
        <f t="shared" ref="EN26:EN38" si="50">IFERROR(EL26/$EK26,"-")</f>
        <v>1</v>
      </c>
      <c r="EO26" s="54">
        <f t="shared" ref="EO26:EO38" si="51">IFERROR(EM26/$EK26,"-")</f>
        <v>0</v>
      </c>
      <c r="EP26">
        <f t="shared" ref="EP26:EP38" si="52">EQ26+ER26</f>
        <v>0</v>
      </c>
      <c r="EQ26" s="8">
        <f>COUNTIFS('Raw data'!$D:$D,"*Joshua Harrup*", 'Raw data'!$Y:$Y,"*2nd*",'Raw data'!$I:$I,"*Backward Pass*",'Raw data'!$M:$M,"*Pass completed*")</f>
        <v>0</v>
      </c>
      <c r="ER26" s="8">
        <f>COUNTIFS('Raw data'!$D:$D,"*Joshua Harrup*", 'Raw data'!$Y:$Y,"*2nd*",'Raw data'!$I:$I,"*Backward Pass*",'Raw data'!$M:$M,"*Pass Uncompleted*")</f>
        <v>0</v>
      </c>
      <c r="ES26" s="54" t="str">
        <f t="shared" ref="ES26:ES38" si="53">IFERROR(EQ26/$EQ26,"-")</f>
        <v>-</v>
      </c>
      <c r="ET26" s="54" t="str">
        <f t="shared" ref="ET26:ET38" si="54">IFERROR(ER26/$EQ26,"-")</f>
        <v>-</v>
      </c>
      <c r="EU26" s="8">
        <f>COUNTIFS('Raw data'!$D:$D,"*Joshua Harrup*", 'Raw data'!$Y:$Y,"*2nd*",'Raw data'!$I:$I,"*Long Kick*")</f>
        <v>14</v>
      </c>
      <c r="EV26" s="8">
        <f>COUNTIFS('Raw data'!$D:$D,"*Joshua Harrup*", 'Raw data'!$Y:$Y,"*2nd*",'Raw data'!$I:$I,"*Long Kick*",'Raw data'!$M:$M,"*Pass completed*")</f>
        <v>9</v>
      </c>
      <c r="EW26" s="8">
        <f>COUNTIFS('Raw data'!$D:$D,"*Joshua Harrup*", 'Raw data'!$Y:$Y,"*2nd*",'Raw data'!$I:$I,"*Long Kick*",'Raw data'!$M:$M,"*Pass Uncompleted*")</f>
        <v>5</v>
      </c>
      <c r="EX26" s="54">
        <f t="shared" ref="EX26:EX38" si="55">IFERROR(EV26/$EU26,"-")</f>
        <v>0.6428571428571429</v>
      </c>
      <c r="EY26" s="54">
        <f t="shared" ref="EY26:EY38" si="56">IFERROR(EW26/$EU26,"-")</f>
        <v>0.35714285714285715</v>
      </c>
      <c r="EZ26" s="8">
        <f>COUNTIFS('Raw data'!$D:$D,"*Joshua Harrup*", 'Raw data'!$Y:$Y,"*2nd*",'Raw data'!$I:$I,"*Balls in Behind*")</f>
        <v>1</v>
      </c>
      <c r="FA26" s="8">
        <f>COUNTIFS('Raw data'!$D:$D,"*Joshua Harrup*", 'Raw data'!$Y:$Y,"*2nd*",'Raw data'!$I:$I,"*Balls in Behind*",'Raw data'!$M:$M,"*Pass completed*")</f>
        <v>0</v>
      </c>
      <c r="FB26" s="8">
        <f>COUNTIFS('Raw data'!$D:$D,"*Joshua Harrup*", 'Raw data'!$Y:$Y,"*2nd*",'Raw data'!$I:$I,"*Balls in Behind*",'Raw data'!$M:$M,"*Pass Uncompleted*")</f>
        <v>1</v>
      </c>
      <c r="FC26" s="54">
        <f t="shared" ref="FC26:FC38" si="57">IFERROR(FA26/$EZ26,"-")</f>
        <v>0</v>
      </c>
      <c r="FD26" s="54">
        <f t="shared" ref="FD26:FD38" si="58">IFERROR(FB26/$EZ26,"-")</f>
        <v>1</v>
      </c>
      <c r="FE26" s="8">
        <f>COUNTIFS('Raw data'!$D:$D,"*Joshua Harrup*", 'Raw data'!$Y:$Y,"*2nd*",'Raw data'!$I:$I,"*Key/Through pass*")</f>
        <v>0</v>
      </c>
      <c r="FF26" s="8">
        <f>COUNTIFS('Raw data'!$D:$D,"*Joshua Harrup*", 'Raw data'!$Y:$Y,"*2nd*",'Raw data'!$I:$I,"*Diagonal pass*")</f>
        <v>0</v>
      </c>
      <c r="FG26" s="8">
        <f>COUNTIFS('Raw data'!$D:$D,"*Joshua Harrup*", 'Raw data'!$Y:$Y,"*2nd*",'Raw data'!$I:$I,"*Diagonal pass*",'Raw data'!$M:$M,"*Pass completed*")</f>
        <v>0</v>
      </c>
      <c r="FH26" s="8">
        <f>COUNTIFS('Raw data'!$D:$D,"*Joshua Harrup*", 'Raw data'!$Y:$Y,"*2nd*",'Raw data'!$I:$I,"*Diagonal pass*",'Raw data'!$M:$M,"*Pass Uncompleted*")</f>
        <v>0</v>
      </c>
      <c r="FI26" s="54" t="str">
        <f t="shared" ref="FI26:FI38" si="59">IFERROR(FG26/$FF26,"-")</f>
        <v>-</v>
      </c>
      <c r="FJ26" s="54" t="str">
        <f t="shared" ref="FJ26:FJ38" si="60">IFERROR(FH26/$FF26,"-")</f>
        <v>-</v>
      </c>
      <c r="FK26" s="8">
        <f>COUNTIFS('Raw data'!$D:$D,"*Joshua Harrup*", 'Raw data'!$Y:$Y,"*2nd*",'Raw data'!$M:$M,"*Pass Received*")</f>
        <v>26</v>
      </c>
      <c r="FL26" s="8">
        <f>COUNTIFS('Raw data'!$D:$D,"*Joshua Harrup*", 'Raw data'!$Y:$Y,"*2nd*",'Raw data'!$M:$M,"*Pass Completed*",'Raw data'!$M:$M,"*Pass Received*")</f>
        <v>19</v>
      </c>
      <c r="FM26" s="8">
        <f>COUNTIFS('Raw data'!$D:$D,"*Joshua Harrup*", 'Raw data'!$Y:$Y,"*2nd*",'Raw data'!$M:$M,"*Pass Uncompleted*",'Raw data'!$M:$M,"*Pass Received*")</f>
        <v>6</v>
      </c>
      <c r="FN26" s="8">
        <f>COUNTIFS('Raw data'!$D:$D,"*Joshua Harrup*", 'Raw data'!$Y:$Y,"*2nd*",'Raw data'!$M:$M,"*Kept Possession*",'Raw data'!$M:$M,"*Pass Received*")</f>
        <v>0</v>
      </c>
      <c r="FO26" s="8">
        <f>COUNTIFS('Raw data'!$D:$D,"*Joshua Harrup*", 'Raw data'!$Y:$Y,"*2nd*",'Raw data'!$M:$M,"*Lost Possession*")</f>
        <v>1</v>
      </c>
      <c r="FP26" s="8">
        <f>COUNTIFS('Raw data'!$D:$D,"*Joshua Harrup*", 'Raw data'!$Y:$Y,"*2nd*",'Raw data'!$M:$M,"*Lost Possession*",'Raw data'!$M:$M,"*Lost Final 1/3*")</f>
        <v>0</v>
      </c>
      <c r="FQ26" s="8">
        <f>COUNTIFS('Raw data'!$D:$D,"*Joshua Harrup*", 'Raw data'!$Y:$Y,"*2nd*",'Raw data'!$M:$M,"*Lost Possession*",'Raw data'!$M:$M,"*Lost Middle 1/3*")</f>
        <v>0</v>
      </c>
      <c r="FR26" s="8">
        <f>COUNTIFS('Raw data'!$D:$D,"*Joshua Harrup*", 'Raw data'!$Y:$Y,"*2nd*",'Raw data'!$M:$M,"*Lost Possession*",'Raw data'!$M:$M,"*Lost Own 1/3*")</f>
        <v>1</v>
      </c>
      <c r="FS26" s="8">
        <f>COUNTIFS('Raw data'!$D:$D,"*Joshua Harrup*", 'Raw data'!$Y:$Y,"*2nd*",'Raw data'!$H:$H,"*Touches in the Box*")</f>
        <v>0</v>
      </c>
      <c r="FT26" s="8">
        <f>COUNTIFS('Raw data'!$D:$D,"*Joshua Harrup*", 'Raw data'!$Y:$Y,"*2nd*",'Raw data'!$H:$H,"*1v1 Attack*")</f>
        <v>0</v>
      </c>
      <c r="FU26" s="8">
        <f>COUNTIFS('Raw data'!$D:$D,"*Joshua Harrup*", 'Raw data'!$Y:$Y,"*2nd*",'Raw data'!$H:$H,"*1v1 Attack*",'Raw data'!$H:$H,"*1v1 Attack*",'Raw data'!$M:$M,"*Kept Possession*")</f>
        <v>0</v>
      </c>
      <c r="FV26" s="8">
        <f>COUNTIFS('Raw data'!$D:$D,"*Joshua Harrup*", 'Raw data'!$Y:$Y,"*2nd*",'Raw data'!$H:$H,"*1v1 Attack*",'Raw data'!$H:$H,"*1v1 Attack*",'Raw data'!$M:$M,"*Lost Possession*")</f>
        <v>0</v>
      </c>
      <c r="FW26" s="54" t="str">
        <f t="shared" ref="FW26:FW38" si="61">IFERROR(FU26/$FT26,"-")</f>
        <v>-</v>
      </c>
      <c r="FX26" s="54" t="str">
        <f t="shared" ref="FX26:FX38" si="62">IFERROR(FV26/$FT26,"-")</f>
        <v>-</v>
      </c>
      <c r="FY26" s="8">
        <f>COUNTIFS('Raw data'!$D:$D,"*Joshua Harrup*", 'Raw data'!$Y:$Y,"*2nd*",'Raw data'!$I:$I,"*Cross*")</f>
        <v>0</v>
      </c>
      <c r="FZ26" s="8">
        <f>COUNTIFS('Raw data'!$D:$D,"*Joshua Harrup*", 'Raw data'!$Y:$Y,"*2nd*",'Raw data'!$I:$I,"*Cross*",'Raw data'!$M:$M,"*Pass Completed*")</f>
        <v>0</v>
      </c>
      <c r="GA26" s="8">
        <f>COUNTIFS('Raw data'!$D:$D,"*Joshua Harrup*", 'Raw data'!$Y:$Y,"*2nd*",'Raw data'!$I:$I,"*Cross*",'Raw data'!$M:$M,"*Pass Uncompleted*")</f>
        <v>0</v>
      </c>
      <c r="GB26" s="54" t="str">
        <f t="shared" ref="GB26:GB38" si="63">IFERROR(FZ26/$FY26,"-")</f>
        <v>-</v>
      </c>
      <c r="GC26" s="54" t="str">
        <f t="shared" ref="GC26:GC38" si="64">IFERROR(GA26/$FY26,"-")</f>
        <v>-</v>
      </c>
      <c r="GD26" s="8">
        <f t="shared" ref="GD26:GD38" si="65">SUM(GE26:GG26)</f>
        <v>0</v>
      </c>
      <c r="GE26" s="8">
        <f>COUNTIFS('Raw data'!$D:$D,"*Joshua Harrup*", 'Raw data'!$Y:$Y,"*2nd*",'Raw data'!$L:$L,"*On Target*")</f>
        <v>0</v>
      </c>
      <c r="GF26" s="8">
        <f>COUNTIFS('Raw data'!$D:$D,"*Joshua Harrup*", 'Raw data'!$Y:$Y,"*2nd*",'Raw data'!$L:$L,"*Off Target*")</f>
        <v>0</v>
      </c>
      <c r="GG26" s="8">
        <f>COUNTIFS('Raw data'!$D:$D,"*Joshua Harrup*", 'Raw data'!$Y:$Y,"*2nd*",'Raw data'!$L:$L,"*Blocked*")</f>
        <v>0</v>
      </c>
      <c r="GH26" s="8">
        <f>COUNTIFS('Raw data'!$D:$D,"*Joshua Harrup*", 'Raw data'!$Y:$Y,"*2nd*",'Raw data'!$M:$M,"*Goal*")</f>
        <v>0</v>
      </c>
      <c r="GI26" s="8">
        <f>COUNTIFS('Raw data'!$D:$D,"*Joshua Harrup*", 'Raw data'!$Y:$Y,"*2nd*",'Raw data'!$M:$M,"*Assist*")</f>
        <v>1</v>
      </c>
      <c r="GJ26" s="8">
        <f>COUNTIFS('Raw data'!$D:$D,"*Joshua Harrup*", 'Raw data'!$Y:$Y,"*2nd*",'Raw data'!$H:$H,"*Offensive duel*")</f>
        <v>0</v>
      </c>
      <c r="GK26" s="8">
        <f>COUNTIFS('Raw data'!$D:$D,"*Joshua Harrup*", 'Raw data'!$Y:$Y,"*2nd*",'Raw data'!$H:$H,"*Offensive Duel*",'Raw data'!$H:$H,"*Offensive Duel*",'Raw data'!$M:$M,"*Kept Possession*")</f>
        <v>0</v>
      </c>
      <c r="GL26" s="8">
        <f>COUNTIFS('Raw data'!$D:$D,"*Joshua Harrup*", 'Raw data'!$Y:$Y,"*2nd*",'Raw data'!$H:$H,"*Offensive Duel*",'Raw data'!$H:$H,"*Offensive Duel*",'Raw data'!$M:$M,"*Lost Possession*")</f>
        <v>0</v>
      </c>
      <c r="GM26" s="54" t="str">
        <f t="shared" ref="GM26:GM38" si="66">IFERROR(GK26/$GJ26,"-")</f>
        <v>-</v>
      </c>
      <c r="GN26" s="54" t="str">
        <f t="shared" ref="GN26:GN38" si="67">IFERROR(GL26/$GJ26,"-")</f>
        <v>-</v>
      </c>
      <c r="GO26" s="8">
        <f>COUNTIFS('Raw data'!$D:$D,"*Joshua Harrup*", 'Raw data'!$Y:$Y,"*2nd*",'Raw data'!$H:$H,"*Acceleration*")</f>
        <v>0</v>
      </c>
      <c r="GP26" s="8">
        <f>COUNTIFS('Raw data'!$D:$D,"*Joshua Harrup*", 'Raw data'!$Y:$Y,"*2nd*",'Raw data'!$H:$H,"*Move into Pocket*")</f>
        <v>0</v>
      </c>
      <c r="GQ26" s="8">
        <f>COUNTIFS('Raw data'!$D:$D,"*Joshua Harrup*", 'Raw data'!$Y:$Y,"*2nd*",'Raw data'!$H:$H,"*Wide area*")</f>
        <v>0</v>
      </c>
      <c r="GR26" s="8">
        <f>COUNTIFS('Raw data'!$D:$D,"*Joshua Harrup*", 'Raw data'!$Y:$Y,"*2nd*",'Raw data'!$H:$H,"*Back to goal*")</f>
        <v>0</v>
      </c>
      <c r="GS26" s="8">
        <f>COUNTIFS('Raw data'!$D:$D,"*Joshua Harrup*", 'Raw data'!$Y:$Y,"*2nd*",'Raw data'!$H:$H,"*Over/Underlaps*")</f>
        <v>0</v>
      </c>
      <c r="GT26" s="8">
        <f>COUNTIFS('Raw data'!$D:$D,"*Joshua Harrup*", 'Raw data'!$Y:$Y,"*2nd*",'Raw data'!$H:$H,"*Runs in Behind*")</f>
        <v>0</v>
      </c>
      <c r="GU26" s="8">
        <f>COUNTIFS('Raw data'!$D:$D,"*Joshua Harrup*", 'Raw data'!$Y:$Y,"*2nd*",'Raw data'!$H:$H,"*Half-space Runs*")</f>
        <v>0</v>
      </c>
      <c r="GV26" s="8">
        <f t="shared" ref="GV26:GV38" si="68">SUM(GJ26,HA26,HF26)</f>
        <v>0</v>
      </c>
      <c r="GW26" s="8">
        <f t="shared" ref="GW26:GW38" si="69">SUM(GK26,HB26,HG26)</f>
        <v>0</v>
      </c>
      <c r="GX26" s="8">
        <f t="shared" ref="GX26:GX38" si="70">SUM(GL26,HC26,HH26)</f>
        <v>0</v>
      </c>
      <c r="GY26" s="54" t="str">
        <f t="shared" ref="GY26:GY38" si="71">IFERROR(GW26/$GV26,"-")</f>
        <v>-</v>
      </c>
      <c r="GZ26" s="54" t="str">
        <f t="shared" ref="GZ26:GZ38" si="72">IFERROR(GX26/$GV26,"-")</f>
        <v>-</v>
      </c>
      <c r="HA26" s="8">
        <f>COUNTIFS('Raw data'!$D:$D,"*Joshua Harrup*", 'Raw data'!$Y:$Y,"*2nd*",'Raw data'!$K:$K,"*Ground duel*")</f>
        <v>0</v>
      </c>
      <c r="HB26" s="8">
        <f>COUNTIFS('Raw data'!$D:$D,"*Joshua Harrup*", 'Raw data'!$Y:$Y,"*2nd*",'Raw data'!$K:$K,"*Ground duel*",'Raw data'!$M:$M,"*Duel Succeeded*")</f>
        <v>0</v>
      </c>
      <c r="HC26" s="8">
        <f>COUNTIFS('Raw data'!$D:$D,"*Joshua Harrup*", 'Raw data'!$Y:$Y,"*2nd*",'Raw data'!$K:$K,"*Ground duel*",'Raw data'!$M:$M,"*Duel Unsucceeded*")</f>
        <v>0</v>
      </c>
      <c r="HD26" s="54" t="str">
        <f t="shared" ref="HD26:HD38" si="73">IFERROR(HB26/$HA26,"-")</f>
        <v>-</v>
      </c>
      <c r="HE26" s="54" t="str">
        <f t="shared" ref="HE26:HE38" si="74">IFERROR(HC26/$HA26,"-")</f>
        <v>-</v>
      </c>
      <c r="HF26" s="8">
        <f>COUNTIFS('Raw data'!$D:$D,"*Joshua Harrup*", 'Raw data'!$Y:$Y,"*2nd*",'Raw data'!$K:$K,"*Aerial duel*")</f>
        <v>0</v>
      </c>
      <c r="HG26" s="8">
        <f>COUNTIFS('Raw data'!$D:$D,"*Joshua Harrup*", 'Raw data'!$Y:$Y,"*2nd*",'Raw data'!$K:$K,"*Aerial duel*",'Raw data'!$M:$M,"*Duel Succeeded*")</f>
        <v>0</v>
      </c>
      <c r="HH26" s="8">
        <f>COUNTIFS('Raw data'!$D:$D,"*Joshua Harrup*", 'Raw data'!$Y:$Y,"*2nd*",'Raw data'!$K:$K,"*Aerial duel*",'Raw data'!$M:$M,"*Duel Unsucceeded*")</f>
        <v>0</v>
      </c>
      <c r="HI26" s="54" t="str">
        <f t="shared" ref="HI26:HI38" si="75">IFERROR(HG26/$HG26,"-")</f>
        <v>-</v>
      </c>
      <c r="HJ26" s="54" t="str">
        <f t="shared" ref="HJ26:HJ38" si="76">IFERROR(HH26/$HG26,"-")</f>
        <v>-</v>
      </c>
      <c r="HK26" s="8">
        <f>COUNTIFS('Raw data'!$D:$D,"*Joshua Harrup*", 'Raw data'!$Y:$Y,"*2nd*",'Raw data'!$K:$K,"*1v1 defense*")</f>
        <v>0</v>
      </c>
      <c r="HL26" s="8">
        <f>COUNTIFS('Raw data'!$D:$D,"*Joshua Harrup*", 'Raw data'!$Y:$Y,"*2nd*",'Raw data'!$K:$K,"*1v1 defense*",'Raw data'!$M:$M,"*Duel Succeeded*")</f>
        <v>0</v>
      </c>
      <c r="HM26" s="8">
        <f>COUNTIFS('Raw data'!$D:$D,"*Joshua Harrup*", 'Raw data'!$Y:$Y,"*2nd*",'Raw data'!$K:$K,"*1v1 defense*",'Raw data'!$M:$M,"*Duel Unsucceeded*")</f>
        <v>0</v>
      </c>
      <c r="HN26" s="54" t="str">
        <f t="shared" ref="HN26:HN38" si="77">IFERROR(HL26/$HK26,"-")</f>
        <v>-</v>
      </c>
      <c r="HO26" s="54" t="str">
        <f t="shared" ref="HO26:HO38" si="78">IFERROR(HM26/$HK26,"-")</f>
        <v>-</v>
      </c>
      <c r="HP26" s="8">
        <f>COUNTIFS('Raw data'!$D:$D,"*Joshua Harrup*", 'Raw data'!$Y:$Y,"*2nd*",'Raw data'!$J:$J,"*Tackles*")</f>
        <v>0</v>
      </c>
      <c r="HQ26" s="8">
        <f>COUNTIFS('Raw data'!$D:$D,"*Joshua Harrup*", 'Raw data'!$Y:$Y,"*2nd*",'Raw data'!$J:$J,"*Tackles*", 'Raw data'!$M:$M,"*Duel Succeeded*")</f>
        <v>0</v>
      </c>
      <c r="HR26" s="8">
        <f>COUNTIFS('Raw data'!$D:$D,"*Joshua Harrup*", 'Raw data'!$Y:$Y,"*2nd*",'Raw data'!$J:$J,"*Tackles*", 'Raw data'!$M:$M,"*Duel Unsucceeded*")</f>
        <v>0</v>
      </c>
      <c r="HS26" s="54" t="str">
        <f t="shared" ref="HS26:HS38" si="79">IFERROR(HQ26/$HP26,"-")</f>
        <v>-</v>
      </c>
      <c r="HT26" s="54" t="str">
        <f t="shared" ref="HT26:HT38" si="80">IFERROR(HR26/$HP26,"-")</f>
        <v>-</v>
      </c>
      <c r="HU26" s="8">
        <f>COUNTIFS('Raw data'!$D:$D,"*Joshua Harrup*", 'Raw data'!$Y:$Y,"*2nd*",'Raw data'!$K:$K,"*2nd Balls*")</f>
        <v>0</v>
      </c>
      <c r="HV26" s="8">
        <f>COUNTIFS('Raw data'!$D:$D,"*Joshua Harrup*", 'Raw data'!$Y:$Y,"*2nd*",'Raw data'!$K:$K,"*2nd Balls*", 'Raw data'!$M:$M,"*Duel Succeeded*")</f>
        <v>0</v>
      </c>
      <c r="HW26" s="8">
        <f>COUNTIFS('Raw data'!$D:$D,"*Joshua Harrup*", 'Raw data'!$Y:$Y,"*2nd*",'Raw data'!$K:$K,"*2nd Balls*", 'Raw data'!$M:$M,"*Duel Unsucceeded*")</f>
        <v>0</v>
      </c>
      <c r="HX26" s="54" t="str">
        <f t="shared" ref="HX26:HX38" si="81">IFERROR(HV26/$HU26,"-")</f>
        <v>-</v>
      </c>
      <c r="HY26" s="54" t="str">
        <f t="shared" ref="HY26:HY38" si="82">IFERROR(HW26/$HU26,"-")</f>
        <v>-</v>
      </c>
      <c r="HZ26" s="8">
        <f>COUNTIFS('Raw data'!$D:$D,"*Joshua Harrup*", 'Raw data'!$Y:$Y,"*2nd*",'Raw data'!$J:$J,"*Clearance*")</f>
        <v>0</v>
      </c>
      <c r="IA26" s="8">
        <f>COUNTIFS('Raw data'!$D:$D,"*Joshua Harrup*", 'Raw data'!$Y:$Y,"*2nd*",'Raw data'!$J:$J,"*Interception*")</f>
        <v>0</v>
      </c>
      <c r="IB26" s="8">
        <f>COUNTIFS('Raw data'!$D:$D,"*Joshua Harrup*", 'Raw data'!$Y:$Y,"*2nd*",'Raw data'!$J:$J,"*Turnover Won*")</f>
        <v>0</v>
      </c>
      <c r="IC26" s="8">
        <f>COUNTIFS('Raw data'!$D:$D,"*Joshua Harrup*", 'Raw data'!$Y:$Y,"*2nd*",'Raw data'!$J:$J,"*Recovery*")</f>
        <v>0</v>
      </c>
      <c r="ID26" s="8">
        <f>COUNTIFS('Raw data'!$D:$D,"*Joshua Harrup*", 'Raw data'!$Y:$Y,"*2nd*",'Raw data'!$J:$J,"*Blocked Shots*")</f>
        <v>0</v>
      </c>
      <c r="IE26" s="8">
        <f>COUNTIFS('Raw data'!$D:$D,"*Joshua Harrup*", 'Raw data'!$Y:$Y,"*2nd*",'Raw data'!$J:$J,"*Man-marking*")</f>
        <v>0</v>
      </c>
      <c r="IF26" s="8">
        <f>COUNTIFS('Raw data'!$D:$D,"*Joshua Harrup*", 'Raw data'!$Y:$Y,"*2nd*",'Raw data'!$J:$J,"*Fouls*")</f>
        <v>0</v>
      </c>
      <c r="IG26" s="8">
        <f>COUNTIFS('Raw data'!$D:$D,"*Joshua Harrup*", 'Raw data'!$Y:$Y,"*2nd*",'Raw data'!$J:$J,"*Won F*")</f>
        <v>0</v>
      </c>
      <c r="IH26" s="8">
        <f>COUNTIFS('Raw data'!$D:$D,"*Joshua Harrup*", 'Raw data'!$Y:$Y,"*2nd*",'Raw data'!$G:$G,"*1v1*")</f>
        <v>1</v>
      </c>
      <c r="II26" s="8">
        <f>COUNTIFS('Raw data'!$D:$D,"*Joshua Harrup*", 'Raw data'!$Y:$Y,"*2nd*",'Raw data'!$G:$G,"*On Target*")</f>
        <v>6</v>
      </c>
      <c r="IJ26" s="8">
        <f>COUNTIFS('Raw data'!$D:$D,"*Joshua Harrup*", 'Raw data'!$Y:$Y,"*2nd*",'Raw data'!$G:$G,"*Off Target*")</f>
        <v>3</v>
      </c>
      <c r="IK26" s="8">
        <f>COUNTIFS('Raw data'!$D:$D,"*Joshua Harrup*", 'Raw data'!$Y:$Y,"*2nd*",'Raw data'!$G:$G,"*Defend the Space*")</f>
        <v>2</v>
      </c>
      <c r="IL26" s="8">
        <f>COUNTIFS('Raw data'!$D:$D,"*Joshua Harrup*", 'Raw data'!$Y:$Y,"*2nd*",'Raw data'!$G:$G,"*Conceded*")</f>
        <v>2</v>
      </c>
      <c r="IM26" s="8">
        <f>COUNTIFS('Raw data'!$D:$D,"*Joshua Harrup*", 'Raw data'!$Y:$Y,"*2nd*",'Raw data'!$G:$G,"*Save*")</f>
        <v>2</v>
      </c>
      <c r="IN26" s="8">
        <f>COUNTIFS('Raw data'!$D:$D,"*Joshua Harrup*", 'Raw data'!$Y:$Y,"*2nd*",'Raw data'!$G:$G,"*Defend the line (Cross)*")</f>
        <v>2</v>
      </c>
      <c r="IO26" s="8">
        <f>COUNTIFS('Raw data'!$D:$D,"*Joshua Harrup*", 'Raw data'!$Y:$Y,"*2nd*",'Raw data'!$G:$G,"*Counter Kick*")</f>
        <v>1</v>
      </c>
      <c r="IP26" t="s">
        <v>638</v>
      </c>
    </row>
    <row r="27" spans="2:250">
      <c r="C27" s="7"/>
      <c r="DW27" t="s">
        <v>461</v>
      </c>
      <c r="DX27" t="s">
        <v>642</v>
      </c>
      <c r="DY27">
        <v>40</v>
      </c>
      <c r="DZ27" t="s">
        <v>153</v>
      </c>
      <c r="EA27">
        <f t="shared" si="42"/>
        <v>20</v>
      </c>
      <c r="EB27" s="8">
        <f t="shared" si="43"/>
        <v>16</v>
      </c>
      <c r="EC27" s="8">
        <f t="shared" si="43"/>
        <v>4</v>
      </c>
      <c r="ED27" s="54">
        <f t="shared" si="44"/>
        <v>0.8</v>
      </c>
      <c r="EE27" s="54">
        <f t="shared" si="45"/>
        <v>0.2</v>
      </c>
      <c r="EF27">
        <f t="shared" si="46"/>
        <v>7</v>
      </c>
      <c r="EG27">
        <f>COUNTIFS('Raw data'!$D:$D,"*Melvin Brandford*", 'Raw data'!$Y:$Y,"*2nd*",'Raw data'!$I:$I,"*Forward Pass*",'Raw data'!$M:$M,"*Pass completed*")</f>
        <v>3</v>
      </c>
      <c r="EH27">
        <f>COUNTIFS('Raw data'!$D:$D,"*Melvin Brandford*", 'Raw data'!$Y:$Y,"*2nd*",'Raw data'!$I:$I,"*Forward Pass*",'Raw data'!$M:$M,"*Pass Uncompleted*")</f>
        <v>4</v>
      </c>
      <c r="EI27" s="54">
        <f t="shared" si="47"/>
        <v>0.42857142857142855</v>
      </c>
      <c r="EJ27" s="54">
        <f t="shared" si="48"/>
        <v>0.5714285714285714</v>
      </c>
      <c r="EK27">
        <f t="shared" si="49"/>
        <v>5</v>
      </c>
      <c r="EL27" s="8">
        <f>COUNTIFS('Raw data'!$D:$D,"*Melvin Brandford*", 'Raw data'!$Y:$Y,"*2nd*",'Raw data'!$I:$I,"*Lateral Pass*",'Raw data'!$M:$M,"*Pass completed*")</f>
        <v>5</v>
      </c>
      <c r="EM27" s="8">
        <f>COUNTIFS('Raw data'!$D:$D,"*Melvin Brandford*", 'Raw data'!$Y:$Y,"*2nd*",'Raw data'!$I:$I,"*Lateral Pass*",'Raw data'!$M:$M,"*Pass Uncompleted*")</f>
        <v>0</v>
      </c>
      <c r="EN27" s="54">
        <f t="shared" si="50"/>
        <v>1</v>
      </c>
      <c r="EO27" s="54">
        <f t="shared" si="51"/>
        <v>0</v>
      </c>
      <c r="EP27">
        <f t="shared" si="52"/>
        <v>8</v>
      </c>
      <c r="EQ27" s="8">
        <f>COUNTIFS('Raw data'!$D:$D,"*Melvin Brandford*", 'Raw data'!$Y:$Y,"*2nd*",'Raw data'!$I:$I,"*Backward Pass*",'Raw data'!$M:$M,"*Pass completed*")</f>
        <v>8</v>
      </c>
      <c r="ER27" s="8">
        <f>COUNTIFS('Raw data'!$D:$D,"*Melvin Brandford*", 'Raw data'!$Y:$Y,"*2nd*",'Raw data'!$I:$I,"*Backward Pass*",'Raw data'!$M:$M,"*Pass Uncompleted*")</f>
        <v>0</v>
      </c>
      <c r="ES27" s="54">
        <f t="shared" si="53"/>
        <v>1</v>
      </c>
      <c r="ET27" s="54">
        <f t="shared" si="54"/>
        <v>0</v>
      </c>
      <c r="EU27" s="8">
        <f>COUNTIFS('Raw data'!$D:$D,"*Melvin Brandford*", 'Raw data'!$Y:$Y,"*2nd*",'Raw data'!$I:$I,"*Long Kick*")</f>
        <v>0</v>
      </c>
      <c r="EV27" s="8">
        <f>COUNTIFS('Raw data'!$D:$D,"*Melvin Brandford*", 'Raw data'!$Y:$Y,"*2nd*",'Raw data'!$I:$I,"*Long Kick*",'Raw data'!$M:$M,"*Pass completed*")</f>
        <v>0</v>
      </c>
      <c r="EW27" s="8">
        <f>COUNTIFS('Raw data'!$D:$D,"*Melvin Brandford*", 'Raw data'!$Y:$Y,"*2nd*",'Raw data'!$I:$I,"*Long Kick*",'Raw data'!$M:$M,"*Pass Uncompleted*")</f>
        <v>0</v>
      </c>
      <c r="EX27" s="54" t="str">
        <f t="shared" si="55"/>
        <v>-</v>
      </c>
      <c r="EY27" s="54" t="str">
        <f t="shared" si="56"/>
        <v>-</v>
      </c>
      <c r="EZ27" s="8">
        <f>COUNTIFS('Raw data'!$D:$D,"*Melvin Brandford*", 'Raw data'!$Y:$Y,"*2nd*",'Raw data'!$I:$I,"*Balls in Behind*")</f>
        <v>0</v>
      </c>
      <c r="FA27" s="8">
        <f>COUNTIFS('Raw data'!$D:$D,"*Melvin Brandford*", 'Raw data'!$Y:$Y,"*2nd*",'Raw data'!$I:$I,"*Balls in Behind*",'Raw data'!$M:$M,"*Pass completed*")</f>
        <v>0</v>
      </c>
      <c r="FB27" s="8">
        <f>COUNTIFS('Raw data'!$D:$D,"*Melvin Brandford*", 'Raw data'!$Y:$Y,"*2nd*",'Raw data'!$I:$I,"*Balls in Behind*",'Raw data'!$M:$M,"*Pass Uncompleted*")</f>
        <v>0</v>
      </c>
      <c r="FC27" s="54" t="str">
        <f t="shared" si="57"/>
        <v>-</v>
      </c>
      <c r="FD27" s="54" t="str">
        <f t="shared" si="58"/>
        <v>-</v>
      </c>
      <c r="FE27" s="8">
        <f>COUNTIFS('Raw data'!$D:$D,"*Melvin Brandford*", 'Raw data'!$Y:$Y,"*2nd*",'Raw data'!$I:$I,"*Key/Through pass*")</f>
        <v>0</v>
      </c>
      <c r="FF27" s="8">
        <f>COUNTIFS('Raw data'!$D:$D,"*Melvin Brandford*", 'Raw data'!$Y:$Y,"*2nd*",'Raw data'!$I:$I,"*Diagonal pass*")</f>
        <v>0</v>
      </c>
      <c r="FG27" s="8">
        <f>COUNTIFS('Raw data'!$D:$D,"*Melvin Brandford*", 'Raw data'!$Y:$Y,"*2nd*",'Raw data'!$I:$I,"*Diagonal pass*",'Raw data'!$M:$M,"*Pass completed*")</f>
        <v>0</v>
      </c>
      <c r="FH27" s="8">
        <f>COUNTIFS('Raw data'!$D:$D,"*Melvin Brandford*", 'Raw data'!$Y:$Y,"*2nd*",'Raw data'!$I:$I,"*Diagonal pass*",'Raw data'!$M:$M,"*Pass Uncompleted*")</f>
        <v>0</v>
      </c>
      <c r="FI27" s="54" t="str">
        <f t="shared" si="59"/>
        <v>-</v>
      </c>
      <c r="FJ27" s="54" t="str">
        <f t="shared" si="60"/>
        <v>-</v>
      </c>
      <c r="FK27" s="8">
        <f>COUNTIFS('Raw data'!$D:$D,"*Melvin Brandford*", 'Raw data'!$Y:$Y,"*2nd*",'Raw data'!$M:$M,"*Pass Received*")</f>
        <v>12</v>
      </c>
      <c r="FL27" s="8">
        <f>COUNTIFS('Raw data'!$D:$D,"*Melvin Brandford*", 'Raw data'!$Y:$Y,"*2nd*",'Raw data'!$M:$M,"*Pass Completed*",'Raw data'!$M:$M,"*Pass Received*")</f>
        <v>9</v>
      </c>
      <c r="FM27" s="8">
        <f>COUNTIFS('Raw data'!$D:$D,"*Melvin Brandford*", 'Raw data'!$Y:$Y,"*2nd*",'Raw data'!$M:$M,"*Pass Uncompleted*",'Raw data'!$M:$M,"*Pass Received*")</f>
        <v>3</v>
      </c>
      <c r="FN27" s="8">
        <f>COUNTIFS('Raw data'!$D:$D,"*Melvin Brandford*", 'Raw data'!$Y:$Y,"*2nd*",'Raw data'!$M:$M,"*Kept Possession*",'Raw data'!$M:$M,"*Pass Received*")</f>
        <v>1</v>
      </c>
      <c r="FO27" s="8">
        <f>COUNTIFS('Raw data'!$D:$D,"*Melvin Brandford*", 'Raw data'!$Y:$Y,"*2nd*",'Raw data'!$M:$M,"*Lost Possession*")</f>
        <v>0</v>
      </c>
      <c r="FP27" s="8">
        <f>COUNTIFS('Raw data'!$D:$D,"*Melvin Brandford*", 'Raw data'!$Y:$Y,"*2nd*",'Raw data'!$M:$M,"*Lost Possession*",'Raw data'!$M:$M,"*Lost Final 1/3*")</f>
        <v>0</v>
      </c>
      <c r="FQ27" s="8">
        <f>COUNTIFS('Raw data'!$D:$D,"*Melvin Brandford*", 'Raw data'!$Y:$Y,"*2nd*",'Raw data'!$M:$M,"*Lost Possession*",'Raw data'!$M:$M,"*Lost Middle 1/3*")</f>
        <v>0</v>
      </c>
      <c r="FR27" s="8">
        <f>COUNTIFS('Raw data'!$D:$D,"*Melvin Brandford*", 'Raw data'!$Y:$Y,"*2nd*",'Raw data'!$M:$M,"*Lost Possession*",'Raw data'!$M:$M,"*Lost Own 1/3*")</f>
        <v>0</v>
      </c>
      <c r="FS27" s="8">
        <f>COUNTIFS('Raw data'!$D:$D,"*Melvin Brandford*", 'Raw data'!$Y:$Y,"*2nd*",'Raw data'!$H:$H,"*Touches in the Box*")</f>
        <v>0</v>
      </c>
      <c r="FT27" s="8">
        <f>COUNTIFS('Raw data'!$D:$D,"*Melvin Brandford*", 'Raw data'!$Y:$Y,"*2nd*",'Raw data'!$H:$H,"*1v1 Attack*")</f>
        <v>1</v>
      </c>
      <c r="FU27" s="8">
        <f>COUNTIFS('Raw data'!$D:$D,"*Melvin Brandford*", 'Raw data'!$Y:$Y,"*2nd*",'Raw data'!$H:$H,"*1v1 Attack*",'Raw data'!$H:$H,"*1v1 Attack*",'Raw data'!$M:$M,"*Kept Possession*")</f>
        <v>1</v>
      </c>
      <c r="FV27" s="8">
        <f>COUNTIFS('Raw data'!$D:$D,"*Melvin Brandford*", 'Raw data'!$Y:$Y,"*2nd*",'Raw data'!$H:$H,"*1v1 Attack*",'Raw data'!$H:$H,"*1v1 Attack*",'Raw data'!$M:$M,"*Lost Possession*")</f>
        <v>0</v>
      </c>
      <c r="FW27" s="54">
        <f t="shared" si="61"/>
        <v>1</v>
      </c>
      <c r="FX27" s="54">
        <f t="shared" si="62"/>
        <v>0</v>
      </c>
      <c r="FY27" s="8">
        <f>COUNTIFS('Raw data'!$D:$D,"*Melvin Brandford*", 'Raw data'!$Y:$Y,"*2nd*",'Raw data'!$I:$I,"*Cross*")</f>
        <v>0</v>
      </c>
      <c r="FZ27" s="8">
        <f>COUNTIFS('Raw data'!$D:$D,"*Melvin Brandford*", 'Raw data'!$Y:$Y,"*2nd*",'Raw data'!$I:$I,"*Cross*",'Raw data'!$M:$M,"*Pass Completed*")</f>
        <v>0</v>
      </c>
      <c r="GA27" s="8">
        <f>COUNTIFS('Raw data'!$D:$D,"*Melvin Brandford*", 'Raw data'!$Y:$Y,"*2nd*",'Raw data'!$I:$I,"*Cross*",'Raw data'!$M:$M,"*Pass Uncompleted*")</f>
        <v>0</v>
      </c>
      <c r="GB27" s="54" t="str">
        <f t="shared" si="63"/>
        <v>-</v>
      </c>
      <c r="GC27" s="54" t="str">
        <f t="shared" si="64"/>
        <v>-</v>
      </c>
      <c r="GD27" s="8">
        <f t="shared" si="65"/>
        <v>0</v>
      </c>
      <c r="GE27" s="8">
        <f>COUNTIFS('Raw data'!$D:$D,"*Melvin Brandford*", 'Raw data'!$Y:$Y,"*2nd*",'Raw data'!$L:$L,"*On Target*")</f>
        <v>0</v>
      </c>
      <c r="GF27" s="8">
        <f>COUNTIFS('Raw data'!$D:$D,"*Melvin Brandford*", 'Raw data'!$Y:$Y,"*2nd*",'Raw data'!$L:$L,"*Off Target*")</f>
        <v>0</v>
      </c>
      <c r="GG27" s="8">
        <f>COUNTIFS('Raw data'!$D:$D,"*Melvin Brandford*", 'Raw data'!$Y:$Y,"*2nd*",'Raw data'!$L:$L,"*Blocked*")</f>
        <v>0</v>
      </c>
      <c r="GH27" s="8">
        <f>COUNTIFS('Raw data'!$D:$D,"*Melvin Brandford*", 'Raw data'!$Y:$Y,"*2nd*",'Raw data'!$M:$M,"*Goal*")</f>
        <v>0</v>
      </c>
      <c r="GI27" s="8">
        <f>COUNTIFS('Raw data'!$D:$D,"*Melvin Brandford*", 'Raw data'!$Y:$Y,"*2nd*",'Raw data'!$M:$M,"*Assist*")</f>
        <v>0</v>
      </c>
      <c r="GJ27" s="8">
        <f>COUNTIFS('Raw data'!$D:$D,"*Melvin Brandford*", 'Raw data'!$Y:$Y,"*2nd*",'Raw data'!$H:$H,"*Offensive duel*")</f>
        <v>0</v>
      </c>
      <c r="GK27" s="8">
        <f>COUNTIFS('Raw data'!$D:$D,"*Melvin Brandford*", 'Raw data'!$Y:$Y,"*2nd*",'Raw data'!$H:$H,"*Offensive Duel*",'Raw data'!$H:$H,"*Offensive Duel*",'Raw data'!$M:$M,"*Kept Possession*")</f>
        <v>0</v>
      </c>
      <c r="GL27" s="8">
        <f>COUNTIFS('Raw data'!$D:$D,"*Melvin Brandford*", 'Raw data'!$Y:$Y,"*2nd*",'Raw data'!$H:$H,"*Offensive Duel*",'Raw data'!$H:$H,"*Offensive Duel*",'Raw data'!$M:$M,"*Lost Possession*")</f>
        <v>0</v>
      </c>
      <c r="GM27" s="54" t="str">
        <f t="shared" si="66"/>
        <v>-</v>
      </c>
      <c r="GN27" s="54" t="str">
        <f t="shared" si="67"/>
        <v>-</v>
      </c>
      <c r="GO27" s="8">
        <f>COUNTIFS('Raw data'!$D:$D,"*Melvin Brandford*", 'Raw data'!$Y:$Y,"*2nd*",'Raw data'!$H:$H,"*Acceleration*")</f>
        <v>1</v>
      </c>
      <c r="GP27" s="8">
        <f>COUNTIFS('Raw data'!$D:$D,"*Melvin Brandford*", 'Raw data'!$Y:$Y,"*2nd*",'Raw data'!$H:$H,"*Move into Pocket*")</f>
        <v>0</v>
      </c>
      <c r="GQ27" s="8">
        <f>COUNTIFS('Raw data'!$D:$D,"*Melvin Brandford*", 'Raw data'!$Y:$Y,"*2nd*",'Raw data'!$H:$H,"*Wide area*")</f>
        <v>1</v>
      </c>
      <c r="GR27" s="8">
        <f>COUNTIFS('Raw data'!$D:$D,"*Melvin Brandford*", 'Raw data'!$Y:$Y,"*2nd*",'Raw data'!$H:$H,"*Back to goal*")</f>
        <v>0</v>
      </c>
      <c r="GS27" s="8">
        <f>COUNTIFS('Raw data'!$D:$D,"*Melvin Brandford*", 'Raw data'!$Y:$Y,"*2nd*",'Raw data'!$H:$H,"*Over/Underlaps*")</f>
        <v>0</v>
      </c>
      <c r="GT27" s="8">
        <f>COUNTIFS('Raw data'!$D:$D,"*Melvin Brandford*", 'Raw data'!$Y:$Y,"*2nd*",'Raw data'!$H:$H,"*Runs in Behind*")</f>
        <v>0</v>
      </c>
      <c r="GU27" s="8">
        <f>COUNTIFS('Raw data'!$D:$D,"*Melvin Brandford*", 'Raw data'!$Y:$Y,"*2nd*",'Raw data'!$H:$H,"*Half-space Runs*")</f>
        <v>0</v>
      </c>
      <c r="GV27" s="8">
        <f t="shared" si="68"/>
        <v>5</v>
      </c>
      <c r="GW27" s="8">
        <f t="shared" si="69"/>
        <v>2</v>
      </c>
      <c r="GX27" s="8">
        <f t="shared" si="70"/>
        <v>3</v>
      </c>
      <c r="GY27" s="54">
        <f t="shared" si="71"/>
        <v>0.4</v>
      </c>
      <c r="GZ27" s="54">
        <f t="shared" si="72"/>
        <v>0.6</v>
      </c>
      <c r="HA27" s="8">
        <f>COUNTIFS('Raw data'!$D:$D,"*Melvin Brandford*", 'Raw data'!$Y:$Y,"*2nd*",'Raw data'!$K:$K,"*Ground duel*")</f>
        <v>2</v>
      </c>
      <c r="HB27" s="8">
        <f>COUNTIFS('Raw data'!$D:$D,"*Melvin Brandford*", 'Raw data'!$Y:$Y,"*2nd*",'Raw data'!$K:$K,"*Ground duel*",'Raw data'!$M:$M,"*Duel Succeeded*")</f>
        <v>0</v>
      </c>
      <c r="HC27" s="8">
        <f>COUNTIFS('Raw data'!$D:$D,"*Melvin Brandford*", 'Raw data'!$Y:$Y,"*2nd*",'Raw data'!$K:$K,"*Ground duel*",'Raw data'!$M:$M,"*Duel Unsucceeded*")</f>
        <v>2</v>
      </c>
      <c r="HD27" s="54">
        <f t="shared" si="73"/>
        <v>0</v>
      </c>
      <c r="HE27" s="54">
        <f t="shared" si="74"/>
        <v>1</v>
      </c>
      <c r="HF27" s="8">
        <f>COUNTIFS('Raw data'!$D:$D,"*Melvin Brandford*", 'Raw data'!$Y:$Y,"*2nd*",'Raw data'!$K:$K,"*Aerial duel*")</f>
        <v>3</v>
      </c>
      <c r="HG27" s="8">
        <f>COUNTIFS('Raw data'!$D:$D,"*Melvin Brandford*", 'Raw data'!$Y:$Y,"*2nd*",'Raw data'!$K:$K,"*Aerial duel*",'Raw data'!$M:$M,"*Duel Succeeded*")</f>
        <v>2</v>
      </c>
      <c r="HH27" s="8">
        <f>COUNTIFS('Raw data'!$D:$D,"*Melvin Brandford*", 'Raw data'!$Y:$Y,"*2nd*",'Raw data'!$K:$K,"*Aerial duel*",'Raw data'!$M:$M,"*Duel Unsucceeded*")</f>
        <v>1</v>
      </c>
      <c r="HI27" s="54">
        <f t="shared" si="75"/>
        <v>1</v>
      </c>
      <c r="HJ27" s="54">
        <f t="shared" si="76"/>
        <v>0.5</v>
      </c>
      <c r="HK27" s="8">
        <f>COUNTIFS('Raw data'!$D:$D,"*Melvin Brandford*", 'Raw data'!$Y:$Y,"*2nd*",'Raw data'!$K:$K,"*1v1 defense*")</f>
        <v>0</v>
      </c>
      <c r="HL27" s="8">
        <f>COUNTIFS('Raw data'!$D:$D,"*Melvin Brandford*", 'Raw data'!$Y:$Y,"*2nd*",'Raw data'!$K:$K,"*1v1 defense*",'Raw data'!$M:$M,"*Duel Succeeded*")</f>
        <v>0</v>
      </c>
      <c r="HM27" s="8">
        <f>COUNTIFS('Raw data'!$D:$D,"*Melvin Brandford*", 'Raw data'!$Y:$Y,"*2nd*",'Raw data'!$K:$K,"*1v1 defense*",'Raw data'!$M:$M,"*Duel Unsucceeded*")</f>
        <v>0</v>
      </c>
      <c r="HN27" s="54" t="str">
        <f t="shared" si="77"/>
        <v>-</v>
      </c>
      <c r="HO27" s="54" t="str">
        <f t="shared" si="78"/>
        <v>-</v>
      </c>
      <c r="HP27" s="8">
        <f>COUNTIFS('Raw data'!$D:$D,"*Melvin Brandford*", 'Raw data'!$Y:$Y,"*2nd*",'Raw data'!$J:$J,"*Tackles*")</f>
        <v>0</v>
      </c>
      <c r="HQ27" s="8">
        <f>COUNTIFS('Raw data'!$D:$D,"*Melvin Brandford*", 'Raw data'!$Y:$Y,"*2nd*",'Raw data'!$J:$J,"*Tackles*", 'Raw data'!$M:$M,"*Duel Succeeded*")</f>
        <v>0</v>
      </c>
      <c r="HR27" s="8">
        <f>COUNTIFS('Raw data'!$D:$D,"*Melvin Brandford*", 'Raw data'!$Y:$Y,"*2nd*",'Raw data'!$J:$J,"*Tackles*", 'Raw data'!$M:$M,"*Duel Unsucceeded*")</f>
        <v>0</v>
      </c>
      <c r="HS27" s="54" t="str">
        <f t="shared" si="79"/>
        <v>-</v>
      </c>
      <c r="HT27" s="54" t="str">
        <f t="shared" si="80"/>
        <v>-</v>
      </c>
      <c r="HU27" s="8">
        <f>COUNTIFS('Raw data'!$D:$D,"*Melvin Brandford*", 'Raw data'!$Y:$Y,"*2nd*",'Raw data'!$K:$K,"*2nd Balls*")</f>
        <v>0</v>
      </c>
      <c r="HV27" s="8">
        <f>COUNTIFS('Raw data'!$D:$D,"*Melvin Brandford*", 'Raw data'!$Y:$Y,"*2nd*",'Raw data'!$K:$K,"*2nd Balls*", 'Raw data'!$M:$M,"*Duel Succeeded*")</f>
        <v>0</v>
      </c>
      <c r="HW27" s="8">
        <f>COUNTIFS('Raw data'!$D:$D,"*Melvin Brandford*", 'Raw data'!$Y:$Y,"*2nd*",'Raw data'!$K:$K,"*2nd Balls*", 'Raw data'!$M:$M,"*Duel Unsucceeded*")</f>
        <v>0</v>
      </c>
      <c r="HX27" s="54" t="str">
        <f t="shared" si="81"/>
        <v>-</v>
      </c>
      <c r="HY27" s="54" t="str">
        <f t="shared" si="82"/>
        <v>-</v>
      </c>
      <c r="HZ27" s="8">
        <f>COUNTIFS('Raw data'!$D:$D,"*Melvin Brandford*", 'Raw data'!$Y:$Y,"*2nd*",'Raw data'!$J:$J,"*Clearance*")</f>
        <v>3</v>
      </c>
      <c r="IA27" s="8">
        <f>COUNTIFS('Raw data'!$D:$D,"*Melvin Brandford*", 'Raw data'!$Y:$Y,"*2nd*",'Raw data'!$J:$J,"*Interception*")</f>
        <v>1</v>
      </c>
      <c r="IB27" s="8">
        <f>COUNTIFS('Raw data'!$D:$D,"*Melvin Brandford*", 'Raw data'!$Y:$Y,"*2nd*",'Raw data'!$J:$J,"*Turnover Won*")</f>
        <v>0</v>
      </c>
      <c r="IC27" s="8">
        <f>COUNTIFS('Raw data'!$D:$D,"*Melvin Brandford*", 'Raw data'!$Y:$Y,"*2nd*",'Raw data'!$J:$J,"*Recovery*")</f>
        <v>1</v>
      </c>
      <c r="ID27" s="8">
        <f>COUNTIFS('Raw data'!$D:$D,"*Melvin Brandford*", 'Raw data'!$Y:$Y,"*2nd*",'Raw data'!$J:$J,"*Blocked Shots*")</f>
        <v>2</v>
      </c>
      <c r="IE27" s="8">
        <f>COUNTIFS('Raw data'!$D:$D,"*Melvin Brandford*", 'Raw data'!$Y:$Y,"*2nd*",'Raw data'!$J:$J,"*Man-marking*")</f>
        <v>1</v>
      </c>
      <c r="IF27" s="8">
        <f>COUNTIFS('Raw data'!$D:$D,"*Melvin Brandford*", 'Raw data'!$Y:$Y,"*2nd*",'Raw data'!$J:$J,"*Fouls*")</f>
        <v>1</v>
      </c>
      <c r="IG27" s="8">
        <f>COUNTIFS('Raw data'!$D:$D,"*Melvin Brandford*", 'Raw data'!$Y:$Y,"*2nd*",'Raw data'!$J:$J,"*Won F*")</f>
        <v>0</v>
      </c>
      <c r="IH27" s="8">
        <f>COUNTIFS('Raw data'!$D:$D,"*Melvin Brandford*", 'Raw data'!$Y:$Y,"*2nd*",'Raw data'!$G:$G,"*1v1*")</f>
        <v>0</v>
      </c>
      <c r="II27" s="8">
        <f>COUNTIFS('Raw data'!$D:$D,"*Melvin Brandford*", 'Raw data'!$Y:$Y,"*2nd*",'Raw data'!$G:$G,"*On Target*")</f>
        <v>0</v>
      </c>
      <c r="IJ27" s="8">
        <f>COUNTIFS('Raw data'!$D:$D,"*Melvin Brandford*", 'Raw data'!$Y:$Y,"*2nd*",'Raw data'!$G:$G,"*Off Target*")</f>
        <v>0</v>
      </c>
      <c r="IK27" s="8">
        <f>COUNTIFS('Raw data'!$D:$D,"*Melvin Brandford*", 'Raw data'!$Y:$Y,"*2nd*",'Raw data'!$G:$G,"*Defend the Space*")</f>
        <v>0</v>
      </c>
      <c r="IL27" s="8">
        <f>COUNTIFS('Raw data'!$D:$D,"*Melvin Brandford*", 'Raw data'!$Y:$Y,"*2nd*",'Raw data'!$G:$G,"*Conceded*")</f>
        <v>0</v>
      </c>
      <c r="IM27" s="8">
        <f>COUNTIFS('Raw data'!$D:$D,"*Melvin Brandford*", 'Raw data'!$Y:$Y,"*2nd*",'Raw data'!$G:$G,"*Save*")</f>
        <v>0</v>
      </c>
      <c r="IN27" s="8">
        <f>COUNTIFS('Raw data'!$D:$D,"*Melvin Brandford*", 'Raw data'!$Y:$Y,"*2nd*",'Raw data'!$G:$G,"*Defend the line (Cross)*")</f>
        <v>0</v>
      </c>
      <c r="IO27" s="8">
        <f>COUNTIFS('Raw data'!$D:$D,"*Melvin Brandford*", 'Raw data'!$Y:$Y,"*2nd*",'Raw data'!$G:$G,"*Counter Kick*")</f>
        <v>0</v>
      </c>
      <c r="IP27" t="s">
        <v>642</v>
      </c>
    </row>
    <row r="28" spans="2:250">
      <c r="C28" s="7"/>
      <c r="DW28" t="s">
        <v>461</v>
      </c>
      <c r="DX28" t="s">
        <v>743</v>
      </c>
      <c r="DY28">
        <v>20</v>
      </c>
      <c r="DZ28" t="s">
        <v>153</v>
      </c>
      <c r="EA28">
        <f t="shared" ref="EA28" si="83">EB28+EC28</f>
        <v>12</v>
      </c>
      <c r="EB28" s="8">
        <f t="shared" ref="EB28" si="84">EG28+EL28+EQ28</f>
        <v>11</v>
      </c>
      <c r="EC28" s="8">
        <f t="shared" ref="EC28" si="85">EH28+EM28+ER28</f>
        <v>1</v>
      </c>
      <c r="ED28" s="54">
        <f t="shared" ref="ED28" si="86">IFERROR(EB28/$EA28,"-")</f>
        <v>0.91666666666666663</v>
      </c>
      <c r="EE28" s="54">
        <f t="shared" ref="EE28" si="87">IFERROR(EC28/$EA28,"-")</f>
        <v>8.3333333333333329E-2</v>
      </c>
      <c r="EF28">
        <f t="shared" ref="EF28" si="88">EG28+EH28</f>
        <v>7</v>
      </c>
      <c r="EG28">
        <f>COUNTIFS('Raw data'!$D:$D,"*Harry Meadwell-Ludlow*", 'Raw data'!$Y:$Y,"*2nd*",'Raw data'!$I:$I,"*Forward Pass*",'Raw data'!$M:$M,"*Pass completed*")</f>
        <v>6</v>
      </c>
      <c r="EH28">
        <f>COUNTIFS('Raw data'!$D:$D,"*Harry Meadwell-Ludlow*", 'Raw data'!$Y:$Y,"*2nd*",'Raw data'!$I:$I,"*Forward Pass*",'Raw data'!$M:$M,"*Pass Uncompleted*")</f>
        <v>1</v>
      </c>
      <c r="EI28" s="54">
        <f t="shared" ref="EI28" si="89">IFERROR(EG28/$EF28,"-")</f>
        <v>0.8571428571428571</v>
      </c>
      <c r="EJ28" s="54">
        <f t="shared" ref="EJ28" si="90">IFERROR(EH28/$EF28,"-")</f>
        <v>0.14285714285714285</v>
      </c>
      <c r="EK28">
        <f t="shared" ref="EK28" si="91">EL28+EM28</f>
        <v>2</v>
      </c>
      <c r="EL28" s="8">
        <f>COUNTIFS('Raw data'!$D:$D,"*Harry Meadwell-Ludlow*", 'Raw data'!$Y:$Y,"*2nd*",'Raw data'!$I:$I,"*Lateral Pass*",'Raw data'!$M:$M,"*Pass completed*")</f>
        <v>2</v>
      </c>
      <c r="EM28" s="8">
        <f>COUNTIFS('Raw data'!$D:$D,"*Harry Meadwell-Ludlow*", 'Raw data'!$Y:$Y,"*2nd*",'Raw data'!$I:$I,"*Lateral Pass*",'Raw data'!$M:$M,"*Pass Uncompleted*")</f>
        <v>0</v>
      </c>
      <c r="EN28" s="54">
        <f t="shared" ref="EN28" si="92">IFERROR(EL28/$EK28,"-")</f>
        <v>1</v>
      </c>
      <c r="EO28" s="54">
        <f t="shared" ref="EO28" si="93">IFERROR(EM28/$EK28,"-")</f>
        <v>0</v>
      </c>
      <c r="EP28">
        <f t="shared" ref="EP28" si="94">EQ28+ER28</f>
        <v>3</v>
      </c>
      <c r="EQ28" s="8">
        <f>COUNTIFS('Raw data'!$D:$D,"*Harry Meadwell-Ludlow*", 'Raw data'!$Y:$Y,"*2nd*",'Raw data'!$I:$I,"*Backward Pass*",'Raw data'!$M:$M,"*Pass completed*")</f>
        <v>3</v>
      </c>
      <c r="ER28" s="8">
        <f>COUNTIFS('Raw data'!$D:$D,"*Harry Meadwell-Ludlow*", 'Raw data'!$Y:$Y,"*2nd*",'Raw data'!$I:$I,"*Backward Pass*",'Raw data'!$M:$M,"*Pass Uncompleted*")</f>
        <v>0</v>
      </c>
      <c r="ES28" s="54">
        <f t="shared" ref="ES28" si="95">IFERROR(EQ28/$EQ28,"-")</f>
        <v>1</v>
      </c>
      <c r="ET28" s="54">
        <f t="shared" ref="ET28" si="96">IFERROR(ER28/$EQ28,"-")</f>
        <v>0</v>
      </c>
      <c r="EU28" s="8">
        <f>COUNTIFS('Raw data'!$D:$D,"*Harry Meadwell-Ludlow*", 'Raw data'!$Y:$Y,"*2nd*",'Raw data'!$I:$I,"*Long Kick*")</f>
        <v>0</v>
      </c>
      <c r="EV28" s="8">
        <f>COUNTIFS('Raw data'!$D:$D,"*Harry Meadwell-Ludlow*", 'Raw data'!$Y:$Y,"*2nd*",'Raw data'!$I:$I,"*Long Kick*",'Raw data'!$M:$M,"*Pass completed*")</f>
        <v>0</v>
      </c>
      <c r="EW28" s="8">
        <f>COUNTIFS('Raw data'!$D:$D,"*Harry Meadwell-Ludlow*", 'Raw data'!$Y:$Y,"*2nd*",'Raw data'!$I:$I,"*Long Kick*",'Raw data'!$M:$M,"*Pass Uncompleted*")</f>
        <v>0</v>
      </c>
      <c r="EX28" s="54" t="str">
        <f t="shared" ref="EX28" si="97">IFERROR(EV28/$EU28,"-")</f>
        <v>-</v>
      </c>
      <c r="EY28" s="54" t="str">
        <f t="shared" ref="EY28" si="98">IFERROR(EW28/$EU28,"-")</f>
        <v>-</v>
      </c>
      <c r="EZ28" s="8">
        <f>COUNTIFS('Raw data'!$D:$D,"*Harry Meadwell-Ludlow*", 'Raw data'!$Y:$Y,"*2nd*",'Raw data'!$I:$I,"*Balls in Behind*")</f>
        <v>0</v>
      </c>
      <c r="FA28" s="8">
        <f>COUNTIFS('Raw data'!$D:$D,"*Harry Meadwell-Ludlow*", 'Raw data'!$Y:$Y,"*2nd*",'Raw data'!$I:$I,"*Balls in Behind*",'Raw data'!$M:$M,"*Pass completed*")</f>
        <v>0</v>
      </c>
      <c r="FB28" s="8">
        <f>COUNTIFS('Raw data'!$D:$D,"*Harry Meadwell-Ludlow*", 'Raw data'!$Y:$Y,"*2nd*",'Raw data'!$I:$I,"*Balls in Behind*",'Raw data'!$M:$M,"*Pass Uncompleted*")</f>
        <v>0</v>
      </c>
      <c r="FC28" s="54" t="str">
        <f t="shared" ref="FC28" si="99">IFERROR(FA28/$EZ28,"-")</f>
        <v>-</v>
      </c>
      <c r="FD28" s="54" t="str">
        <f t="shared" ref="FD28" si="100">IFERROR(FB28/$EZ28,"-")</f>
        <v>-</v>
      </c>
      <c r="FE28" s="8">
        <f>COUNTIFS('Raw data'!$D:$D,"*Harry Meadwell-Ludlow*", 'Raw data'!$Y:$Y,"*2nd*",'Raw data'!$I:$I,"*Key/Through pass*")</f>
        <v>0</v>
      </c>
      <c r="FF28" s="8">
        <f>COUNTIFS('Raw data'!$D:$D,"*Harry Meadwell-Ludlow*", 'Raw data'!$Y:$Y,"*2nd*",'Raw data'!$I:$I,"*Diagonal pass*")</f>
        <v>0</v>
      </c>
      <c r="FG28" s="8">
        <f>COUNTIFS('Raw data'!$D:$D,"*Harry Meadwell-Ludlow*", 'Raw data'!$Y:$Y,"*2nd*",'Raw data'!$I:$I,"*Diagonal pass*",'Raw data'!$M:$M,"*Pass completed*")</f>
        <v>0</v>
      </c>
      <c r="FH28" s="8">
        <f>COUNTIFS('Raw data'!$D:$D,"*Harry Meadwell-Ludlow*", 'Raw data'!$Y:$Y,"*2nd*",'Raw data'!$I:$I,"*Diagonal pass*",'Raw data'!$M:$M,"*Pass Uncompleted*")</f>
        <v>0</v>
      </c>
      <c r="FI28" s="54" t="str">
        <f t="shared" ref="FI28" si="101">IFERROR(FG28/$FF28,"-")</f>
        <v>-</v>
      </c>
      <c r="FJ28" s="54" t="str">
        <f t="shared" ref="FJ28" si="102">IFERROR(FH28/$FF28,"-")</f>
        <v>-</v>
      </c>
      <c r="FK28" s="8">
        <f>COUNTIFS('Raw data'!$D:$D,"*Harry Meadwell-Ludlow*", 'Raw data'!$Y:$Y,"*2nd*",'Raw data'!$M:$M,"*Pass Received*")</f>
        <v>5</v>
      </c>
      <c r="FL28" s="8">
        <f>COUNTIFS('Raw data'!$D:$D,"*Harry Meadwell-Ludlow*", 'Raw data'!$Y:$Y,"*2nd*",'Raw data'!$M:$M,"*Pass Completed*",'Raw data'!$M:$M,"*Pass Received*" )</f>
        <v>5</v>
      </c>
      <c r="FM28" s="8">
        <f>COUNTIFS('Raw data'!$D:$D,"*Harry Meadwell-Ludlow*", 'Raw data'!$Y:$Y,"*2nd*",'Raw data'!$M:$M,"*Pass Uncompleted*",'Raw data'!$M:$M,"*Pass Received*" )</f>
        <v>0</v>
      </c>
      <c r="FN28" s="8">
        <f>COUNTIFS('Raw data'!$D:$D,"*Harry Meadwell-Ludlow*", 'Raw data'!$Y:$Y,"*2nd*",'Raw data'!$M:$M,"*Kept Possession*",'Raw data'!$M:$M,"*Pass Received*")</f>
        <v>1</v>
      </c>
      <c r="FO28" s="8">
        <f>COUNTIFS('Raw data'!$D:$D,"*Harry Meadwell-Ludlow*", 'Raw data'!$Y:$Y,"*2nd*",'Raw data'!$M:$M,"*Lost Possession*" )</f>
        <v>0</v>
      </c>
      <c r="FP28" s="8">
        <f>COUNTIFS('Raw data'!$D:$D,"*Harry Meadwell-Ludlow*", 'Raw data'!$Y:$Y,"*2nd*",'Raw data'!$M:$M,"*Lost Possession*",'Raw data'!$M:$M,"*Lost Final 1/3*")</f>
        <v>0</v>
      </c>
      <c r="FQ28" s="8">
        <f>COUNTIFS('Raw data'!$D:$D,"*Harry Meadwell-Ludlow*", 'Raw data'!$Y:$Y,"*2nd*",'Raw data'!$M:$M,"*Lost Possession*",'Raw data'!$M:$M,"*Lost Middle 1/3*")</f>
        <v>0</v>
      </c>
      <c r="FR28" s="8">
        <f>COUNTIFS('Raw data'!$D:$D,"*Harry Meadwell-Ludlow*", 'Raw data'!$Y:$Y,"*2nd*",'Raw data'!$M:$M,"*Lost Possession*",'Raw data'!$M:$M,"*Lost Own 1/3*")</f>
        <v>0</v>
      </c>
      <c r="FS28" s="8">
        <f>COUNTIFS('Raw data'!$D:$D,"*Harry Meadwell-Ludlow*", 'Raw data'!$Y:$Y,"*2nd*",'Raw data'!$H:$H,"*Touches in the Box*")</f>
        <v>0</v>
      </c>
      <c r="FT28" s="8">
        <f>COUNTIFS('Raw data'!$D:$D,"*Harry Meadwell-Ludlow*", 'Raw data'!$Y:$Y,"*2nd*",'Raw data'!$H:$H,"*1v1 Attack*")</f>
        <v>0</v>
      </c>
      <c r="FU28" s="8">
        <f>COUNTIFS('Raw data'!$D:$D,"*Harry Meadwell-Ludlow*", 'Raw data'!$Y:$Y,"*2nd*",'Raw data'!$H:$H,"*1v1 Attack*",'Raw data'!$H:$H,"*1v1 Attack*",'Raw data'!$M:$M,"*Kept Possession*")</f>
        <v>0</v>
      </c>
      <c r="FV28" s="8">
        <f>COUNTIFS('Raw data'!$D:$D,"*Harry Meadwell-Ludlow*", 'Raw data'!$Y:$Y,"*2nd*",'Raw data'!$H:$H,"*1v1 Attack*",'Raw data'!$H:$H,"*1v1 Attack*",'Raw data'!$M:$M,"*Lost Possession*")</f>
        <v>0</v>
      </c>
      <c r="FW28" s="54" t="str">
        <f t="shared" ref="FW28" si="103">IFERROR(FU28/$FT28,"-")</f>
        <v>-</v>
      </c>
      <c r="FX28" s="54" t="str">
        <f t="shared" ref="FX28" si="104">IFERROR(FV28/$FT28,"-")</f>
        <v>-</v>
      </c>
      <c r="FY28" s="8">
        <f>COUNTIFS('Raw data'!$D:$D,"*Harry Meadwell-Ludlow*", 'Raw data'!$Y:$Y,"*2nd*",'Raw data'!$I:$I,"*Cross*")</f>
        <v>0</v>
      </c>
      <c r="FZ28" s="8">
        <f>COUNTIFS('Raw data'!$D:$D,"*Harry Meadwell-Ludlow*", 'Raw data'!$Y:$Y,"*2nd*",'Raw data'!$I:$I,"*Cross*",'Raw data'!$M:$M,"*Pass Completed*")</f>
        <v>0</v>
      </c>
      <c r="GA28" s="8">
        <f>COUNTIFS('Raw data'!$D:$D,"*Harry Meadwell-Ludlow*", 'Raw data'!$Y:$Y,"*2nd*",'Raw data'!$I:$I,"*Cross*",'Raw data'!$M:$M,"*Pass Uncompleted*")</f>
        <v>0</v>
      </c>
      <c r="GB28" s="54" t="str">
        <f t="shared" ref="GB28" si="105">IFERROR(FZ28/$FY28,"-")</f>
        <v>-</v>
      </c>
      <c r="GC28" s="54" t="str">
        <f t="shared" ref="GC28" si="106">IFERROR(GA28/$FY28,"-")</f>
        <v>-</v>
      </c>
      <c r="GD28" s="8">
        <f t="shared" ref="GD28" si="107">SUM(GE28:GG28)</f>
        <v>0</v>
      </c>
      <c r="GE28" s="8">
        <f>COUNTIFS('Raw data'!$D:$D,"*Harry Meadwell-Ludlow*", 'Raw data'!$Y:$Y,"*2nd*",'Raw data'!$L:$L,"*On Target*")</f>
        <v>0</v>
      </c>
      <c r="GF28" s="8">
        <f>COUNTIFS('Raw data'!$D:$D,"*Harry Meadwell-Ludlow*", 'Raw data'!$Y:$Y,"*2nd*",'Raw data'!$L:$L,"*Off Target*")</f>
        <v>0</v>
      </c>
      <c r="GG28" s="8">
        <f>COUNTIFS('Raw data'!$D:$D,"*Harry Meadwell-Ludlow*", 'Raw data'!$Y:$Y,"*2nd*",'Raw data'!$L:$L,"*Blocked*")</f>
        <v>0</v>
      </c>
      <c r="GH28" s="8">
        <f>COUNTIFS('Raw data'!$D:$D,"*Harry Meadwell-Ludlow*", 'Raw data'!$Y:$Y,"*2nd*",'Raw data'!$M:$M,"*Goal*")</f>
        <v>0</v>
      </c>
      <c r="GI28" s="8">
        <f>COUNTIFS('Raw data'!$D:$D,"*Harry Meadwell-Ludlow*", 'Raw data'!$Y:$Y,"*2nd*",'Raw data'!$M:$M,"*Assist*")</f>
        <v>0</v>
      </c>
      <c r="GJ28" s="8">
        <f>COUNTIFS('Raw data'!$D:$D,"*Harry Meadwell-Ludlow*", 'Raw data'!$Y:$Y,"*2nd*",'Raw data'!$H:$H,"*Offensive duel*")</f>
        <v>1</v>
      </c>
      <c r="GK28" s="8">
        <f>COUNTIFS('Raw data'!$D:$D,"*Harry Meadwell-Ludlow*", 'Raw data'!$Y:$Y,"*2nd*",'Raw data'!$H:$H,"*Offensive Duel*",'Raw data'!$H:$H,"*Offensive Duel*",'Raw data'!$M:$M,"*Kept Possession*")</f>
        <v>1</v>
      </c>
      <c r="GL28" s="8">
        <f>COUNTIFS('Raw data'!$D:$D,"*Harry Meadwell-Ludlow*", 'Raw data'!$Y:$Y,"*2nd*",'Raw data'!$H:$H,"*Offensive Duel*",'Raw data'!$H:$H,"*Offensive Duel*",'Raw data'!$M:$M,"*Lost Possession*")</f>
        <v>0</v>
      </c>
      <c r="GM28" s="54">
        <f t="shared" ref="GM28" si="108">IFERROR(GK28/$GJ28,"-")</f>
        <v>1</v>
      </c>
      <c r="GN28" s="54">
        <f t="shared" ref="GN28" si="109">IFERROR(GL28/$GJ28,"-")</f>
        <v>0</v>
      </c>
      <c r="GO28" s="8">
        <f>COUNTIFS('Raw data'!$D:$D,"*Harry Meadwell-Ludlow*", 'Raw data'!$Y:$Y,"*2nd*",'Raw data'!$H:$H,"*Acceleration*")</f>
        <v>1</v>
      </c>
      <c r="GP28" s="8">
        <f>COUNTIFS('Raw data'!$D:$D,"*Harry Meadwell-Ludlow*", 'Raw data'!$Y:$Y,"*2nd*",'Raw data'!$H:$H,"*Move into Pocket*")</f>
        <v>0</v>
      </c>
      <c r="GQ28" s="8">
        <f>COUNTIFS('Raw data'!$D:$D,"*Harry Meadwell-Ludlow*", 'Raw data'!$Y:$Y,"*2nd*",'Raw data'!$H:$H,"*Wide area*")</f>
        <v>1</v>
      </c>
      <c r="GR28" s="8">
        <f>COUNTIFS('Raw data'!$D:$D,"*Harry Meadwell-Ludlow*", 'Raw data'!$Y:$Y,"*2nd*",'Raw data'!$H:$H,"*Back to goal*")</f>
        <v>0</v>
      </c>
      <c r="GS28" s="8">
        <f>COUNTIFS('Raw data'!$D:$D,"*Harry Meadwell-Ludlow*", 'Raw data'!$Y:$Y,"*2nd*",'Raw data'!$H:$H,"*Over/Underlaps*")</f>
        <v>0</v>
      </c>
      <c r="GT28" s="8">
        <f>COUNTIFS('Raw data'!$D:$D,"*Harry Meadwell-Ludlow*", 'Raw data'!$Y:$Y,"*2nd*",'Raw data'!$H:$H,"*Runs in Behind*")</f>
        <v>0</v>
      </c>
      <c r="GU28" s="8">
        <f>COUNTIFS('Raw data'!$D:$D,"*Harry Meadwell-Ludlow*", 'Raw data'!$Y:$Y,"*2nd*",'Raw data'!$H:$H,"*Half-space Runs*")</f>
        <v>0</v>
      </c>
      <c r="GV28" s="8">
        <f t="shared" ref="GV28" si="110">SUM(GJ28,HA28,HF28)</f>
        <v>3</v>
      </c>
      <c r="GW28" s="8">
        <f t="shared" ref="GW28" si="111">SUM(GK28,HB28,HG28)</f>
        <v>3</v>
      </c>
      <c r="GX28" s="8">
        <f t="shared" ref="GX28" si="112">SUM(GL28,HC28,HH28)</f>
        <v>0</v>
      </c>
      <c r="GY28" s="54">
        <f t="shared" ref="GY28" si="113">IFERROR(GW28/$GV28,"-")</f>
        <v>1</v>
      </c>
      <c r="GZ28" s="54">
        <f t="shared" ref="GZ28" si="114">IFERROR(GX28/$GV28,"-")</f>
        <v>0</v>
      </c>
      <c r="HA28" s="8">
        <f>COUNTIFS('Raw data'!$D:$D,"*Harry Meadwell-Ludlow*", 'Raw data'!$Y:$Y,"*2nd*",'Raw data'!$K:$K,"*Ground duel*")</f>
        <v>1</v>
      </c>
      <c r="HB28" s="8">
        <f>COUNTIFS('Raw data'!$D:$D,"*Harry Meadwell-Ludlow*", 'Raw data'!$Y:$Y,"*2nd*",'Raw data'!$K:$K,"*Ground duel*",'Raw data'!$M:$M,"*Duel Succeeded*")</f>
        <v>1</v>
      </c>
      <c r="HC28" s="8">
        <f>COUNTIFS('Raw data'!$D:$D,"*Harry Meadwell-Ludlow*", 'Raw data'!$Y:$Y,"*2nd*",'Raw data'!$K:$K,"*Ground duel*",'Raw data'!$M:$M,"*Duel Unsucceeded*")</f>
        <v>0</v>
      </c>
      <c r="HD28" s="54">
        <f t="shared" ref="HD28" si="115">IFERROR(HB28/$HA28,"-")</f>
        <v>1</v>
      </c>
      <c r="HE28" s="54">
        <f t="shared" ref="HE28" si="116">IFERROR(HC28/$HA28,"-")</f>
        <v>0</v>
      </c>
      <c r="HF28" s="8">
        <f>COUNTIFS('Raw data'!$D:$D,"*Harry Meadwell-Ludlow*", 'Raw data'!$Y:$Y,"*2nd*",'Raw data'!$K:$K,"*Aerial duel*")</f>
        <v>1</v>
      </c>
      <c r="HG28" s="8">
        <f>COUNTIFS('Raw data'!$D:$D,"*Harry Meadwell-Ludlow*", 'Raw data'!$Y:$Y,"*2nd*",'Raw data'!$K:$K,"*Aerial duel*",'Raw data'!$M:$M,"*Duel Succeeded*")</f>
        <v>1</v>
      </c>
      <c r="HH28" s="8">
        <f>COUNTIFS('Raw data'!$D:$D,"*Harry Meadwell-Ludlow*", 'Raw data'!$Y:$Y,"*2nd*",'Raw data'!$K:$K,"*Aerial duel*",'Raw data'!$M:$M,"*Duel Unsucceeded*")</f>
        <v>0</v>
      </c>
      <c r="HI28" s="54">
        <f t="shared" ref="HI28" si="117">IFERROR(HG28/$HG28,"-")</f>
        <v>1</v>
      </c>
      <c r="HJ28" s="54">
        <f t="shared" ref="HJ28" si="118">IFERROR(HH28/$HG28,"-")</f>
        <v>0</v>
      </c>
      <c r="HK28" s="8">
        <f>COUNTIFS('Raw data'!$D:$D,"*Harry Meadwell-Ludlow*", 'Raw data'!$Y:$Y,"*2nd*",'Raw data'!$K:$K,"*1v1 defense*")</f>
        <v>1</v>
      </c>
      <c r="HL28" s="8">
        <f>COUNTIFS('Raw data'!$D:$D,"*Harry Meadwell-Ludlow*", 'Raw data'!$Y:$Y,"*2nd*",'Raw data'!$K:$K,"*1v1 defense*",'Raw data'!$M:$M,"*Duel Succeeded*")</f>
        <v>1</v>
      </c>
      <c r="HM28" s="8">
        <f>COUNTIFS('Raw data'!$D:$D,"*Harry Meadwell-Ludlow*", 'Raw data'!$Y:$Y,"*2nd*",'Raw data'!$K:$K,"*1v1 defense*",'Raw data'!$M:$M,"*Duel Unsucceeded*")</f>
        <v>0</v>
      </c>
      <c r="HN28" s="54">
        <f t="shared" ref="HN28" si="119">IFERROR(HL28/$HK28,"-")</f>
        <v>1</v>
      </c>
      <c r="HO28" s="54">
        <f t="shared" ref="HO28" si="120">IFERROR(HM28/$HK28,"-")</f>
        <v>0</v>
      </c>
      <c r="HP28" s="8">
        <f>COUNTIFS('Raw data'!$D:$D,"*Harry Meadwell-Ludlow*", 'Raw data'!$Y:$Y,"*2nd*",'Raw data'!$J:$J,"*Tackles*")</f>
        <v>0</v>
      </c>
      <c r="HQ28" s="8">
        <f>COUNTIFS('Raw data'!$D:$D,"*Harry Meadwell-Ludlow*", 'Raw data'!$Y:$Y,"*2nd*",'Raw data'!$J:$J,"*Tackles*", 'Raw data'!$M:$M,"*Duel Succeeded*")</f>
        <v>0</v>
      </c>
      <c r="HR28" s="8">
        <f>COUNTIFS('Raw data'!$D:$D,"*Harry Meadwell-Ludlow*", 'Raw data'!$Y:$Y,"*2nd*",'Raw data'!$J:$J,"*Tackles*", 'Raw data'!$M:$M,"*Duel Unsucceeded*")</f>
        <v>0</v>
      </c>
      <c r="HS28" s="54" t="str">
        <f t="shared" ref="HS28" si="121">IFERROR(HQ28/$HP28,"-")</f>
        <v>-</v>
      </c>
      <c r="HT28" s="54" t="str">
        <f t="shared" ref="HT28" si="122">IFERROR(HR28/$HP28,"-")</f>
        <v>-</v>
      </c>
      <c r="HU28" s="8">
        <f>COUNTIFS('Raw data'!$D:$D,"*Harry Meadwell-Ludlow*", 'Raw data'!$Y:$Y,"*2nd*",'Raw data'!$K:$K,"*2nd Balls*")</f>
        <v>0</v>
      </c>
      <c r="HV28" s="8">
        <f>COUNTIFS('Raw data'!$D:$D,"*Harry Meadwell-Ludlow*", 'Raw data'!$Y:$Y,"*2nd*",'Raw data'!$K:$K,"*2nd Balls*", 'Raw data'!$M:$M,"*Duel Succeeded*")</f>
        <v>0</v>
      </c>
      <c r="HW28" s="8">
        <f>COUNTIFS('Raw data'!$D:$D,"*Harry Meadwell-Ludlow*", 'Raw data'!$Y:$Y,"*2nd*",'Raw data'!$K:$K,"*2nd Balls*", 'Raw data'!$M:$M,"*Duel Unsucceeded*")</f>
        <v>0</v>
      </c>
      <c r="HX28" s="54" t="str">
        <f t="shared" ref="HX28" si="123">IFERROR(HV28/$HU28,"-")</f>
        <v>-</v>
      </c>
      <c r="HY28" s="54" t="str">
        <f t="shared" ref="HY28" si="124">IFERROR(HW28/$HU28,"-")</f>
        <v>-</v>
      </c>
      <c r="HZ28" s="8">
        <f>COUNTIFS('Raw data'!$D:$D,"*Harry Meadwell-Ludlow*", 'Raw data'!$Y:$Y,"*2nd*",'Raw data'!$J:$J,"*Clearance*")</f>
        <v>0</v>
      </c>
      <c r="IA28" s="8">
        <f>COUNTIFS('Raw data'!$D:$D,"*Harry Meadwell-Ludlow*", 'Raw data'!$Y:$Y,"*2nd*",'Raw data'!$J:$J,"*Interception*")</f>
        <v>1</v>
      </c>
      <c r="IB28" s="8">
        <f>COUNTIFS('Raw data'!$D:$D,"*Harry Meadwell-Ludlow*", 'Raw data'!$Y:$Y,"*2nd*",'Raw data'!$J:$J,"*Turnover Won*")</f>
        <v>1</v>
      </c>
      <c r="IC28" s="8">
        <f>COUNTIFS('Raw data'!$D:$D,"*Harry Meadwell-Ludlow*", 'Raw data'!$Y:$Y,"*2nd*",'Raw data'!$J:$J,"*Recovery*")</f>
        <v>1</v>
      </c>
      <c r="ID28" s="8">
        <f>COUNTIFS('Raw data'!$D:$D,"*Harry Meadwell-Ludlow*", 'Raw data'!$Y:$Y,"*2nd*",'Raw data'!$J:$J,"*Blocked Shots*")</f>
        <v>0</v>
      </c>
      <c r="IE28" s="8">
        <f>COUNTIFS('Raw data'!$D:$D,"*Harry Meadwell-Ludlow*", 'Raw data'!$Y:$Y,"*2nd*",'Raw data'!$J:$J,"*Man-marking*")</f>
        <v>0</v>
      </c>
      <c r="IF28" s="8">
        <f>COUNTIFS('Raw data'!$D:$D,"*Harry Meadwell-Ludlow*", 'Raw data'!$Y:$Y,"*2nd*",'Raw data'!$J:$J,"*Fouls*")</f>
        <v>0</v>
      </c>
      <c r="IG28" s="8">
        <f>COUNTIFS('Raw data'!$D:$D,"*Harry Meadwell-Ludlow*", 'Raw data'!$Y:$Y,"*2nd*",'Raw data'!$J:$J,"*Won F*")</f>
        <v>0</v>
      </c>
      <c r="IH28" s="8">
        <f>COUNTIFS('Raw data'!$D:$D,"*Harry Meadwell-Ludlow*", 'Raw data'!$Y:$Y,"*2nd*",'Raw data'!$G:$G,"*1v1*")</f>
        <v>0</v>
      </c>
      <c r="II28" s="8">
        <f>COUNTIFS('Raw data'!$D:$D,"*Harry Meadwell-Ludlow*", 'Raw data'!$Y:$Y,"*2nd*",'Raw data'!$G:$G,"*On Target*")</f>
        <v>0</v>
      </c>
      <c r="IJ28" s="8">
        <f>COUNTIFS('Raw data'!$D:$D,"*Harry Meadwell-Ludlow*", 'Raw data'!$Y:$Y,"*2nd*",'Raw data'!$G:$G,"*Off Target*")</f>
        <v>0</v>
      </c>
      <c r="IK28" s="8">
        <f>COUNTIFS('Raw data'!$D:$D,"*Harry Meadwell-Ludlow*", 'Raw data'!$Y:$Y,"*2nd*",'Raw data'!$G:$G,"*Defend the Space*")</f>
        <v>0</v>
      </c>
      <c r="IL28" s="8">
        <f>COUNTIFS('Raw data'!$D:$D,"*Harry Meadwell-Ludlow*", 'Raw data'!$Y:$Y,"*2nd*",'Raw data'!$G:$G,"*Conceded*")</f>
        <v>0</v>
      </c>
      <c r="IM28" s="8">
        <f>COUNTIFS('Raw data'!$D:$D,"*Harry Meadwell-Ludlow*", 'Raw data'!$Y:$Y,"*2nd*",'Raw data'!$G:$G,"*Save*")</f>
        <v>0</v>
      </c>
      <c r="IN28" s="8">
        <f>COUNTIFS('Raw data'!$D:$D,"*Harry Meadwell-Ludlow*", 'Raw data'!$Y:$Y,"*2nd*",'Raw data'!$G:$G,"*Defend the line (Cross)*")</f>
        <v>0</v>
      </c>
      <c r="IO28" s="8">
        <f>COUNTIFS('Raw data'!$D:$D,"*Harry Meadwell-Ludlow*", 'Raw data'!$Y:$Y,"*2nd*",'Raw data'!$G:$G,"*Counter Kick*")</f>
        <v>0</v>
      </c>
      <c r="IP28" t="s">
        <v>743</v>
      </c>
    </row>
    <row r="29" spans="2:250">
      <c r="C29" s="7"/>
      <c r="DW29" t="s">
        <v>461</v>
      </c>
      <c r="DX29" t="s">
        <v>636</v>
      </c>
      <c r="DY29">
        <v>20</v>
      </c>
      <c r="DZ29" t="s">
        <v>153</v>
      </c>
      <c r="EA29">
        <f t="shared" si="42"/>
        <v>17</v>
      </c>
      <c r="EB29" s="8">
        <f t="shared" si="43"/>
        <v>16</v>
      </c>
      <c r="EC29" s="8">
        <f t="shared" si="43"/>
        <v>1</v>
      </c>
      <c r="ED29" s="54">
        <f t="shared" si="44"/>
        <v>0.94117647058823528</v>
      </c>
      <c r="EE29" s="54">
        <f t="shared" si="45"/>
        <v>5.8823529411764705E-2</v>
      </c>
      <c r="EF29">
        <f t="shared" si="46"/>
        <v>8</v>
      </c>
      <c r="EG29">
        <f>COUNTIFS('Raw data'!$D:$D,"*Joshua Laotan*", 'Raw data'!$Y:$Y,"*2nd*",'Raw data'!$I:$I,"*Forward Pass*",'Raw data'!$M:$M,"*Pass completed*")</f>
        <v>7</v>
      </c>
      <c r="EH29">
        <f>COUNTIFS('Raw data'!$D:$D,"*Joshua Laotan*", 'Raw data'!$Y:$Y,"*2nd*",'Raw data'!$I:$I,"*Forward Pass*",'Raw data'!$M:$M,"*Pass Uncompleted*")</f>
        <v>1</v>
      </c>
      <c r="EI29" s="54">
        <f t="shared" si="47"/>
        <v>0.875</v>
      </c>
      <c r="EJ29" s="54">
        <f t="shared" si="48"/>
        <v>0.125</v>
      </c>
      <c r="EK29">
        <f t="shared" si="49"/>
        <v>3</v>
      </c>
      <c r="EL29" s="8">
        <f>COUNTIFS('Raw data'!$D:$D,"*Joshua Laotan*", 'Raw data'!$Y:$Y,"*2nd*",'Raw data'!$I:$I,"*Lateral Pass*",'Raw data'!$M:$M,"*Pass completed*")</f>
        <v>3</v>
      </c>
      <c r="EM29" s="8">
        <f>COUNTIFS('Raw data'!$D:$D,"*Joshua Laotan*", 'Raw data'!$Y:$Y,"*2nd*",'Raw data'!$I:$I,"*Lateral Pass*",'Raw data'!$M:$M,"*Pass Uncompleted*")</f>
        <v>0</v>
      </c>
      <c r="EN29" s="54">
        <f t="shared" si="50"/>
        <v>1</v>
      </c>
      <c r="EO29" s="54">
        <f t="shared" si="51"/>
        <v>0</v>
      </c>
      <c r="EP29">
        <f t="shared" si="52"/>
        <v>6</v>
      </c>
      <c r="EQ29" s="8">
        <f>COUNTIFS('Raw data'!$D:$D,"*Joshua Laotan*", 'Raw data'!$Y:$Y,"*2nd*",'Raw data'!$I:$I,"*Backward Pass*",'Raw data'!$M:$M,"*Pass completed*")</f>
        <v>6</v>
      </c>
      <c r="ER29" s="8">
        <f>COUNTIFS('Raw data'!$D:$D,"*Joshua Laotan*", 'Raw data'!$Y:$Y,"*2nd*",'Raw data'!$I:$I,"*Backward Pass*",'Raw data'!$M:$M,"*Pass Uncompleted*")</f>
        <v>0</v>
      </c>
      <c r="ES29" s="54">
        <f t="shared" si="53"/>
        <v>1</v>
      </c>
      <c r="ET29" s="54">
        <f t="shared" si="54"/>
        <v>0</v>
      </c>
      <c r="EU29" s="8">
        <f>COUNTIFS('Raw data'!$D:$D,"*Joshua Laotan*", 'Raw data'!$Y:$Y,"*2nd*",'Raw data'!$I:$I,"*Long Kick*")</f>
        <v>2</v>
      </c>
      <c r="EV29" s="8">
        <f>COUNTIFS('Raw data'!$D:$D,"*Joshua Laotan*", 'Raw data'!$Y:$Y,"*2nd*",'Raw data'!$I:$I,"*Long Kick*",'Raw data'!$M:$M,"*Pass completed*")</f>
        <v>1</v>
      </c>
      <c r="EW29" s="8">
        <f>COUNTIFS('Raw data'!$D:$D,"*Joshua Laotan*", 'Raw data'!$Y:$Y,"*2nd*",'Raw data'!$I:$I,"*Long Kick*",'Raw data'!$M:$M,"*Pass Uncompleted*")</f>
        <v>1</v>
      </c>
      <c r="EX29" s="54">
        <f t="shared" si="55"/>
        <v>0.5</v>
      </c>
      <c r="EY29" s="54">
        <f t="shared" si="56"/>
        <v>0.5</v>
      </c>
      <c r="EZ29" s="8">
        <f>COUNTIFS('Raw data'!$D:$D,"*Joshua Laotan*", 'Raw data'!$Y:$Y,"*2nd*",'Raw data'!$I:$I,"*Balls in Behind*")</f>
        <v>0</v>
      </c>
      <c r="FA29" s="8">
        <f>COUNTIFS('Raw data'!$D:$D,"*Joshua Laotan*", 'Raw data'!$Y:$Y,"*2nd*",'Raw data'!$I:$I,"*Balls in Behind*",'Raw data'!$M:$M,"*Pass completed*")</f>
        <v>0</v>
      </c>
      <c r="FB29" s="8">
        <f>COUNTIFS('Raw data'!$D:$D,"*Joshua Laotan*", 'Raw data'!$Y:$Y,"*2nd*",'Raw data'!$I:$I,"*Balls in Behind*",'Raw data'!$M:$M,"*Pass Uncompleted*")</f>
        <v>0</v>
      </c>
      <c r="FC29" s="54" t="str">
        <f t="shared" si="57"/>
        <v>-</v>
      </c>
      <c r="FD29" s="54" t="str">
        <f t="shared" si="58"/>
        <v>-</v>
      </c>
      <c r="FE29" s="8">
        <f>COUNTIFS('Raw data'!$D:$D,"*Joshua Laotan*", 'Raw data'!$Y:$Y,"*2nd*",'Raw data'!$I:$I,"*Key/Through pass*")</f>
        <v>1</v>
      </c>
      <c r="FF29" s="8">
        <f>COUNTIFS('Raw data'!$D:$D,"*Joshua Laotan*", 'Raw data'!$Y:$Y,"*2nd*",'Raw data'!$I:$I,"*Diagonal pass*")</f>
        <v>0</v>
      </c>
      <c r="FG29" s="8">
        <f>COUNTIFS('Raw data'!$D:$D,"*Joshua Laotan*", 'Raw data'!$Y:$Y,"*2nd*",'Raw data'!$I:$I,"*Diagonal pass*",'Raw data'!$M:$M,"*Pass completed*")</f>
        <v>0</v>
      </c>
      <c r="FH29" s="8">
        <f>COUNTIFS('Raw data'!$D:$D,"*Joshua Laotan*", 'Raw data'!$Y:$Y,"*2nd*",'Raw data'!$I:$I,"*Diagonal pass*",'Raw data'!$M:$M,"*Pass Uncompleted*")</f>
        <v>0</v>
      </c>
      <c r="FI29" s="54" t="str">
        <f t="shared" si="59"/>
        <v>-</v>
      </c>
      <c r="FJ29" s="54" t="str">
        <f t="shared" si="60"/>
        <v>-</v>
      </c>
      <c r="FK29" s="8">
        <f>COUNTIFS('Raw data'!$D:$D,"*Joshua Laotan*", 'Raw data'!$Y:$Y,"*2nd*",'Raw data'!$M:$M,"*Pass Received*")</f>
        <v>10</v>
      </c>
      <c r="FL29" s="8">
        <f>COUNTIFS('Raw data'!$D:$D,"*Joshua Laotan*", 'Raw data'!$Y:$Y,"*2nd*",'Raw data'!$M:$M,"*Pass Completed*",'Raw data'!$M:$M,"*Pass Received*" )</f>
        <v>9</v>
      </c>
      <c r="FM29" s="8">
        <f>COUNTIFS('Raw data'!$D:$D,"*Joshua Laotan*", 'Raw data'!$Y:$Y,"*2nd*",'Raw data'!$M:$M,"*Pass Uncompleted*",'Raw data'!$M:$M,"*Pass Received*" )</f>
        <v>1</v>
      </c>
      <c r="FN29" s="8">
        <f>COUNTIFS('Raw data'!$D:$D,"*Joshua Laotan*", 'Raw data'!$Y:$Y,"*2nd*",'Raw data'!$M:$M,"*Kept Possession*",'Raw data'!$M:$M,"*Pass Received*")</f>
        <v>1</v>
      </c>
      <c r="FO29" s="8">
        <f>COUNTIFS('Raw data'!$D:$D,"*Joshua Laotan*", 'Raw data'!$Y:$Y,"*2nd*",'Raw data'!$M:$M,"*Lost Possession*" )</f>
        <v>0</v>
      </c>
      <c r="FP29" s="8">
        <f>COUNTIFS('Raw data'!$D:$D,"*Joshua Laotan*", 'Raw data'!$Y:$Y,"*2nd*",'Raw data'!$M:$M,"*Lost Possession*",'Raw data'!$M:$M,"*Lost Final 1/3*")</f>
        <v>0</v>
      </c>
      <c r="FQ29" s="8">
        <f>COUNTIFS('Raw data'!$D:$D,"*Joshua Laotan*", 'Raw data'!$Y:$Y,"*2nd*",'Raw data'!$M:$M,"*Lost Possession*",'Raw data'!$M:$M,"*Lost Middle 1/3*")</f>
        <v>0</v>
      </c>
      <c r="FR29" s="8">
        <f>COUNTIFS('Raw data'!$D:$D,"*Joshua Laotan*", 'Raw data'!$Y:$Y,"*2nd*",'Raw data'!$M:$M,"*Lost Possession*",'Raw data'!$M:$M,"*Lost Own 1/3*")</f>
        <v>0</v>
      </c>
      <c r="FS29" s="8">
        <f>COUNTIFS('Raw data'!$D:$D,"*Joshua Laotan*", 'Raw data'!$Y:$Y,"*2nd*",'Raw data'!$H:$H,"*Touches in the Box*")</f>
        <v>0</v>
      </c>
      <c r="FT29" s="8">
        <f>COUNTIFS('Raw data'!$D:$D,"*Joshua Laotan*", 'Raw data'!$Y:$Y,"*2nd*",'Raw data'!$H:$H,"*1v1 Attack*")</f>
        <v>2</v>
      </c>
      <c r="FU29" s="8">
        <f>COUNTIFS('Raw data'!$D:$D,"*Joshua Laotan*", 'Raw data'!$Y:$Y,"*2nd*",'Raw data'!$H:$H,"*1v1 Attack*",'Raw data'!$H:$H,"*1v1 Attack*",'Raw data'!$M:$M,"*Kept Possession*")</f>
        <v>2</v>
      </c>
      <c r="FV29" s="8">
        <f>COUNTIFS('Raw data'!$D:$D,"*Joshua Laotan*", 'Raw data'!$Y:$Y,"*2nd*",'Raw data'!$H:$H,"*1v1 Attack*",'Raw data'!$H:$H,"*1v1 Attack*",'Raw data'!$M:$M,"*Lost Possession*")</f>
        <v>0</v>
      </c>
      <c r="FW29" s="54">
        <f t="shared" si="61"/>
        <v>1</v>
      </c>
      <c r="FX29" s="54">
        <f t="shared" si="62"/>
        <v>0</v>
      </c>
      <c r="FY29" s="8">
        <f>COUNTIFS('Raw data'!$D:$D,"*Joshua Laotan*", 'Raw data'!$Y:$Y,"*2nd*",'Raw data'!$I:$I,"*Cross*")</f>
        <v>0</v>
      </c>
      <c r="FZ29" s="8">
        <f>COUNTIFS('Raw data'!$D:$D,"*Joshua Laotan*", 'Raw data'!$Y:$Y,"*2nd*",'Raw data'!$I:$I,"*Cross*",'Raw data'!$M:$M,"*Pass Completed*")</f>
        <v>0</v>
      </c>
      <c r="GA29" s="8">
        <f>COUNTIFS('Raw data'!$D:$D,"*Joshua Laotan*", 'Raw data'!$Y:$Y,"*2nd*",'Raw data'!$I:$I,"*Cross*",'Raw data'!$M:$M,"*Pass Uncompleted*")</f>
        <v>0</v>
      </c>
      <c r="GB29" s="54" t="str">
        <f t="shared" si="63"/>
        <v>-</v>
      </c>
      <c r="GC29" s="54" t="str">
        <f t="shared" si="64"/>
        <v>-</v>
      </c>
      <c r="GD29" s="8">
        <f t="shared" si="65"/>
        <v>0</v>
      </c>
      <c r="GE29" s="8">
        <f>COUNTIFS('Raw data'!$D:$D,"*Joshua Laotan*", 'Raw data'!$Y:$Y,"*2nd*",'Raw data'!$L:$L,"*On Target*")</f>
        <v>0</v>
      </c>
      <c r="GF29" s="8">
        <f>COUNTIFS('Raw data'!$D:$D,"*Joshua Laotan*", 'Raw data'!$Y:$Y,"*2nd*",'Raw data'!$L:$L,"*Off Target*")</f>
        <v>0</v>
      </c>
      <c r="GG29" s="8">
        <f>COUNTIFS('Raw data'!$D:$D,"*Joshua Laotan*", 'Raw data'!$Y:$Y,"*2nd*",'Raw data'!$L:$L,"*Blocked*")</f>
        <v>0</v>
      </c>
      <c r="GH29" s="8">
        <f>COUNTIFS('Raw data'!$D:$D,"*Joshua Laotan*", 'Raw data'!$Y:$Y,"*2nd*",'Raw data'!$M:$M,"*Goal*")</f>
        <v>0</v>
      </c>
      <c r="GI29" s="8">
        <f>COUNTIFS('Raw data'!$D:$D,"*Joshua Laotan*", 'Raw data'!$Y:$Y,"*2nd*",'Raw data'!$M:$M,"*Assist*")</f>
        <v>0</v>
      </c>
      <c r="GJ29" s="8">
        <f>COUNTIFS('Raw data'!$D:$D,"*Joshua Laotan*", 'Raw data'!$Y:$Y,"*2nd*",'Raw data'!$H:$H,"*Offensive duel*")</f>
        <v>0</v>
      </c>
      <c r="GK29" s="8">
        <f>COUNTIFS('Raw data'!$D:$D,"*Joshua Laotan*", 'Raw data'!$Y:$Y,"*2nd*",'Raw data'!$H:$H,"*Offensive Duel*",'Raw data'!$H:$H,"*Offensive Duel*",'Raw data'!$M:$M,"*Kept Possession*")</f>
        <v>0</v>
      </c>
      <c r="GL29" s="8">
        <f>COUNTIFS('Raw data'!$D:$D,"*Joshua Laotan*", 'Raw data'!$Y:$Y,"*2nd*",'Raw data'!$H:$H,"*Offensive Duel*",'Raw data'!$H:$H,"*Offensive Duel*",'Raw data'!$M:$M,"*Lost Possession*")</f>
        <v>0</v>
      </c>
      <c r="GM29" s="54" t="str">
        <f t="shared" si="66"/>
        <v>-</v>
      </c>
      <c r="GN29" s="54" t="str">
        <f t="shared" si="67"/>
        <v>-</v>
      </c>
      <c r="GO29" s="8">
        <f>COUNTIFS('Raw data'!$D:$D,"*Joshua Laotan*", 'Raw data'!$Y:$Y,"*2nd*",'Raw data'!$H:$H,"*Acceleration*")</f>
        <v>2</v>
      </c>
      <c r="GP29" s="8">
        <f>COUNTIFS('Raw data'!$D:$D,"*Joshua Laotan*", 'Raw data'!$Y:$Y,"*2nd*",'Raw data'!$H:$H,"*Move into Pocket*")</f>
        <v>1</v>
      </c>
      <c r="GQ29" s="8">
        <f>COUNTIFS('Raw data'!$D:$D,"*Joshua Laotan*", 'Raw data'!$Y:$Y,"*2nd*",'Raw data'!$H:$H,"*Wide area*")</f>
        <v>0</v>
      </c>
      <c r="GR29" s="8">
        <f>COUNTIFS('Raw data'!$D:$D,"*Joshua Laotan*", 'Raw data'!$Y:$Y,"*2nd*",'Raw data'!$H:$H,"*Back to goal*")</f>
        <v>0</v>
      </c>
      <c r="GS29" s="8">
        <f>COUNTIFS('Raw data'!$D:$D,"*Joshua Laotan*", 'Raw data'!$Y:$Y,"*2nd*",'Raw data'!$H:$H,"*Over/Underlaps*")</f>
        <v>0</v>
      </c>
      <c r="GT29" s="8">
        <f>COUNTIFS('Raw data'!$D:$D,"*Joshua Laotan*", 'Raw data'!$Y:$Y,"*2nd*",'Raw data'!$H:$H,"*Runs in Behind*")</f>
        <v>0</v>
      </c>
      <c r="GU29" s="8">
        <f>COUNTIFS('Raw data'!$D:$D,"*Joshua Laotan*", 'Raw data'!$Y:$Y,"*2nd*",'Raw data'!$H:$H,"*Half-space Runs*")</f>
        <v>0</v>
      </c>
      <c r="GV29" s="8">
        <f t="shared" si="68"/>
        <v>0</v>
      </c>
      <c r="GW29" s="8">
        <f t="shared" si="69"/>
        <v>0</v>
      </c>
      <c r="GX29" s="8">
        <f t="shared" si="70"/>
        <v>0</v>
      </c>
      <c r="GY29" s="54" t="str">
        <f t="shared" si="71"/>
        <v>-</v>
      </c>
      <c r="GZ29" s="54" t="str">
        <f t="shared" si="72"/>
        <v>-</v>
      </c>
      <c r="HA29" s="8">
        <f>COUNTIFS('Raw data'!$D:$D,"*Joshua Laotan*", 'Raw data'!$Y:$Y,"*2nd*",'Raw data'!$K:$K,"*Ground duel*")</f>
        <v>0</v>
      </c>
      <c r="HB29" s="8">
        <f>COUNTIFS('Raw data'!$D:$D,"*Joshua Laotan*", 'Raw data'!$Y:$Y,"*2nd*",'Raw data'!$K:$K,"*Ground duel*",'Raw data'!$M:$M,"*Duel Succeeded*")</f>
        <v>0</v>
      </c>
      <c r="HC29" s="8">
        <f>COUNTIFS('Raw data'!$D:$D,"*Joshua Laotan*", 'Raw data'!$Y:$Y,"*2nd*",'Raw data'!$K:$K,"*Ground duel*",'Raw data'!$M:$M,"*Duel Unsucceeded*")</f>
        <v>0</v>
      </c>
      <c r="HD29" s="54" t="str">
        <f t="shared" si="73"/>
        <v>-</v>
      </c>
      <c r="HE29" s="54" t="str">
        <f t="shared" si="74"/>
        <v>-</v>
      </c>
      <c r="HF29" s="8">
        <f>COUNTIFS('Raw data'!$D:$D,"*Joshua Laotan*", 'Raw data'!$Y:$Y,"*2nd*",'Raw data'!$K:$K,"*Aerial duel*")</f>
        <v>0</v>
      </c>
      <c r="HG29" s="8">
        <f>COUNTIFS('Raw data'!$D:$D,"*Joshua Laotan*", 'Raw data'!$Y:$Y,"*2nd*",'Raw data'!$K:$K,"*Aerial duel*",'Raw data'!$M:$M,"*Duel Succeeded*")</f>
        <v>0</v>
      </c>
      <c r="HH29" s="8">
        <f>COUNTIFS('Raw data'!$D:$D,"*Joshua Laotan*", 'Raw data'!$Y:$Y,"*2nd*",'Raw data'!$K:$K,"*Aerial duel*",'Raw data'!$M:$M,"*Duel Unsucceeded*")</f>
        <v>0</v>
      </c>
      <c r="HI29" s="54" t="str">
        <f t="shared" si="75"/>
        <v>-</v>
      </c>
      <c r="HJ29" s="54" t="str">
        <f t="shared" si="76"/>
        <v>-</v>
      </c>
      <c r="HK29" s="8">
        <f>COUNTIFS('Raw data'!$D:$D,"*Joshua Laotan*", 'Raw data'!$Y:$Y,"*2nd*",'Raw data'!$K:$K,"*1v1 defense*")</f>
        <v>0</v>
      </c>
      <c r="HL29" s="8">
        <f>COUNTIFS('Raw data'!$D:$D,"*Joshua Laotan*", 'Raw data'!$Y:$Y,"*2nd*",'Raw data'!$K:$K,"*1v1 defense*",'Raw data'!$M:$M,"*Duel Succeeded*")</f>
        <v>0</v>
      </c>
      <c r="HM29" s="8">
        <f>COUNTIFS('Raw data'!$D:$D,"*Joshua Laotan*", 'Raw data'!$Y:$Y,"*2nd*",'Raw data'!$K:$K,"*1v1 defense*",'Raw data'!$M:$M,"*Duel Unsucceeded*")</f>
        <v>0</v>
      </c>
      <c r="HN29" s="54" t="str">
        <f t="shared" si="77"/>
        <v>-</v>
      </c>
      <c r="HO29" s="54" t="str">
        <f t="shared" si="78"/>
        <v>-</v>
      </c>
      <c r="HP29" s="8">
        <f>COUNTIFS('Raw data'!$D:$D,"*Joshua Laotan*", 'Raw data'!$Y:$Y,"*2nd*",'Raw data'!$J:$J,"*Tackles*")</f>
        <v>1</v>
      </c>
      <c r="HQ29" s="8">
        <f>COUNTIFS('Raw data'!$D:$D,"*Joshua Laotan*", 'Raw data'!$Y:$Y,"*2nd*",'Raw data'!$J:$J,"*Tackles*", 'Raw data'!$M:$M,"*Duel Succeeded*")</f>
        <v>1</v>
      </c>
      <c r="HR29" s="8">
        <f>COUNTIFS('Raw data'!$D:$D,"*Joshua Laotan*", 'Raw data'!$Y:$Y,"*2nd*",'Raw data'!$J:$J,"*Tackles*", 'Raw data'!$M:$M,"*Duel Unsucceeded*")</f>
        <v>0</v>
      </c>
      <c r="HS29" s="54">
        <f t="shared" si="79"/>
        <v>1</v>
      </c>
      <c r="HT29" s="54">
        <f t="shared" si="80"/>
        <v>0</v>
      </c>
      <c r="HU29" s="8">
        <f>COUNTIFS('Raw data'!$D:$D,"*Joshua Laotan*", 'Raw data'!$Y:$Y,"*2nd*",'Raw data'!$K:$K,"*2nd Balls*")</f>
        <v>0</v>
      </c>
      <c r="HV29" s="8">
        <f>COUNTIFS('Raw data'!$D:$D,"*Joshua Laotan*", 'Raw data'!$Y:$Y,"*2nd*",'Raw data'!$K:$K,"*2nd Balls*", 'Raw data'!$M:$M,"*Duel Succeeded*")</f>
        <v>0</v>
      </c>
      <c r="HW29" s="8">
        <f>COUNTIFS('Raw data'!$D:$D,"*Joshua Laotan*", 'Raw data'!$Y:$Y,"*2nd*",'Raw data'!$K:$K,"*2nd Balls*", 'Raw data'!$M:$M,"*Duel Unsucceeded*")</f>
        <v>0</v>
      </c>
      <c r="HX29" s="54" t="str">
        <f t="shared" si="81"/>
        <v>-</v>
      </c>
      <c r="HY29" s="54" t="str">
        <f t="shared" si="82"/>
        <v>-</v>
      </c>
      <c r="HZ29" s="8">
        <f>COUNTIFS('Raw data'!$D:$D,"*Joshua Laotan*", 'Raw data'!$Y:$Y,"*2nd*",'Raw data'!$J:$J,"*Clearance*")</f>
        <v>1</v>
      </c>
      <c r="IA29" s="8">
        <f>COUNTIFS('Raw data'!$D:$D,"*Joshua Laotan*", 'Raw data'!$Y:$Y,"*2nd*",'Raw data'!$J:$J,"*Interception*")</f>
        <v>1</v>
      </c>
      <c r="IB29" s="8">
        <f>COUNTIFS('Raw data'!$D:$D,"*Joshua Laotan*", 'Raw data'!$Y:$Y,"*2nd*",'Raw data'!$J:$J,"*Turnover Won*")</f>
        <v>3</v>
      </c>
      <c r="IC29" s="8">
        <f>COUNTIFS('Raw data'!$D:$D,"*Joshua Laotan*", 'Raw data'!$Y:$Y,"*2nd*",'Raw data'!$J:$J,"*Recovery*")</f>
        <v>1</v>
      </c>
      <c r="ID29" s="8">
        <f>COUNTIFS('Raw data'!$D:$D,"*Joshua Laotan*", 'Raw data'!$Y:$Y,"*2nd*",'Raw data'!$J:$J,"*Blocked Shots*")</f>
        <v>0</v>
      </c>
      <c r="IE29" s="8">
        <f>COUNTIFS('Raw data'!$D:$D,"*Joshua Laotan*", 'Raw data'!$Y:$Y,"*2nd*",'Raw data'!$J:$J,"*Man-marking*")</f>
        <v>1</v>
      </c>
      <c r="IF29" s="8">
        <f>COUNTIFS('Raw data'!$D:$D,"*Joshua Laotan*", 'Raw data'!$Y:$Y,"*2nd*",'Raw data'!$J:$J,"*Fouls*")</f>
        <v>0</v>
      </c>
      <c r="IG29" s="8">
        <f>COUNTIFS('Raw data'!$D:$D,"*Joshua Laotan*", 'Raw data'!$Y:$Y,"*2nd*",'Raw data'!$J:$J,"*Won F*")</f>
        <v>0</v>
      </c>
      <c r="IH29" s="8">
        <f>COUNTIFS('Raw data'!$D:$D,"*Joshua Laotan*", 'Raw data'!$Y:$Y,"*2nd*",'Raw data'!$G:$G,"*1v1*")</f>
        <v>0</v>
      </c>
      <c r="II29" s="8">
        <f>COUNTIFS('Raw data'!$D:$D,"*Joshua Laotan*", 'Raw data'!$Y:$Y,"*2nd*",'Raw data'!$G:$G,"*On Target*")</f>
        <v>0</v>
      </c>
      <c r="IJ29" s="8">
        <f>COUNTIFS('Raw data'!$D:$D,"*Joshua Laotan*", 'Raw data'!$Y:$Y,"*2nd*",'Raw data'!$G:$G,"*Off Target*")</f>
        <v>0</v>
      </c>
      <c r="IK29" s="8">
        <f>COUNTIFS('Raw data'!$D:$D,"*Joshua Laotan*", 'Raw data'!$Y:$Y,"*2nd*",'Raw data'!$G:$G,"*Defend the Space*")</f>
        <v>0</v>
      </c>
      <c r="IL29" s="8">
        <f>COUNTIFS('Raw data'!$D:$D,"*Joshua Laotan*", 'Raw data'!$Y:$Y,"*2nd*",'Raw data'!$G:$G,"*Conceded*")</f>
        <v>0</v>
      </c>
      <c r="IM29" s="8">
        <f>COUNTIFS('Raw data'!$D:$D,"*Joshua Laotan*", 'Raw data'!$Y:$Y,"*2nd*",'Raw data'!$G:$G,"*Save*")</f>
        <v>0</v>
      </c>
      <c r="IN29" s="8">
        <f>COUNTIFS('Raw data'!$D:$D,"*Joshua Laotan*", 'Raw data'!$Y:$Y,"*2nd*",'Raw data'!$G:$G,"*Defend the line (Cross)*")</f>
        <v>0</v>
      </c>
      <c r="IO29" s="8">
        <f>COUNTIFS('Raw data'!$D:$D,"*Joshua Laotan*", 'Raw data'!$Y:$Y,"*2nd*",'Raw data'!$G:$G,"*Counter Kick*")</f>
        <v>0</v>
      </c>
      <c r="IP29" t="s">
        <v>636</v>
      </c>
    </row>
    <row r="30" spans="2:250">
      <c r="DW30" t="s">
        <v>461</v>
      </c>
      <c r="DX30" t="s">
        <v>637</v>
      </c>
      <c r="DY30">
        <v>40</v>
      </c>
      <c r="DZ30" t="s">
        <v>452</v>
      </c>
      <c r="EA30">
        <f t="shared" si="42"/>
        <v>14</v>
      </c>
      <c r="EB30" s="8">
        <f t="shared" si="43"/>
        <v>12</v>
      </c>
      <c r="EC30" s="8">
        <f t="shared" si="43"/>
        <v>2</v>
      </c>
      <c r="ED30" s="54">
        <f t="shared" si="44"/>
        <v>0.8571428571428571</v>
      </c>
      <c r="EE30" s="54">
        <f t="shared" si="45"/>
        <v>0.14285714285714285</v>
      </c>
      <c r="EF30">
        <f t="shared" si="46"/>
        <v>6</v>
      </c>
      <c r="EG30">
        <f>COUNTIFS('Raw data'!$D:$D,"*Levi Ampofo*", 'Raw data'!$Y:$Y,"*2nd*",'Raw data'!$I:$I,"*Forward Pass*",'Raw data'!$M:$M,"*Pass completed*")</f>
        <v>4</v>
      </c>
      <c r="EH30">
        <f>COUNTIFS('Raw data'!$D:$D,"*Levi Ampofo*", 'Raw data'!$Y:$Y,"*2nd*",'Raw data'!$I:$I,"*Forward Pass*",'Raw data'!$M:$M,"*Pass Uncompleted*")</f>
        <v>2</v>
      </c>
      <c r="EI30" s="54">
        <f t="shared" si="47"/>
        <v>0.66666666666666663</v>
      </c>
      <c r="EJ30" s="54">
        <f t="shared" si="48"/>
        <v>0.33333333333333331</v>
      </c>
      <c r="EK30">
        <f t="shared" si="49"/>
        <v>0</v>
      </c>
      <c r="EL30" s="8">
        <f>COUNTIFS('Raw data'!$D:$D,"*Levi Ampofo*", 'Raw data'!$Y:$Y,"*2nd*",'Raw data'!$I:$I,"*Lateral Pass*",'Raw data'!$M:$M,"*Pass completed*")</f>
        <v>0</v>
      </c>
      <c r="EM30" s="8">
        <f>COUNTIFS('Raw data'!$D:$D,"*Levi Ampofo*", 'Raw data'!$Y:$Y,"*2nd*",'Raw data'!$I:$I,"*Lateral Pass*",'Raw data'!$M:$M,"*Pass Uncompleted*")</f>
        <v>0</v>
      </c>
      <c r="EN30" s="54" t="str">
        <f t="shared" si="50"/>
        <v>-</v>
      </c>
      <c r="EO30" s="54" t="str">
        <f t="shared" si="51"/>
        <v>-</v>
      </c>
      <c r="EP30">
        <f t="shared" si="52"/>
        <v>8</v>
      </c>
      <c r="EQ30" s="8">
        <f>COUNTIFS('Raw data'!$D:$D,"*Levi Ampofo*", 'Raw data'!$Y:$Y,"*2nd*",'Raw data'!$I:$I,"*Backward Pass*",'Raw data'!$M:$M,"*Pass completed*")</f>
        <v>8</v>
      </c>
      <c r="ER30" s="8">
        <f>COUNTIFS('Raw data'!$D:$D,"*Levi Ampofo*", 'Raw data'!$Y:$Y,"*2nd*",'Raw data'!$I:$I,"*Backward Pass*",'Raw data'!$M:$M,"*Pass Uncompleted*")</f>
        <v>0</v>
      </c>
      <c r="ES30" s="54">
        <f t="shared" si="53"/>
        <v>1</v>
      </c>
      <c r="ET30" s="54">
        <f t="shared" si="54"/>
        <v>0</v>
      </c>
      <c r="EU30" s="8">
        <f>COUNTIFS('Raw data'!$D:$D,"*Levi Ampofo*", 'Raw data'!$Y:$Y,"*2nd*",'Raw data'!$I:$I,"*Long Kick*")</f>
        <v>1</v>
      </c>
      <c r="EV30" s="8">
        <f>COUNTIFS('Raw data'!$D:$D,"*Levi Ampofo*", 'Raw data'!$Y:$Y,"*2nd*",'Raw data'!$I:$I,"*Long Kick*",'Raw data'!$M:$M,"*Pass completed*")</f>
        <v>1</v>
      </c>
      <c r="EW30" s="8">
        <f>COUNTIFS('Raw data'!$D:$D,"*Levi Ampofo*", 'Raw data'!$Y:$Y,"*2nd*",'Raw data'!$I:$I,"*Long Kick*",'Raw data'!$M:$M,"*Pass Uncompleted*")</f>
        <v>0</v>
      </c>
      <c r="EX30" s="54">
        <f t="shared" si="55"/>
        <v>1</v>
      </c>
      <c r="EY30" s="54">
        <f t="shared" si="56"/>
        <v>0</v>
      </c>
      <c r="EZ30" s="8">
        <f>COUNTIFS('Raw data'!$D:$D,"*Levi Ampofo*", 'Raw data'!$Y:$Y,"*2nd*",'Raw data'!$I:$I,"*Balls in Behind*")</f>
        <v>1</v>
      </c>
      <c r="FA30" s="8">
        <f>COUNTIFS('Raw data'!$D:$D,"*Levi Ampofo*", 'Raw data'!$Y:$Y,"*2nd*",'Raw data'!$I:$I,"*Balls in Behind*",'Raw data'!$M:$M,"*Pass completed*")</f>
        <v>1</v>
      </c>
      <c r="FB30" s="8">
        <f>COUNTIFS('Raw data'!$D:$D,"*Levi Ampofo*", 'Raw data'!$Y:$Y,"*2nd*",'Raw data'!$I:$I,"*Balls in Behind*",'Raw data'!$M:$M,"*Pass Uncompleted*")</f>
        <v>0</v>
      </c>
      <c r="FC30" s="54">
        <f t="shared" si="57"/>
        <v>1</v>
      </c>
      <c r="FD30" s="54">
        <f t="shared" si="58"/>
        <v>0</v>
      </c>
      <c r="FE30" s="8">
        <f>COUNTIFS('Raw data'!$D:$D,"*Levi Ampofo*", 'Raw data'!$Y:$Y,"*2nd*",'Raw data'!$I:$I,"*Key/Through pass*")</f>
        <v>1</v>
      </c>
      <c r="FF30" s="8">
        <f>COUNTIFS('Raw data'!$D:$D,"*Levi Ampofo*", 'Raw data'!$Y:$Y,"*2nd*",'Raw data'!$I:$I,"*Diagonal pass*")</f>
        <v>0</v>
      </c>
      <c r="FG30" s="8">
        <f>COUNTIFS('Raw data'!$D:$D,"*Levi Ampofo*", 'Raw data'!$Y:$Y,"*2nd*",'Raw data'!$I:$I,"*Diagonal pass*",'Raw data'!$M:$M,"*Pass completed*")</f>
        <v>0</v>
      </c>
      <c r="FH30" s="8">
        <f>COUNTIFS('Raw data'!$D:$D,"*Levi Ampofo*", 'Raw data'!$Y:$Y,"*2nd*",'Raw data'!$I:$I,"*Diagonal pass*",'Raw data'!$M:$M,"*Pass Uncompleted*")</f>
        <v>0</v>
      </c>
      <c r="FI30" s="54" t="str">
        <f t="shared" si="59"/>
        <v>-</v>
      </c>
      <c r="FJ30" s="54" t="str">
        <f t="shared" si="60"/>
        <v>-</v>
      </c>
      <c r="FK30" s="8">
        <f>COUNTIFS('Raw data'!$D:$D,"*Levi Ampofo*", 'Raw data'!$Y:$Y,"*2nd*",'Raw data'!$M:$M,"*Pass Received*")</f>
        <v>9</v>
      </c>
      <c r="FL30" s="8">
        <f>COUNTIFS('Raw data'!$D:$D,"*Levi Ampofo*", 'Raw data'!$Y:$Y,"*2nd*",'Raw data'!$M:$M,"*Pass Completed*",'Raw data'!$M:$M,"*Pass Received*")</f>
        <v>6</v>
      </c>
      <c r="FM30" s="8">
        <f>COUNTIFS('Raw data'!$D:$D,"*Levi Ampofo*", 'Raw data'!$Y:$Y,"*2nd*",'Raw data'!$M:$M,"*Pass Uncompleted*",'Raw data'!$M:$M,"*Pass Received*")</f>
        <v>1</v>
      </c>
      <c r="FN30" s="8">
        <f>COUNTIFS('Raw data'!$D:$D,"*Levi Ampofo*", 'Raw data'!$Y:$Y,"*2nd*",'Raw data'!$M:$M,"*Kept Possession*",'Raw data'!$M:$M,"*Pass Received*")</f>
        <v>0</v>
      </c>
      <c r="FO30" s="8">
        <f>COUNTIFS('Raw data'!$D:$D,"*Levi Ampofo*", 'Raw data'!$Y:$Y,"*2nd*",'Raw data'!$M:$M,"*Lost Possession*")</f>
        <v>2</v>
      </c>
      <c r="FP30" s="8">
        <f>COUNTIFS('Raw data'!$D:$D,"*Levi Ampofo*", 'Raw data'!$Y:$Y,"*2nd*",'Raw data'!$M:$M,"*Lost Possession*",'Raw data'!$M:$M,"*Lost Final 1/3*")</f>
        <v>0</v>
      </c>
      <c r="FQ30" s="8">
        <f>COUNTIFS('Raw data'!$D:$D,"*Levi Ampofo*", 'Raw data'!$Y:$Y,"*2nd*",'Raw data'!$M:$M,"*Lost Possession*",'Raw data'!$M:$M,"*Lost Middle 1/3*")</f>
        <v>1</v>
      </c>
      <c r="FR30" s="8">
        <f>COUNTIFS('Raw data'!$D:$D,"*Levi Ampofo*", 'Raw data'!$Y:$Y,"*2nd*",'Raw data'!$M:$M,"*Lost Possession*",'Raw data'!$M:$M,"*Lost Own 1/3*")</f>
        <v>1</v>
      </c>
      <c r="FS30" s="8">
        <f>COUNTIFS('Raw data'!$D:$D,"*Levi Ampofo*", 'Raw data'!$Y:$Y,"*2nd*",'Raw data'!$H:$H,"*Touches in the Box*")</f>
        <v>0</v>
      </c>
      <c r="FT30" s="8">
        <f>COUNTIFS('Raw data'!$D:$D,"*Levi Ampofo*", 'Raw data'!$Y:$Y,"*2nd*",'Raw data'!$H:$H,"*1v1 Attack*")</f>
        <v>0</v>
      </c>
      <c r="FU30" s="8">
        <f>COUNTIFS('Raw data'!$D:$D,"*Levi Ampofo*", 'Raw data'!$Y:$Y,"*2nd*",'Raw data'!$H:$H,"*1v1 Attack*",'Raw data'!$H:$H,"*1v1 Attack*",'Raw data'!$M:$M,"*Kept Possession*")</f>
        <v>0</v>
      </c>
      <c r="FV30" s="8">
        <f>COUNTIFS('Raw data'!$D:$D,"*Levi Ampofo*", 'Raw data'!$Y:$Y,"*2nd*",'Raw data'!$H:$H,"*1v1 Attack*",'Raw data'!$H:$H,"*1v1 Attack*",'Raw data'!$M:$M,"*Lost Possession*")</f>
        <v>0</v>
      </c>
      <c r="FW30" s="54" t="str">
        <f t="shared" si="61"/>
        <v>-</v>
      </c>
      <c r="FX30" s="54" t="str">
        <f t="shared" si="62"/>
        <v>-</v>
      </c>
      <c r="FY30" s="8">
        <f>COUNTIFS('Raw data'!$D:$D,"*Levi Ampofo*", 'Raw data'!$Y:$Y,"*2nd*",'Raw data'!$I:$I,"*Cross*")</f>
        <v>0</v>
      </c>
      <c r="FZ30" s="8">
        <f>COUNTIFS('Raw data'!$D:$D,"*Levi Ampofo*", 'Raw data'!$Y:$Y,"*2nd*",'Raw data'!$I:$I,"*Cross*",'Raw data'!$M:$M,"*Pass Completed*")</f>
        <v>0</v>
      </c>
      <c r="GA30" s="8">
        <f>COUNTIFS('Raw data'!$D:$D,"*Levi Ampofo*", 'Raw data'!$Y:$Y,"*2nd*",'Raw data'!$I:$I,"*Cross*",'Raw data'!$M:$M,"*Pass Uncompleted*")</f>
        <v>0</v>
      </c>
      <c r="GB30" s="54" t="str">
        <f t="shared" si="63"/>
        <v>-</v>
      </c>
      <c r="GC30" s="54" t="str">
        <f t="shared" si="64"/>
        <v>-</v>
      </c>
      <c r="GD30" s="8">
        <f t="shared" si="65"/>
        <v>0</v>
      </c>
      <c r="GE30" s="8">
        <f>COUNTIFS('Raw data'!$D:$D,"*Levi Ampofo*", 'Raw data'!$Y:$Y,"*2nd*",'Raw data'!$L:$L,"*On Target*")</f>
        <v>0</v>
      </c>
      <c r="GF30" s="8">
        <f>COUNTIFS('Raw data'!$D:$D,"*Levi Ampofo*", 'Raw data'!$Y:$Y,"*2nd*",'Raw data'!$L:$L,"*Off Target*")</f>
        <v>0</v>
      </c>
      <c r="GG30" s="8">
        <f>COUNTIFS('Raw data'!$D:$D,"*Levi Ampofo*", 'Raw data'!$Y:$Y,"*2nd*",'Raw data'!$L:$L,"*Blocked*")</f>
        <v>0</v>
      </c>
      <c r="GH30" s="8">
        <f>COUNTIFS('Raw data'!$D:$D,"*Levi Ampofo*", 'Raw data'!$Y:$Y,"*2nd*",'Raw data'!$M:$M,"*Goal*")</f>
        <v>0</v>
      </c>
      <c r="GI30" s="8">
        <f>COUNTIFS('Raw data'!$D:$D,"*Levi Ampofo*", 'Raw data'!$Y:$Y,"*2nd*",'Raw data'!$M:$M,"*Assist*")</f>
        <v>1</v>
      </c>
      <c r="GJ30" s="8">
        <f>COUNTIFS('Raw data'!$D:$D,"*Levi Ampofo*", 'Raw data'!$Y:$Y,"*2nd*",'Raw data'!$H:$H,"*Offensive duel*")</f>
        <v>1</v>
      </c>
      <c r="GK30" s="8">
        <f>COUNTIFS('Raw data'!$D:$D,"*Levi Ampofo*", 'Raw data'!$Y:$Y,"*2nd*",'Raw data'!$H:$H,"*Offensive Duel*",'Raw data'!$H:$H,"*Offensive Duel*",'Raw data'!$M:$M,"*Kept Possession*")</f>
        <v>1</v>
      </c>
      <c r="GL30" s="8">
        <f>COUNTIFS('Raw data'!$D:$D,"*Levi Ampofo*", 'Raw data'!$Y:$Y,"*2nd*",'Raw data'!$H:$H,"*Offensive Duel*",'Raw data'!$H:$H,"*Offensive Duel*",'Raw data'!$M:$M,"*Lost Possession*")</f>
        <v>0</v>
      </c>
      <c r="GM30" s="54">
        <f t="shared" si="66"/>
        <v>1</v>
      </c>
      <c r="GN30" s="54">
        <f t="shared" si="67"/>
        <v>0</v>
      </c>
      <c r="GO30" s="8">
        <f>COUNTIFS('Raw data'!$D:$D,"*Levi Ampofo*", 'Raw data'!$Y:$Y,"*2nd*",'Raw data'!$H:$H,"*Acceleration*")</f>
        <v>1</v>
      </c>
      <c r="GP30" s="8">
        <f>COUNTIFS('Raw data'!$D:$D,"*Levi Ampofo*", 'Raw data'!$Y:$Y,"*2nd*",'Raw data'!$H:$H,"*Move into Pocket*")</f>
        <v>0</v>
      </c>
      <c r="GQ30" s="8">
        <f>COUNTIFS('Raw data'!$D:$D,"*Levi Ampofo*", 'Raw data'!$Y:$Y,"*2nd*",'Raw data'!$H:$H,"*Wide area*")</f>
        <v>3</v>
      </c>
      <c r="GR30" s="8">
        <f>COUNTIFS('Raw data'!$D:$D,"*Levi Ampofo*", 'Raw data'!$Y:$Y,"*2nd*",'Raw data'!$H:$H,"*Back to goal*")</f>
        <v>0</v>
      </c>
      <c r="GS30" s="8">
        <f>COUNTIFS('Raw data'!$D:$D,"*Levi Ampofo*", 'Raw data'!$Y:$Y,"*2nd*",'Raw data'!$H:$H,"*Over/Underlaps*")</f>
        <v>0</v>
      </c>
      <c r="GT30" s="8">
        <f>COUNTIFS('Raw data'!$D:$D,"*Levi Ampofo*", 'Raw data'!$Y:$Y,"*2nd*",'Raw data'!$H:$H,"*Runs in Behind*")</f>
        <v>0</v>
      </c>
      <c r="GU30" s="8">
        <f>COUNTIFS('Raw data'!$D:$D,"*Levi Ampofo*", 'Raw data'!$Y:$Y,"*2nd*",'Raw data'!$H:$H,"*Half-space Runs*")</f>
        <v>0</v>
      </c>
      <c r="GV30" s="8">
        <f t="shared" si="68"/>
        <v>4</v>
      </c>
      <c r="GW30" s="8">
        <f t="shared" si="69"/>
        <v>2</v>
      </c>
      <c r="GX30" s="8">
        <f t="shared" si="70"/>
        <v>2</v>
      </c>
      <c r="GY30" s="54">
        <f t="shared" si="71"/>
        <v>0.5</v>
      </c>
      <c r="GZ30" s="54">
        <f t="shared" si="72"/>
        <v>0.5</v>
      </c>
      <c r="HA30" s="8">
        <f>COUNTIFS('Raw data'!$D:$D,"*Levi Ampofo*", 'Raw data'!$Y:$Y,"*2nd*",'Raw data'!$K:$K,"*Ground duel*")</f>
        <v>2</v>
      </c>
      <c r="HB30" s="8">
        <f>COUNTIFS('Raw data'!$D:$D,"*Levi Ampofo*", 'Raw data'!$Y:$Y,"*2nd*",'Raw data'!$K:$K,"*Ground duel*",'Raw data'!$M:$M,"*Duel Succeeded*")</f>
        <v>1</v>
      </c>
      <c r="HC30" s="8">
        <f>COUNTIFS('Raw data'!$D:$D,"*Levi Ampofo*", 'Raw data'!$Y:$Y,"*2nd*",'Raw data'!$K:$K,"*Ground duel*",'Raw data'!$M:$M,"*Duel Unsucceeded*")</f>
        <v>1</v>
      </c>
      <c r="HD30" s="54">
        <f t="shared" si="73"/>
        <v>0.5</v>
      </c>
      <c r="HE30" s="54">
        <f t="shared" si="74"/>
        <v>0.5</v>
      </c>
      <c r="HF30" s="8">
        <f>COUNTIFS('Raw data'!$D:$D,"*Levi Ampofo*", 'Raw data'!$Y:$Y,"*2nd*",'Raw data'!$K:$K,"*Aerial duel*")</f>
        <v>1</v>
      </c>
      <c r="HG30" s="8">
        <f>COUNTIFS('Raw data'!$D:$D,"*Levi Ampofo*", 'Raw data'!$Y:$Y,"*2nd*",'Raw data'!$K:$K,"*Aerial duel*",'Raw data'!$M:$M,"*Duel Succeeded*")</f>
        <v>0</v>
      </c>
      <c r="HH30" s="8">
        <f>COUNTIFS('Raw data'!$D:$D,"*Levi Ampofo*", 'Raw data'!$Y:$Y,"*2nd*",'Raw data'!$K:$K,"*Aerial duel*",'Raw data'!$M:$M,"*Duel Unsucceeded*")</f>
        <v>1</v>
      </c>
      <c r="HI30" s="54" t="str">
        <f t="shared" si="75"/>
        <v>-</v>
      </c>
      <c r="HJ30" s="54" t="str">
        <f t="shared" si="76"/>
        <v>-</v>
      </c>
      <c r="HK30" s="8">
        <f>COUNTIFS('Raw data'!$D:$D,"*Levi Ampofo*", 'Raw data'!$Y:$Y,"*2nd*",'Raw data'!$K:$K,"*1v1 defense*")</f>
        <v>1</v>
      </c>
      <c r="HL30" s="8">
        <f>COUNTIFS('Raw data'!$D:$D,"*Levi Ampofo*", 'Raw data'!$Y:$Y,"*2nd*",'Raw data'!$K:$K,"*1v1 defense*",'Raw data'!$M:$M,"*Duel Succeeded*")</f>
        <v>1</v>
      </c>
      <c r="HM30" s="8">
        <f>COUNTIFS('Raw data'!$D:$D,"*Levi Ampofo*", 'Raw data'!$Y:$Y,"*2nd*",'Raw data'!$K:$K,"*1v1 defense*",'Raw data'!$M:$M,"*Duel Unsucceeded*")</f>
        <v>0</v>
      </c>
      <c r="HN30" s="54">
        <f t="shared" si="77"/>
        <v>1</v>
      </c>
      <c r="HO30" s="54">
        <f t="shared" si="78"/>
        <v>0</v>
      </c>
      <c r="HP30" s="8">
        <f>COUNTIFS('Raw data'!$D:$D,"*Levi Ampofo*", 'Raw data'!$Y:$Y,"*2nd*",'Raw data'!$J:$J,"*Tackles*")</f>
        <v>0</v>
      </c>
      <c r="HQ30" s="8">
        <f>COUNTIFS('Raw data'!$D:$D,"*Levi Ampofo*", 'Raw data'!$Y:$Y,"*2nd*",'Raw data'!$J:$J,"*Tackles*", 'Raw data'!$M:$M,"*Duel Succeeded*")</f>
        <v>0</v>
      </c>
      <c r="HR30" s="8">
        <f>COUNTIFS('Raw data'!$D:$D,"*Levi Ampofo*", 'Raw data'!$Y:$Y,"*2nd*",'Raw data'!$J:$J,"*Tackles*", 'Raw data'!$M:$M,"*Duel Unsucceeded*")</f>
        <v>0</v>
      </c>
      <c r="HS30" s="54" t="str">
        <f t="shared" si="79"/>
        <v>-</v>
      </c>
      <c r="HT30" s="54" t="str">
        <f t="shared" si="80"/>
        <v>-</v>
      </c>
      <c r="HU30" s="8">
        <f>COUNTIFS('Raw data'!$D:$D,"*Levi Ampofo*", 'Raw data'!$Y:$Y,"*2nd*",'Raw data'!$K:$K,"*2nd Balls*")</f>
        <v>1</v>
      </c>
      <c r="HV30" s="8">
        <f>COUNTIFS('Raw data'!$D:$D,"*Levi Ampofo*", 'Raw data'!$Y:$Y,"*2nd*",'Raw data'!$K:$K,"*2nd Balls*", 'Raw data'!$M:$M,"*Duel Succeeded*")</f>
        <v>0</v>
      </c>
      <c r="HW30" s="8">
        <f>COUNTIFS('Raw data'!$D:$D,"*Levi Ampofo*", 'Raw data'!$Y:$Y,"*2nd*",'Raw data'!$K:$K,"*2nd Balls*", 'Raw data'!$M:$M,"*Duel Unsucceeded*")</f>
        <v>1</v>
      </c>
      <c r="HX30" s="54">
        <f t="shared" si="81"/>
        <v>0</v>
      </c>
      <c r="HY30" s="54">
        <f t="shared" si="82"/>
        <v>1</v>
      </c>
      <c r="HZ30" s="8">
        <f>COUNTIFS('Raw data'!$D:$D,"*Levi Ampofo*", 'Raw data'!$Y:$Y,"*2nd*",'Raw data'!$J:$J,"*Clearance*")</f>
        <v>1</v>
      </c>
      <c r="IA30" s="8">
        <f>COUNTIFS('Raw data'!$D:$D,"*Levi Ampofo*", 'Raw data'!$Y:$Y,"*2nd*",'Raw data'!$J:$J,"*Interception*")</f>
        <v>4</v>
      </c>
      <c r="IB30" s="8">
        <f>COUNTIFS('Raw data'!$D:$D,"*Levi Ampofo*", 'Raw data'!$Y:$Y,"*2nd*",'Raw data'!$J:$J,"*Turnover Won*")</f>
        <v>2</v>
      </c>
      <c r="IC30" s="8">
        <f>COUNTIFS('Raw data'!$D:$D,"*Levi Ampofo*", 'Raw data'!$Y:$Y,"*2nd*",'Raw data'!$J:$J,"*Recovery*")</f>
        <v>0</v>
      </c>
      <c r="ID30" s="8">
        <f>COUNTIFS('Raw data'!$D:$D,"*Levi Ampofo*", 'Raw data'!$Y:$Y,"*2nd*",'Raw data'!$J:$J,"*Blocked Shots*")</f>
        <v>1</v>
      </c>
      <c r="IE30" s="8">
        <f>COUNTIFS('Raw data'!$D:$D,"*Levi Ampofo*", 'Raw data'!$Y:$Y,"*2nd*",'Raw data'!$J:$J,"*Man-marking*")</f>
        <v>2</v>
      </c>
      <c r="IF30" s="8">
        <f>COUNTIFS('Raw data'!$D:$D,"*Levi Ampofo*", 'Raw data'!$Y:$Y,"*2nd*",'Raw data'!$J:$J,"*Fouls*")</f>
        <v>0</v>
      </c>
      <c r="IG30" s="8">
        <f>COUNTIFS('Raw data'!$D:$D,"*Levi Ampofo*", 'Raw data'!$Y:$Y,"*2nd*",'Raw data'!$J:$J,"*Won F*")</f>
        <v>0</v>
      </c>
      <c r="IH30" s="8">
        <f>COUNTIFS('Raw data'!$D:$D,"*Levi Ampofo*", 'Raw data'!$Y:$Y,"*2nd*",'Raw data'!$G:$G,"*1v1*")</f>
        <v>0</v>
      </c>
      <c r="II30" s="8">
        <f>COUNTIFS('Raw data'!$D:$D,"*Levi Ampofo*", 'Raw data'!$Y:$Y,"*2nd*",'Raw data'!$G:$G,"*On Target*")</f>
        <v>0</v>
      </c>
      <c r="IJ30" s="8">
        <f>COUNTIFS('Raw data'!$D:$D,"*Levi Ampofo*", 'Raw data'!$Y:$Y,"*2nd*",'Raw data'!$G:$G,"*Off Target*")</f>
        <v>0</v>
      </c>
      <c r="IK30" s="8">
        <f>COUNTIFS('Raw data'!$D:$D,"*Levi Ampofo*", 'Raw data'!$Y:$Y,"*2nd*",'Raw data'!$G:$G,"*Defend the Space*")</f>
        <v>0</v>
      </c>
      <c r="IL30" s="8">
        <f>COUNTIFS('Raw data'!$D:$D,"*Levi Ampofo*", 'Raw data'!$Y:$Y,"*2nd*",'Raw data'!$G:$G,"*Conceded*")</f>
        <v>0</v>
      </c>
      <c r="IM30" s="8">
        <f>COUNTIFS('Raw data'!$D:$D,"*Levi Ampofo*", 'Raw data'!$Y:$Y,"*2nd*",'Raw data'!$G:$G,"*Save*")</f>
        <v>0</v>
      </c>
      <c r="IN30" s="8">
        <f>COUNTIFS('Raw data'!$D:$D,"*Levi Ampofo*", 'Raw data'!$Y:$Y,"*2nd*",'Raw data'!$G:$G,"*Defend the line (Cross)*")</f>
        <v>0</v>
      </c>
      <c r="IO30" s="8">
        <f>COUNTIFS('Raw data'!$D:$D,"*Levi Ampofo*", 'Raw data'!$Y:$Y,"*2nd*",'Raw data'!$G:$G,"*Counter Kick*")</f>
        <v>0</v>
      </c>
      <c r="IP30" t="s">
        <v>637</v>
      </c>
    </row>
    <row r="31" spans="2:250">
      <c r="DW31" t="s">
        <v>461</v>
      </c>
      <c r="DX31" t="s">
        <v>777</v>
      </c>
      <c r="DY31">
        <v>40</v>
      </c>
      <c r="DZ31" t="s">
        <v>537</v>
      </c>
      <c r="EA31">
        <f t="shared" si="42"/>
        <v>11</v>
      </c>
      <c r="EB31" s="8">
        <f t="shared" si="43"/>
        <v>8</v>
      </c>
      <c r="EC31" s="8">
        <f t="shared" si="43"/>
        <v>3</v>
      </c>
      <c r="ED31" s="54">
        <f t="shared" si="44"/>
        <v>0.72727272727272729</v>
      </c>
      <c r="EE31" s="54">
        <f t="shared" si="45"/>
        <v>0.27272727272727271</v>
      </c>
      <c r="EF31">
        <f t="shared" si="46"/>
        <v>6</v>
      </c>
      <c r="EG31">
        <f>COUNTIFS('Raw data'!$D:$D,"*Diyar Sonzamanci*", 'Raw data'!$Y:$Y,"*2nd*",'Raw data'!$I:$I,"*Forward Pass*",'Raw data'!$M:$M,"*Pass completed*")</f>
        <v>3</v>
      </c>
      <c r="EH31">
        <f>COUNTIFS('Raw data'!$D:$D,"*Diyar Sonzamanci*", 'Raw data'!$Y:$Y,"*2nd*",'Raw data'!$I:$I,"*Forward Pass*",'Raw data'!$M:$M,"*Pass Uncompleted*")</f>
        <v>3</v>
      </c>
      <c r="EI31" s="54">
        <f t="shared" si="47"/>
        <v>0.5</v>
      </c>
      <c r="EJ31" s="54">
        <f t="shared" si="48"/>
        <v>0.5</v>
      </c>
      <c r="EK31">
        <f t="shared" si="49"/>
        <v>2</v>
      </c>
      <c r="EL31" s="8">
        <f>COUNTIFS('Raw data'!$D:$D,"*Diyar Sonzamanci*", 'Raw data'!$Y:$Y,"*2nd*",'Raw data'!$I:$I,"*Lateral Pass*",'Raw data'!$M:$M,"*Pass completed*")</f>
        <v>2</v>
      </c>
      <c r="EM31" s="8">
        <f>COUNTIFS('Raw data'!$D:$D,"*Diyar Sonzamanci*", 'Raw data'!$Y:$Y,"*2nd*",'Raw data'!$I:$I,"*Lateral Pass*",'Raw data'!$M:$M,"*Pass Uncompleted*")</f>
        <v>0</v>
      </c>
      <c r="EN31" s="54">
        <f t="shared" si="50"/>
        <v>1</v>
      </c>
      <c r="EO31" s="54">
        <f t="shared" si="51"/>
        <v>0</v>
      </c>
      <c r="EP31">
        <f t="shared" si="52"/>
        <v>3</v>
      </c>
      <c r="EQ31" s="8">
        <f>COUNTIFS('Raw data'!$D:$D,"*Diyar Sonzamanci*", 'Raw data'!$Y:$Y,"*2nd*",'Raw data'!$I:$I,"*Backward Pass*",'Raw data'!$M:$M,"*Pass completed*")</f>
        <v>3</v>
      </c>
      <c r="ER31" s="8">
        <f>COUNTIFS('Raw data'!$D:$D,"*Diyar Sonzamanci*", 'Raw data'!$Y:$Y,"*2nd*",'Raw data'!$I:$I,"*Backward Pass*",'Raw data'!$M:$M,"*Pass Uncompleted*")</f>
        <v>0</v>
      </c>
      <c r="ES31" s="54">
        <f t="shared" si="53"/>
        <v>1</v>
      </c>
      <c r="ET31" s="54">
        <f t="shared" si="54"/>
        <v>0</v>
      </c>
      <c r="EU31" s="8">
        <f>COUNTIFS('Raw data'!$D:$D,"*Diyar Sonzamanci*", 'Raw data'!$Y:$Y,"*2nd*",'Raw data'!$I:$I,"*Long Kick*")</f>
        <v>2</v>
      </c>
      <c r="EV31" s="8">
        <f>COUNTIFS('Raw data'!$D:$D,"*Diyar Sonzamanci*", 'Raw data'!$Y:$Y,"*2nd*",'Raw data'!$I:$I,"*Long Kick*",'Raw data'!$M:$M,"*Pass completed*")</f>
        <v>1</v>
      </c>
      <c r="EW31" s="8">
        <f>COUNTIFS('Raw data'!$D:$D,"*Diyar Sonzamanci*", 'Raw data'!$Y:$Y,"*2nd*",'Raw data'!$I:$I,"*Long Kick*",'Raw data'!$M:$M,"*Pass Uncompleted*")</f>
        <v>1</v>
      </c>
      <c r="EX31" s="54">
        <f t="shared" si="55"/>
        <v>0.5</v>
      </c>
      <c r="EY31" s="54">
        <f t="shared" si="56"/>
        <v>0.5</v>
      </c>
      <c r="EZ31" s="8">
        <f>COUNTIFS('Raw data'!$D:$D,"*Diyar Sonzamanci*", 'Raw data'!$Y:$Y,"*2nd*",'Raw data'!$I:$I,"*Balls in Behind*")</f>
        <v>0</v>
      </c>
      <c r="FA31" s="8">
        <f>COUNTIFS('Raw data'!$D:$D,"*Diyar Sonzamanci*", 'Raw data'!$Y:$Y,"*2nd*",'Raw data'!$I:$I,"*Balls in Behind*",'Raw data'!$M:$M,"*Pass completed*")</f>
        <v>0</v>
      </c>
      <c r="FB31" s="8">
        <f>COUNTIFS('Raw data'!$D:$D,"*Diyar Sonzamanci*", 'Raw data'!$Y:$Y,"*2nd*",'Raw data'!$I:$I,"*Balls in Behind*",'Raw data'!$M:$M,"*Pass Uncompleted*")</f>
        <v>0</v>
      </c>
      <c r="FC31" s="54" t="str">
        <f t="shared" si="57"/>
        <v>-</v>
      </c>
      <c r="FD31" s="54" t="str">
        <f t="shared" si="58"/>
        <v>-</v>
      </c>
      <c r="FE31" s="8">
        <f>COUNTIFS('Raw data'!$D:$D,"*Diyar Sonzamanci*", 'Raw data'!$Y:$Y,"*2nd*",'Raw data'!$I:$I,"*Key/Through pass*")</f>
        <v>0</v>
      </c>
      <c r="FF31" s="8">
        <f>COUNTIFS('Raw data'!$D:$D,"*Diyar Sonzamanci*", 'Raw data'!$Y:$Y,"*2nd*",'Raw data'!$I:$I,"*Diagonal pass*")</f>
        <v>0</v>
      </c>
      <c r="FG31" s="8">
        <f>COUNTIFS('Raw data'!$D:$D,"*Diyar Sonzamanci*", 'Raw data'!$Y:$Y,"*2nd*",'Raw data'!$I:$I,"*Diagonal pass*",'Raw data'!$M:$M,"*Pass completed*")</f>
        <v>0</v>
      </c>
      <c r="FH31" s="8">
        <f>COUNTIFS('Raw data'!$D:$D,"*Diyar Sonzamanci*", 'Raw data'!$Y:$Y,"*2nd*",'Raw data'!$I:$I,"*Diagonal pass*",'Raw data'!$M:$M,"*Pass Uncompleted*")</f>
        <v>0</v>
      </c>
      <c r="FI31" s="54" t="str">
        <f t="shared" si="59"/>
        <v>-</v>
      </c>
      <c r="FJ31" s="54" t="str">
        <f t="shared" si="60"/>
        <v>-</v>
      </c>
      <c r="FK31" s="8">
        <f>COUNTIFS('Raw data'!$D:$D,"*Diyar Sonzamanci*", 'Raw data'!$Y:$Y,"*2nd*",'Raw data'!$M:$M,"*Pass Received*")</f>
        <v>7</v>
      </c>
      <c r="FL31" s="8">
        <f>COUNTIFS('Raw data'!$D:$D,"*Diyar Sonzamanci*", 'Raw data'!$Y:$Y,"*2nd*",'Raw data'!$M:$M,"*Pass Completed*",'Raw data'!$M:$M,"*Pass Received*")</f>
        <v>5</v>
      </c>
      <c r="FM31" s="8">
        <f>COUNTIFS('Raw data'!$D:$D,"*Diyar Sonzamanci*", 'Raw data'!$Y:$Y,"*2nd*",'Raw data'!$M:$M,"*Pass Uncompleted*",'Raw data'!$M:$M,"*Pass Received*")</f>
        <v>1</v>
      </c>
      <c r="FN31" s="8">
        <f>COUNTIFS('Raw data'!$D:$D,"*Diyar Sonzamanci*", 'Raw data'!$Y:$Y,"*2nd*",'Raw data'!$M:$M,"*Kept Possession*",'Raw data'!$M:$M,"*Pass Received*")</f>
        <v>2</v>
      </c>
      <c r="FO31" s="8">
        <f>COUNTIFS('Raw data'!$D:$D,"*Diyar Sonzamanci*", 'Raw data'!$Y:$Y,"*2nd*",'Raw data'!$M:$M,"*Lost Possession*")</f>
        <v>0</v>
      </c>
      <c r="FP31" s="8">
        <f>COUNTIFS('Raw data'!$D:$D,"*Diyar Sonzamanci*", 'Raw data'!$Y:$Y,"*2nd*",'Raw data'!$M:$M,"*Lost Possession*",'Raw data'!$M:$M,"*Lost Final 1/3*")</f>
        <v>0</v>
      </c>
      <c r="FQ31" s="8">
        <f>COUNTIFS('Raw data'!$D:$D,"*Diyar Sonzamanci*", 'Raw data'!$Y:$Y,"*2nd*",'Raw data'!$M:$M,"*Lost Possession*",'Raw data'!$M:$M,"*Lost Middle 1/3*")</f>
        <v>0</v>
      </c>
      <c r="FR31" s="8">
        <f>COUNTIFS('Raw data'!$D:$D,"*Diyar Sonzamanci*", 'Raw data'!$Y:$Y,"*2nd*",'Raw data'!$M:$M,"*Lost Possession*",'Raw data'!$M:$M,"*Lost Own 1/3*")</f>
        <v>0</v>
      </c>
      <c r="FS31" s="8">
        <f>COUNTIFS('Raw data'!$D:$D,"*Diyar Sonzamanci*", 'Raw data'!$Y:$Y,"*2nd*",'Raw data'!$H:$H,"*Touches in the Box*")</f>
        <v>0</v>
      </c>
      <c r="FT31" s="8">
        <f>COUNTIFS('Raw data'!$D:$D,"*Diyar Sonzamanci*", 'Raw data'!$Y:$Y,"*2nd*",'Raw data'!$H:$H,"*1v1 Attack*")</f>
        <v>2</v>
      </c>
      <c r="FU31" s="8">
        <f>COUNTIFS('Raw data'!$D:$D,"*Diyar Sonzamanci*", 'Raw data'!$Y:$Y,"*2nd*",'Raw data'!$H:$H,"*1v1 Attack*",'Raw data'!$H:$H,"*1v1 Attack*",'Raw data'!$M:$M,"*Kept Possession*")</f>
        <v>2</v>
      </c>
      <c r="FV31" s="8">
        <f>COUNTIFS('Raw data'!$D:$D,"*Diyar Sonzamanci*", 'Raw data'!$Y:$Y,"*2nd*",'Raw data'!$H:$H,"*1v1 Attack*",'Raw data'!$H:$H,"*1v1 Attack*",'Raw data'!$M:$M,"*Lost Possession*")</f>
        <v>0</v>
      </c>
      <c r="FW31" s="54">
        <f t="shared" si="61"/>
        <v>1</v>
      </c>
      <c r="FX31" s="54">
        <f t="shared" si="62"/>
        <v>0</v>
      </c>
      <c r="FY31" s="8">
        <f>COUNTIFS('Raw data'!$D:$D,"*Diyar Sonzamanci*", 'Raw data'!$Y:$Y,"*2nd*",'Raw data'!$I:$I,"*Cross*")</f>
        <v>0</v>
      </c>
      <c r="FZ31" s="8">
        <f>COUNTIFS('Raw data'!$D:$D,"*Diyar Sonzamanci*", 'Raw data'!$Y:$Y,"*2nd*",'Raw data'!$I:$I,"*Cross*",'Raw data'!$M:$M,"*Pass Completed*")</f>
        <v>0</v>
      </c>
      <c r="GA31" s="8">
        <f>COUNTIFS('Raw data'!$D:$D,"*Diyar Sonzamanci*", 'Raw data'!$Y:$Y,"*2nd*",'Raw data'!$I:$I,"*Cross*",'Raw data'!$M:$M,"*Pass Uncompleted*")</f>
        <v>0</v>
      </c>
      <c r="GB31" s="54" t="str">
        <f t="shared" si="63"/>
        <v>-</v>
      </c>
      <c r="GC31" s="54" t="str">
        <f t="shared" si="64"/>
        <v>-</v>
      </c>
      <c r="GD31" s="8">
        <f t="shared" si="65"/>
        <v>0</v>
      </c>
      <c r="GE31" s="8">
        <f>COUNTIFS('Raw data'!$D:$D,"*Diyar Sonzamanci*", 'Raw data'!$Y:$Y,"*2nd*",'Raw data'!$L:$L,"*On Target*")</f>
        <v>0</v>
      </c>
      <c r="GF31" s="8">
        <f>COUNTIFS('Raw data'!$D:$D,"*Diyar Sonzamanci*", 'Raw data'!$Y:$Y,"*2nd*",'Raw data'!$L:$L,"*Off Target*")</f>
        <v>0</v>
      </c>
      <c r="GG31" s="8">
        <f>COUNTIFS('Raw data'!$D:$D,"*Diyar Sonzamanci*", 'Raw data'!$Y:$Y,"*2nd*",'Raw data'!$L:$L,"*Blocked*")</f>
        <v>0</v>
      </c>
      <c r="GH31" s="8">
        <f>COUNTIFS('Raw data'!$D:$D,"*Diyar Sonzamanci*", 'Raw data'!$Y:$Y,"*2nd*",'Raw data'!$M:$M,"*Goal*")</f>
        <v>0</v>
      </c>
      <c r="GI31" s="8">
        <f>COUNTIFS('Raw data'!$D:$D,"*Diyar Sonzamanci*", 'Raw data'!$Y:$Y,"*2nd*",'Raw data'!$M:$M,"*Assist*")</f>
        <v>0</v>
      </c>
      <c r="GJ31" s="8">
        <f>COUNTIFS('Raw data'!$D:$D,"*Diyar Sonzamanci*", 'Raw data'!$Y:$Y,"*2nd*",'Raw data'!$H:$H,"*Offensive duel*")</f>
        <v>0</v>
      </c>
      <c r="GK31" s="8">
        <f>COUNTIFS('Raw data'!$D:$D,"*Diyar Sonzamanci*", 'Raw data'!$Y:$Y,"*2nd*",'Raw data'!$H:$H,"*Offensive Duel*",'Raw data'!$H:$H,"*Offensive Duel*",'Raw data'!$M:$M,"*Kept Possession*")</f>
        <v>0</v>
      </c>
      <c r="GL31" s="8">
        <f>COUNTIFS('Raw data'!$D:$D,"*Diyar Sonzamanci*", 'Raw data'!$Y:$Y,"*2nd*",'Raw data'!$H:$H,"*Offensive Duel*",'Raw data'!$H:$H,"*Offensive Duel*",'Raw data'!$M:$M,"*Lost Possession*")</f>
        <v>0</v>
      </c>
      <c r="GM31" s="54" t="str">
        <f t="shared" si="66"/>
        <v>-</v>
      </c>
      <c r="GN31" s="54" t="str">
        <f t="shared" si="67"/>
        <v>-</v>
      </c>
      <c r="GO31" s="8">
        <f>COUNTIFS('Raw data'!$D:$D,"*Diyar Sonzamanci*", 'Raw data'!$Y:$Y,"*2nd*",'Raw data'!$H:$H,"*Acceleration*")</f>
        <v>1</v>
      </c>
      <c r="GP31" s="8">
        <f>COUNTIFS('Raw data'!$D:$D,"*Diyar Sonzamanci*", 'Raw data'!$Y:$Y,"*2nd*",'Raw data'!$H:$H,"*Move into Pocket*")</f>
        <v>0</v>
      </c>
      <c r="GQ31" s="8">
        <f>COUNTIFS('Raw data'!$D:$D,"*Diyar Sonzamanci*", 'Raw data'!$Y:$Y,"*2nd*",'Raw data'!$H:$H,"*Wide area*")</f>
        <v>5</v>
      </c>
      <c r="GR31" s="8">
        <f>COUNTIFS('Raw data'!$D:$D,"*Diyar Sonzamanci*", 'Raw data'!$Y:$Y,"*2nd*",'Raw data'!$H:$H,"*Back to goal*")</f>
        <v>0</v>
      </c>
      <c r="GS31" s="8">
        <f>COUNTIFS('Raw data'!$D:$D,"*Diyar Sonzamanci*", 'Raw data'!$Y:$Y,"*2nd*",'Raw data'!$H:$H,"*Over/Underlaps*")</f>
        <v>0</v>
      </c>
      <c r="GT31" s="8">
        <f>COUNTIFS('Raw data'!$D:$D,"*Diyar Sonzamanci*", 'Raw data'!$Y:$Y,"*2nd*",'Raw data'!$H:$H,"*Runs in Behind*")</f>
        <v>0</v>
      </c>
      <c r="GU31" s="8">
        <f>COUNTIFS('Raw data'!$D:$D,"*Diyar Sonzamanci*", 'Raw data'!$Y:$Y,"*2nd*",'Raw data'!$H:$H,"*Half-space Runs*")</f>
        <v>0</v>
      </c>
      <c r="GV31" s="8">
        <f t="shared" si="68"/>
        <v>6</v>
      </c>
      <c r="GW31" s="8">
        <f t="shared" si="69"/>
        <v>2</v>
      </c>
      <c r="GX31" s="8">
        <f t="shared" si="70"/>
        <v>4</v>
      </c>
      <c r="GY31" s="54">
        <f t="shared" si="71"/>
        <v>0.33333333333333331</v>
      </c>
      <c r="GZ31" s="54">
        <f t="shared" si="72"/>
        <v>0.66666666666666663</v>
      </c>
      <c r="HA31" s="8">
        <f>COUNTIFS('Raw data'!$D:$D,"*Diyar Sonzamanci*", 'Raw data'!$Y:$Y,"*2nd*",'Raw data'!$K:$K,"*Ground duel*")</f>
        <v>5</v>
      </c>
      <c r="HB31" s="8">
        <f>COUNTIFS('Raw data'!$D:$D,"*Diyar Sonzamanci*", 'Raw data'!$Y:$Y,"*2nd*",'Raw data'!$K:$K,"*Ground duel*",'Raw data'!$M:$M,"*Duel Succeeded*")</f>
        <v>1</v>
      </c>
      <c r="HC31" s="8">
        <f>COUNTIFS('Raw data'!$D:$D,"*Diyar Sonzamanci*", 'Raw data'!$Y:$Y,"*2nd*",'Raw data'!$K:$K,"*Ground duel*",'Raw data'!$M:$M,"*Duel Unsucceeded*")</f>
        <v>4</v>
      </c>
      <c r="HD31" s="54">
        <f t="shared" si="73"/>
        <v>0.2</v>
      </c>
      <c r="HE31" s="54">
        <f t="shared" si="74"/>
        <v>0.8</v>
      </c>
      <c r="HF31" s="8">
        <f>COUNTIFS('Raw data'!$D:$D,"*Diyar Sonzamanci*", 'Raw data'!$Y:$Y,"*2nd*",'Raw data'!$K:$K,"*Aerial duel*")</f>
        <v>1</v>
      </c>
      <c r="HG31" s="8">
        <f>COUNTIFS('Raw data'!$D:$D,"*Diyar Sonzamanci*", 'Raw data'!$Y:$Y,"*2nd*",'Raw data'!$K:$K,"*Aerial duel*",'Raw data'!$M:$M,"*Duel Succeeded*")</f>
        <v>1</v>
      </c>
      <c r="HH31" s="8">
        <f>COUNTIFS('Raw data'!$D:$D,"*Diyar Sonzamanci*", 'Raw data'!$Y:$Y,"*2nd*",'Raw data'!$K:$K,"*Aerial duel*",'Raw data'!$M:$M,"*Duel Unsucceeded*")</f>
        <v>0</v>
      </c>
      <c r="HI31" s="54">
        <f t="shared" si="75"/>
        <v>1</v>
      </c>
      <c r="HJ31" s="54">
        <f t="shared" si="76"/>
        <v>0</v>
      </c>
      <c r="HK31" s="8">
        <f>COUNTIFS('Raw data'!$D:$D,"*Diyar Sonzamanci*", 'Raw data'!$Y:$Y,"*2nd*",'Raw data'!$K:$K,"*1v1 defense*")</f>
        <v>1</v>
      </c>
      <c r="HL31" s="8">
        <f>COUNTIFS('Raw data'!$D:$D,"*Diyar Sonzamanci*", 'Raw data'!$Y:$Y,"*2nd*",'Raw data'!$K:$K,"*1v1 defense*",'Raw data'!$M:$M,"*Duel Succeeded*")</f>
        <v>1</v>
      </c>
      <c r="HM31" s="8">
        <f>COUNTIFS('Raw data'!$D:$D,"*Diyar Sonzamanci*", 'Raw data'!$Y:$Y,"*2nd*",'Raw data'!$K:$K,"*1v1 defense*",'Raw data'!$M:$M,"*Duel Unsucceeded*")</f>
        <v>0</v>
      </c>
      <c r="HN31" s="54">
        <f t="shared" si="77"/>
        <v>1</v>
      </c>
      <c r="HO31" s="54">
        <f t="shared" si="78"/>
        <v>0</v>
      </c>
      <c r="HP31" s="8">
        <f>COUNTIFS('Raw data'!$D:$D,"*Diyar Sonzamanci*", 'Raw data'!$Y:$Y,"*2nd*",'Raw data'!$J:$J,"*Tackles*")</f>
        <v>1</v>
      </c>
      <c r="HQ31" s="8">
        <f>COUNTIFS('Raw data'!$D:$D,"*Diyar Sonzamanci*", 'Raw data'!$Y:$Y,"*2nd*",'Raw data'!$J:$J,"*Tackles*", 'Raw data'!$M:$M,"*Duel Succeeded*")</f>
        <v>1</v>
      </c>
      <c r="HR31" s="8">
        <f>COUNTIFS('Raw data'!$D:$D,"*Diyar Sonzamanci*", 'Raw data'!$Y:$Y,"*2nd*",'Raw data'!$J:$J,"*Tackles*", 'Raw data'!$M:$M,"*Duel Unsucceeded*")</f>
        <v>0</v>
      </c>
      <c r="HS31" s="54">
        <f t="shared" si="79"/>
        <v>1</v>
      </c>
      <c r="HT31" s="54">
        <f t="shared" si="80"/>
        <v>0</v>
      </c>
      <c r="HU31" s="8">
        <f>COUNTIFS('Raw data'!$D:$D,"*Diyar Sonzamanci*", 'Raw data'!$Y:$Y,"*2nd*",'Raw data'!$K:$K,"*2nd Balls*")</f>
        <v>0</v>
      </c>
      <c r="HV31" s="8">
        <f>COUNTIFS('Raw data'!$D:$D,"*Diyar Sonzamanci*", 'Raw data'!$Y:$Y,"*2nd*",'Raw data'!$K:$K,"*2nd Balls*", 'Raw data'!$M:$M,"*Duel Succeeded*")</f>
        <v>0</v>
      </c>
      <c r="HW31" s="8">
        <f>COUNTIFS('Raw data'!$D:$D,"*Diyar Sonzamanci*", 'Raw data'!$Y:$Y,"*2nd*",'Raw data'!$K:$K,"*2nd Balls*", 'Raw data'!$M:$M,"*Duel Unsucceeded*")</f>
        <v>0</v>
      </c>
      <c r="HX31" s="54" t="str">
        <f t="shared" si="81"/>
        <v>-</v>
      </c>
      <c r="HY31" s="54" t="str">
        <f t="shared" si="82"/>
        <v>-</v>
      </c>
      <c r="HZ31" s="8">
        <f>COUNTIFS('Raw data'!$D:$D,"*Diyar Sonzamanci*", 'Raw data'!$Y:$Y,"*2nd*",'Raw data'!$J:$J,"*Clearance*")</f>
        <v>1</v>
      </c>
      <c r="IA31" s="8">
        <f>COUNTIFS('Raw data'!$D:$D,"*Diyar Sonzamanci*", 'Raw data'!$Y:$Y,"*2nd*",'Raw data'!$J:$J,"*Interception*")</f>
        <v>3</v>
      </c>
      <c r="IB31" s="8">
        <f>COUNTIFS('Raw data'!$D:$D,"*Diyar Sonzamanci*", 'Raw data'!$Y:$Y,"*2nd*",'Raw data'!$J:$J,"*Turnover Won*")</f>
        <v>0</v>
      </c>
      <c r="IC31" s="8">
        <f>COUNTIFS('Raw data'!$D:$D,"*Diyar Sonzamanci*", 'Raw data'!$Y:$Y,"*2nd*",'Raw data'!$J:$J,"*Recovery*")</f>
        <v>0</v>
      </c>
      <c r="ID31" s="8">
        <f>COUNTIFS('Raw data'!$D:$D,"*Diyar Sonzamanci*", 'Raw data'!$Y:$Y,"*2nd*",'Raw data'!$J:$J,"*Blocked Shots*")</f>
        <v>1</v>
      </c>
      <c r="IE31" s="8">
        <f>COUNTIFS('Raw data'!$D:$D,"*Diyar Sonzamanci*", 'Raw data'!$Y:$Y,"*2nd*",'Raw data'!$J:$J,"*Man-marking*")</f>
        <v>0</v>
      </c>
      <c r="IF31" s="8">
        <f>COUNTIFS('Raw data'!$D:$D,"*Diyar Sonzamanci*", 'Raw data'!$Y:$Y,"*2nd*",'Raw data'!$J:$J,"*Fouls*")</f>
        <v>2</v>
      </c>
      <c r="IG31" s="8">
        <f>COUNTIFS('Raw data'!$D:$D,"*Diyar Sonzamanci*", 'Raw data'!$Y:$Y,"*2nd*",'Raw data'!$J:$J,"*Won F*")</f>
        <v>2</v>
      </c>
      <c r="IH31" s="8">
        <f>COUNTIFS('Raw data'!$D:$D,"*Diyar Sonzamanci*", 'Raw data'!$Y:$Y,"*2nd*",'Raw data'!$G:$G,"*1v1*")</f>
        <v>0</v>
      </c>
      <c r="II31" s="8">
        <f>COUNTIFS('Raw data'!$D:$D,"*Diyar Sonzamanci*", 'Raw data'!$Y:$Y,"*2nd*",'Raw data'!$G:$G,"*On Target*")</f>
        <v>0</v>
      </c>
      <c r="IJ31" s="8">
        <f>COUNTIFS('Raw data'!$D:$D,"*Diyar Sonzamanci*", 'Raw data'!$Y:$Y,"*2nd*",'Raw data'!$G:$G,"*Off Target*")</f>
        <v>0</v>
      </c>
      <c r="IK31" s="8">
        <f>COUNTIFS('Raw data'!$D:$D,"*Diyar Sonzamanci*", 'Raw data'!$Y:$Y,"*2nd*",'Raw data'!$G:$G,"*Defend the Space*")</f>
        <v>0</v>
      </c>
      <c r="IL31" s="8">
        <f>COUNTIFS('Raw data'!$D:$D,"*Diyar Sonzamanci*", 'Raw data'!$Y:$Y,"*2nd*",'Raw data'!$G:$G,"*Conceded*")</f>
        <v>0</v>
      </c>
      <c r="IM31" s="8">
        <f>COUNTIFS('Raw data'!$D:$D,"*Diyar Sonzamanci*", 'Raw data'!$Y:$Y,"*2nd*",'Raw data'!$G:$G,"*Save*")</f>
        <v>0</v>
      </c>
      <c r="IN31" s="8">
        <f>COUNTIFS('Raw data'!$D:$D,"*Diyar Sonzamanci*", 'Raw data'!$Y:$Y,"*2nd*",'Raw data'!$G:$G,"*Defend the line (Cross)*")</f>
        <v>0</v>
      </c>
      <c r="IO31" s="8">
        <f>COUNTIFS('Raw data'!$D:$D,"*Diyar Sonzamanci*", 'Raw data'!$Y:$Y,"*2nd*",'Raw data'!$G:$G,"*Counter Kick*")</f>
        <v>0</v>
      </c>
      <c r="IP31" t="s">
        <v>777</v>
      </c>
    </row>
    <row r="32" spans="2:250">
      <c r="C32" s="7"/>
      <c r="DW32" t="s">
        <v>461</v>
      </c>
      <c r="DX32" t="s">
        <v>791</v>
      </c>
      <c r="DY32">
        <v>40</v>
      </c>
      <c r="DZ32" t="s">
        <v>538</v>
      </c>
      <c r="EA32">
        <f t="shared" si="42"/>
        <v>9</v>
      </c>
      <c r="EB32" s="8">
        <f t="shared" si="43"/>
        <v>5</v>
      </c>
      <c r="EC32" s="8">
        <f t="shared" si="43"/>
        <v>4</v>
      </c>
      <c r="ED32" s="54">
        <f t="shared" si="44"/>
        <v>0.55555555555555558</v>
      </c>
      <c r="EE32" s="54">
        <f t="shared" si="45"/>
        <v>0.44444444444444442</v>
      </c>
      <c r="EF32">
        <f t="shared" si="46"/>
        <v>6</v>
      </c>
      <c r="EG32">
        <f>COUNTIFS('Raw data'!$D:$D,"*Hugo McLarnon*", 'Raw data'!$Y:$Y,"*2nd*",'Raw data'!$I:$I,"*Forward Pass*",'Raw data'!$M:$M,"*Pass completed*")</f>
        <v>2</v>
      </c>
      <c r="EH32">
        <f>COUNTIFS('Raw data'!$D:$D,"*Hugo McLarnon*", 'Raw data'!$Y:$Y,"*2nd*",'Raw data'!$I:$I,"*Forward Pass*",'Raw data'!$M:$M,"*Pass Uncompleted*")</f>
        <v>4</v>
      </c>
      <c r="EI32" s="54">
        <f t="shared" si="47"/>
        <v>0.33333333333333331</v>
      </c>
      <c r="EJ32" s="54">
        <f t="shared" si="48"/>
        <v>0.66666666666666663</v>
      </c>
      <c r="EK32">
        <f t="shared" si="49"/>
        <v>0</v>
      </c>
      <c r="EL32" s="8">
        <f>COUNTIFS('Raw data'!$D:$D,"*Hugo McLarnon*", 'Raw data'!$Y:$Y,"*2nd*",'Raw data'!$I:$I,"*Lateral Pass*",'Raw data'!$M:$M,"*Pass completed*")</f>
        <v>0</v>
      </c>
      <c r="EM32" s="8">
        <f>COUNTIFS('Raw data'!$D:$D,"*Hugo McLarnon*", 'Raw data'!$Y:$Y,"*2nd*",'Raw data'!$I:$I,"*Lateral Pass*",'Raw data'!$M:$M,"*Pass Uncompleted*")</f>
        <v>0</v>
      </c>
      <c r="EN32" s="54" t="str">
        <f t="shared" si="50"/>
        <v>-</v>
      </c>
      <c r="EO32" s="54" t="str">
        <f t="shared" si="51"/>
        <v>-</v>
      </c>
      <c r="EP32">
        <f t="shared" si="52"/>
        <v>3</v>
      </c>
      <c r="EQ32" s="8">
        <f>COUNTIFS('Raw data'!$D:$D,"*Hugo McLarnon*", 'Raw data'!$Y:$Y,"*2nd*",'Raw data'!$I:$I,"*Backward Pass*",'Raw data'!$M:$M,"*Pass completed*")</f>
        <v>3</v>
      </c>
      <c r="ER32" s="8">
        <f>COUNTIFS('Raw data'!$D:$D,"*Hugo McLarnon*", 'Raw data'!$Y:$Y,"*2nd*",'Raw data'!$I:$I,"*Backward Pass*",'Raw data'!$M:$M,"*Pass Uncompleted*")</f>
        <v>0</v>
      </c>
      <c r="ES32" s="54">
        <f t="shared" si="53"/>
        <v>1</v>
      </c>
      <c r="ET32" s="54">
        <f t="shared" si="54"/>
        <v>0</v>
      </c>
      <c r="EU32" s="8">
        <f>COUNTIFS('Raw data'!$D:$D,"*Hugo McLarnon*", 'Raw data'!$Y:$Y,"*2nd*",'Raw data'!$I:$I,"*Long Kick*")</f>
        <v>1</v>
      </c>
      <c r="EV32" s="8">
        <f>COUNTIFS('Raw data'!$D:$D,"*Hugo McLarnon*", 'Raw data'!$Y:$Y,"*2nd*",'Raw data'!$I:$I,"*Long Kick*",'Raw data'!$M:$M,"*Pass completed*")</f>
        <v>0</v>
      </c>
      <c r="EW32" s="8">
        <f>COUNTIFS('Raw data'!$D:$D,"*Hugo McLarnon*", 'Raw data'!$Y:$Y,"*2nd*",'Raw data'!$I:$I,"*Long Kick*",'Raw data'!$M:$M,"*Pass Uncompleted*")</f>
        <v>1</v>
      </c>
      <c r="EX32" s="54">
        <f t="shared" si="55"/>
        <v>0</v>
      </c>
      <c r="EY32" s="54">
        <f t="shared" si="56"/>
        <v>1</v>
      </c>
      <c r="EZ32" s="8">
        <f>COUNTIFS('Raw data'!$D:$D,"*Hugo McLarnon*", 'Raw data'!$Y:$Y,"*2nd*",'Raw data'!$I:$I,"*Balls in Behind*")</f>
        <v>3</v>
      </c>
      <c r="FA32" s="8">
        <f>COUNTIFS('Raw data'!$D:$D,"*Hugo McLarnon*", 'Raw data'!$Y:$Y,"*2nd*",'Raw data'!$I:$I,"*Balls in Behind*",'Raw data'!$M:$M,"*Pass completed*")</f>
        <v>0</v>
      </c>
      <c r="FB32" s="8">
        <f>COUNTIFS('Raw data'!$D:$D,"*Hugo McLarnon*", 'Raw data'!$Y:$Y,"*2nd*",'Raw data'!$I:$I,"*Balls in Behind*",'Raw data'!$M:$M,"*Pass Uncompleted*")</f>
        <v>3</v>
      </c>
      <c r="FC32" s="54">
        <f t="shared" si="57"/>
        <v>0</v>
      </c>
      <c r="FD32" s="54">
        <f t="shared" si="58"/>
        <v>1</v>
      </c>
      <c r="FE32" s="8">
        <f>COUNTIFS('Raw data'!$D:$D,"*Hugo McLarnon*", 'Raw data'!$Y:$Y,"*2nd*",'Raw data'!$I:$I,"*Key/Through pass*")</f>
        <v>0</v>
      </c>
      <c r="FF32" s="8">
        <f>COUNTIFS('Raw data'!$D:$D,"*Hugo McLarnon*", 'Raw data'!$Y:$Y,"*2nd*",'Raw data'!$I:$I,"*Diagonal pass*")</f>
        <v>0</v>
      </c>
      <c r="FG32" s="8">
        <f>COUNTIFS('Raw data'!$D:$D,"*Hugo McLarnon*", 'Raw data'!$Y:$Y,"*2nd*",'Raw data'!$I:$I,"*Diagonal pass*",'Raw data'!$M:$M,"*Pass completed*")</f>
        <v>0</v>
      </c>
      <c r="FH32" s="8">
        <f>COUNTIFS('Raw data'!$D:$D,"*Hugo McLarnon*", 'Raw data'!$Y:$Y,"*2nd*",'Raw data'!$I:$I,"*Diagonal pass*",'Raw data'!$M:$M,"*Pass Uncompleted*")</f>
        <v>0</v>
      </c>
      <c r="FI32" s="54" t="str">
        <f t="shared" si="59"/>
        <v>-</v>
      </c>
      <c r="FJ32" s="54" t="str">
        <f t="shared" si="60"/>
        <v>-</v>
      </c>
      <c r="FK32" s="8">
        <f>COUNTIFS('Raw data'!$D:$D,"*Hugo McLarnon*", 'Raw data'!$Y:$Y,"*2nd*",'Raw data'!$M:$M,"*Pass Received*")</f>
        <v>7</v>
      </c>
      <c r="FL32" s="8">
        <f>COUNTIFS('Raw data'!$D:$D,"*Hugo McLarnon*", 'Raw data'!$Y:$Y,"*2nd*",'Raw data'!$M:$M,"*Pass Completed*",'Raw data'!$M:$M,"*Pass Received*")</f>
        <v>4</v>
      </c>
      <c r="FM32" s="8">
        <f>COUNTIFS('Raw data'!$D:$D,"*Hugo McLarnon*", 'Raw data'!$Y:$Y,"*2nd*",'Raw data'!$M:$M,"*Pass Uncompleted*",'Raw data'!$M:$M,"*Pass Received*")</f>
        <v>2</v>
      </c>
      <c r="FN32" s="8">
        <f>COUNTIFS('Raw data'!$D:$D,"*Hugo McLarnon*", 'Raw data'!$Y:$Y,"*2nd*",'Raw data'!$M:$M,"*Kept Possession*",'Raw data'!$M:$M,"*Pass Received*")</f>
        <v>3</v>
      </c>
      <c r="FO32" s="8">
        <f>COUNTIFS('Raw data'!$D:$D,"*Hugo McLarnon*", 'Raw data'!$Y:$Y,"*2nd*",'Raw data'!$M:$M,"*Lost Possession*")</f>
        <v>2</v>
      </c>
      <c r="FP32" s="8">
        <f>COUNTIFS('Raw data'!$D:$D,"*Hugo McLarnon*", 'Raw data'!$Y:$Y,"*2nd*",'Raw data'!$M:$M,"*Lost Possession*",'Raw data'!$M:$M,"*Lost Final 1/3*")</f>
        <v>0</v>
      </c>
      <c r="FQ32" s="8">
        <f>COUNTIFS('Raw data'!$D:$D,"*Hugo McLarnon*", 'Raw data'!$Y:$Y,"*2nd*",'Raw data'!$M:$M,"*Lost Possession*",'Raw data'!$M:$M,"*Lost Middle 1/3*")</f>
        <v>1</v>
      </c>
      <c r="FR32" s="8">
        <f>COUNTIFS('Raw data'!$D:$D,"*Hugo McLarnon*", 'Raw data'!$Y:$Y,"*2nd*",'Raw data'!$M:$M,"*Lost Possession*",'Raw data'!$M:$M,"*Lost Own 1/3*")</f>
        <v>1</v>
      </c>
      <c r="FS32" s="8">
        <f>COUNTIFS('Raw data'!$D:$D,"*Hugo McLarnon*", 'Raw data'!$Y:$Y,"*2nd*",'Raw data'!$H:$H,"*Touches in the Box*")</f>
        <v>0</v>
      </c>
      <c r="FT32" s="8">
        <f>COUNTIFS('Raw data'!$D:$D,"*Hugo McLarnon*", 'Raw data'!$Y:$Y,"*2nd*",'Raw data'!$H:$H,"*1v1 Attack*")</f>
        <v>2</v>
      </c>
      <c r="FU32" s="8">
        <f>COUNTIFS('Raw data'!$D:$D,"*Hugo McLarnon*", 'Raw data'!$Y:$Y,"*2nd*",'Raw data'!$H:$H,"*1v1 Attack*",'Raw data'!$H:$H,"*1v1 Attack*",'Raw data'!$M:$M,"*Kept Possession*")</f>
        <v>2</v>
      </c>
      <c r="FV32" s="8">
        <f>COUNTIFS('Raw data'!$D:$D,"*Hugo McLarnon*", 'Raw data'!$Y:$Y,"*2nd*",'Raw data'!$H:$H,"*1v1 Attack*",'Raw data'!$H:$H,"*1v1 Attack*",'Raw data'!$M:$M,"*Lost Possession*")</f>
        <v>0</v>
      </c>
      <c r="FW32" s="54">
        <f t="shared" si="61"/>
        <v>1</v>
      </c>
      <c r="FX32" s="54">
        <f t="shared" si="62"/>
        <v>0</v>
      </c>
      <c r="FY32" s="8">
        <f>COUNTIFS('Raw data'!$D:$D,"*Hugo McLarnon*", 'Raw data'!$Y:$Y,"*2nd*",'Raw data'!$I:$I,"*Cross*")</f>
        <v>1</v>
      </c>
      <c r="FZ32" s="8">
        <f>COUNTIFS('Raw data'!$D:$D,"*Hugo McLarnon*", 'Raw data'!$Y:$Y,"*2nd*",'Raw data'!$I:$I,"*Cross*",'Raw data'!$M:$M,"*Pass Completed*")</f>
        <v>0</v>
      </c>
      <c r="GA32" s="8">
        <f>COUNTIFS('Raw data'!$D:$D,"*Hugo McLarnon*", 'Raw data'!$Y:$Y,"*2nd*",'Raw data'!$I:$I,"*Cross*",'Raw data'!$M:$M,"*Pass Uncompleted*")</f>
        <v>1</v>
      </c>
      <c r="GB32" s="54">
        <f t="shared" si="63"/>
        <v>0</v>
      </c>
      <c r="GC32" s="54">
        <f t="shared" si="64"/>
        <v>1</v>
      </c>
      <c r="GD32" s="8">
        <f t="shared" si="65"/>
        <v>0</v>
      </c>
      <c r="GE32" s="8">
        <f>COUNTIFS('Raw data'!$D:$D,"*Hugo McLarnon*", 'Raw data'!$Y:$Y,"*2nd*",'Raw data'!$L:$L,"*On Target*")</f>
        <v>0</v>
      </c>
      <c r="GF32" s="8">
        <f>COUNTIFS('Raw data'!$D:$D,"*Hugo McLarnon*", 'Raw data'!$Y:$Y,"*2nd*",'Raw data'!$L:$L,"*Off Target*")</f>
        <v>0</v>
      </c>
      <c r="GG32" s="8">
        <f>COUNTIFS('Raw data'!$D:$D,"*Hugo McLarnon*", 'Raw data'!$Y:$Y,"*2nd*",'Raw data'!$L:$L,"*Blocked*")</f>
        <v>0</v>
      </c>
      <c r="GH32" s="8">
        <f>COUNTIFS('Raw data'!$D:$D,"*Hugo McLarnon*", 'Raw data'!$Y:$Y,"*2nd*",'Raw data'!$M:$M,"*Goal*")</f>
        <v>0</v>
      </c>
      <c r="GI32" s="8">
        <f>COUNTIFS('Raw data'!$D:$D,"*Hugo McLarnon*", 'Raw data'!$Y:$Y,"*2nd*",'Raw data'!$M:$M,"*Assist*")</f>
        <v>0</v>
      </c>
      <c r="GJ32" s="8">
        <f>COUNTIFS('Raw data'!$D:$D,"*Hugo McLarnon*", 'Raw data'!$Y:$Y,"*2nd*",'Raw data'!$H:$H,"*Offensive duel*")</f>
        <v>2</v>
      </c>
      <c r="GK32" s="8">
        <f>COUNTIFS('Raw data'!$D:$D,"*Hugo McLarnon*", 'Raw data'!$Y:$Y,"*2nd*",'Raw data'!$H:$H,"*Offensive Duel*",'Raw data'!$H:$H,"*Offensive Duel*",'Raw data'!$M:$M,"*Kept Possession*")</f>
        <v>1</v>
      </c>
      <c r="GL32" s="8">
        <f>COUNTIFS('Raw data'!$D:$D,"*Hugo McLarnon*", 'Raw data'!$Y:$Y,"*2nd*",'Raw data'!$H:$H,"*Offensive Duel*",'Raw data'!$H:$H,"*Offensive Duel*",'Raw data'!$M:$M,"*Lost Possession*")</f>
        <v>1</v>
      </c>
      <c r="GM32" s="54">
        <f t="shared" si="66"/>
        <v>0.5</v>
      </c>
      <c r="GN32" s="54">
        <f t="shared" si="67"/>
        <v>0.5</v>
      </c>
      <c r="GO32" s="8">
        <f>COUNTIFS('Raw data'!$D:$D,"*Hugo McLarnon*", 'Raw data'!$Y:$Y,"*2nd*",'Raw data'!$H:$H,"*Acceleration*")</f>
        <v>0</v>
      </c>
      <c r="GP32" s="8">
        <f>COUNTIFS('Raw data'!$D:$D,"*Hugo McLarnon*", 'Raw data'!$Y:$Y,"*2nd*",'Raw data'!$H:$H,"*Move into Pocket*")</f>
        <v>2</v>
      </c>
      <c r="GQ32" s="8">
        <f>COUNTIFS('Raw data'!$D:$D,"*Hugo McLarnon*", 'Raw data'!$Y:$Y,"*2nd*",'Raw data'!$H:$H,"*Wide area*")</f>
        <v>0</v>
      </c>
      <c r="GR32" s="8">
        <f>COUNTIFS('Raw data'!$D:$D,"*Hugo McLarnon*", 'Raw data'!$Y:$Y,"*2nd*",'Raw data'!$H:$H,"*Back to goal*")</f>
        <v>3</v>
      </c>
      <c r="GS32" s="8">
        <f>COUNTIFS('Raw data'!$D:$D,"*Hugo McLarnon*", 'Raw data'!$Y:$Y,"*2nd*",'Raw data'!$H:$H,"*Over/Underlaps*")</f>
        <v>0</v>
      </c>
      <c r="GT32" s="8">
        <f>COUNTIFS('Raw data'!$D:$D,"*Hugo McLarnon*", 'Raw data'!$Y:$Y,"*2nd*",'Raw data'!$H:$H,"*Runs in Behind*")</f>
        <v>0</v>
      </c>
      <c r="GU32" s="8">
        <f>COUNTIFS('Raw data'!$D:$D,"*Hugo McLarnon*", 'Raw data'!$Y:$Y,"*2nd*",'Raw data'!$H:$H,"*Half-space Runs*")</f>
        <v>0</v>
      </c>
      <c r="GV32" s="8">
        <f t="shared" si="68"/>
        <v>4</v>
      </c>
      <c r="GW32" s="8">
        <f t="shared" si="69"/>
        <v>1</v>
      </c>
      <c r="GX32" s="8">
        <f t="shared" si="70"/>
        <v>3</v>
      </c>
      <c r="GY32" s="54">
        <f t="shared" si="71"/>
        <v>0.25</v>
      </c>
      <c r="GZ32" s="54">
        <f t="shared" si="72"/>
        <v>0.75</v>
      </c>
      <c r="HA32" s="8">
        <f>COUNTIFS('Raw data'!$D:$D,"*Hugo McLarnon*", 'Raw data'!$Y:$Y,"*2nd*",'Raw data'!$K:$K,"*Ground duel*")</f>
        <v>2</v>
      </c>
      <c r="HB32" s="8">
        <f>COUNTIFS('Raw data'!$D:$D,"*Hugo McLarnon*", 'Raw data'!$Y:$Y,"*2nd*",'Raw data'!$K:$K,"*Ground duel*",'Raw data'!$M:$M,"*Duel Succeeded*")</f>
        <v>0</v>
      </c>
      <c r="HC32" s="8">
        <f>COUNTIFS('Raw data'!$D:$D,"*Hugo McLarnon*", 'Raw data'!$Y:$Y,"*2nd*",'Raw data'!$K:$K,"*Ground duel*",'Raw data'!$M:$M,"*Duel Unsucceeded*")</f>
        <v>2</v>
      </c>
      <c r="HD32" s="54">
        <f t="shared" si="73"/>
        <v>0</v>
      </c>
      <c r="HE32" s="54">
        <f t="shared" si="74"/>
        <v>1</v>
      </c>
      <c r="HF32" s="8">
        <f>COUNTIFS('Raw data'!$D:$D,"*Hugo McLarnon*", 'Raw data'!$Y:$Y,"*2nd*",'Raw data'!$K:$K,"*Aerial duel*")</f>
        <v>0</v>
      </c>
      <c r="HG32" s="8">
        <f>COUNTIFS('Raw data'!$D:$D,"*Hugo McLarnon*", 'Raw data'!$Y:$Y,"*2nd*",'Raw data'!$K:$K,"*Aerial duel*",'Raw data'!$M:$M,"*Duel Succeeded*")</f>
        <v>0</v>
      </c>
      <c r="HH32" s="8">
        <f>COUNTIFS('Raw data'!$D:$D,"*Hugo McLarnon*", 'Raw data'!$Y:$Y,"*2nd*",'Raw data'!$K:$K,"*Aerial duel*",'Raw data'!$M:$M,"*Duel Unsucceeded*")</f>
        <v>0</v>
      </c>
      <c r="HI32" s="54" t="str">
        <f t="shared" si="75"/>
        <v>-</v>
      </c>
      <c r="HJ32" s="54" t="str">
        <f t="shared" si="76"/>
        <v>-</v>
      </c>
      <c r="HK32" s="8">
        <f>COUNTIFS('Raw data'!$D:$D,"*Hugo McLarnon*", 'Raw data'!$Y:$Y,"*2nd*",'Raw data'!$K:$K,"*1v1 defense*")</f>
        <v>0</v>
      </c>
      <c r="HL32" s="8">
        <f>COUNTIFS('Raw data'!$D:$D,"*Hugo McLarnon*", 'Raw data'!$Y:$Y,"*2nd*",'Raw data'!$K:$K,"*1v1 defense*",'Raw data'!$M:$M,"*Duel Succeeded*")</f>
        <v>0</v>
      </c>
      <c r="HM32" s="8">
        <f>COUNTIFS('Raw data'!$D:$D,"*Hugo McLarnon*", 'Raw data'!$Y:$Y,"*2nd*",'Raw data'!$K:$K,"*1v1 defense*",'Raw data'!$M:$M,"*Duel Unsucceeded*")</f>
        <v>0</v>
      </c>
      <c r="HN32" s="54" t="str">
        <f t="shared" si="77"/>
        <v>-</v>
      </c>
      <c r="HO32" s="54" t="str">
        <f t="shared" si="78"/>
        <v>-</v>
      </c>
      <c r="HP32" s="8">
        <f>COUNTIFS('Raw data'!$D:$D,"*Hugo McLarnon*", 'Raw data'!$Y:$Y,"*2nd*",'Raw data'!$J:$J,"*Tackles*")</f>
        <v>0</v>
      </c>
      <c r="HQ32" s="8">
        <f>COUNTIFS('Raw data'!$D:$D,"*Hugo McLarnon*", 'Raw data'!$Y:$Y,"*2nd*",'Raw data'!$J:$J,"*Tackles*", 'Raw data'!$M:$M,"*Duel Succeeded*")</f>
        <v>0</v>
      </c>
      <c r="HR32" s="8">
        <f>COUNTIFS('Raw data'!$D:$D,"*Hugo McLarnon*", 'Raw data'!$Y:$Y,"*2nd*",'Raw data'!$J:$J,"*Tackles*", 'Raw data'!$M:$M,"*Duel Unsucceeded*")</f>
        <v>0</v>
      </c>
      <c r="HS32" s="54" t="str">
        <f t="shared" si="79"/>
        <v>-</v>
      </c>
      <c r="HT32" s="54" t="str">
        <f t="shared" si="80"/>
        <v>-</v>
      </c>
      <c r="HU32" s="8">
        <f>COUNTIFS('Raw data'!$D:$D,"*Hugo McLarnon*", 'Raw data'!$Y:$Y,"*2nd*",'Raw data'!$K:$K,"*2nd Balls*")</f>
        <v>0</v>
      </c>
      <c r="HV32" s="8">
        <f>COUNTIFS('Raw data'!$D:$D,"*Hugo McLarnon*", 'Raw data'!$Y:$Y,"*2nd*",'Raw data'!$K:$K,"*2nd Balls*", 'Raw data'!$M:$M,"*Duel Succeeded*")</f>
        <v>0</v>
      </c>
      <c r="HW32" s="8">
        <f>COUNTIFS('Raw data'!$D:$D,"*Hugo McLarnon*", 'Raw data'!$Y:$Y,"*2nd*",'Raw data'!$K:$K,"*2nd Balls*", 'Raw data'!$M:$M,"*Duel Unsucceeded*")</f>
        <v>0</v>
      </c>
      <c r="HX32" s="54" t="str">
        <f t="shared" si="81"/>
        <v>-</v>
      </c>
      <c r="HY32" s="54" t="str">
        <f t="shared" si="82"/>
        <v>-</v>
      </c>
      <c r="HZ32" s="8">
        <f>COUNTIFS('Raw data'!$D:$D,"*Hugo McLarnon*", 'Raw data'!$Y:$Y,"*2nd*",'Raw data'!$J:$J,"*Clearance*")</f>
        <v>0</v>
      </c>
      <c r="IA32" s="8">
        <f>COUNTIFS('Raw data'!$D:$D,"*Hugo McLarnon*", 'Raw data'!$Y:$Y,"*2nd*",'Raw data'!$J:$J,"*Interception*")</f>
        <v>1</v>
      </c>
      <c r="IB32" s="8">
        <f>COUNTIFS('Raw data'!$D:$D,"*Hugo McLarnon*", 'Raw data'!$Y:$Y,"*2nd*",'Raw data'!$J:$J,"*Turnover Won*")</f>
        <v>1</v>
      </c>
      <c r="IC32" s="8">
        <f>COUNTIFS('Raw data'!$D:$D,"*Hugo McLarnon*", 'Raw data'!$Y:$Y,"*2nd*",'Raw data'!$J:$J,"*Recovery*")</f>
        <v>2</v>
      </c>
      <c r="ID32" s="8">
        <f>COUNTIFS('Raw data'!$D:$D,"*Hugo McLarnon*", 'Raw data'!$Y:$Y,"*2nd*",'Raw data'!$J:$J,"*Blocked Shots*")</f>
        <v>0</v>
      </c>
      <c r="IE32" s="8">
        <f>COUNTIFS('Raw data'!$D:$D,"*Hugo McLarnon*", 'Raw data'!$Y:$Y,"*2nd*",'Raw data'!$J:$J,"*Man-marking*")</f>
        <v>0</v>
      </c>
      <c r="IF32" s="8">
        <f>COUNTIFS('Raw data'!$D:$D,"*Hugo McLarnon*", 'Raw data'!$Y:$Y,"*2nd*",'Raw data'!$J:$J,"*Fouls*")</f>
        <v>1</v>
      </c>
      <c r="IG32" s="8">
        <f>COUNTIFS('Raw data'!$D:$D,"*Hugo McLarnon*", 'Raw data'!$Y:$Y,"*2nd*",'Raw data'!$J:$J,"*Won F*")</f>
        <v>0</v>
      </c>
      <c r="IH32" s="8">
        <f>COUNTIFS('Raw data'!$D:$D,"*Hugo McLarnon*", 'Raw data'!$Y:$Y,"*2nd*",'Raw data'!$G:$G,"*1v1*")</f>
        <v>0</v>
      </c>
      <c r="II32" s="8">
        <f>COUNTIFS('Raw data'!$D:$D,"*Hugo McLarnon*", 'Raw data'!$Y:$Y,"*2nd*",'Raw data'!$G:$G,"*On Target*")</f>
        <v>0</v>
      </c>
      <c r="IJ32" s="8">
        <f>COUNTIFS('Raw data'!$D:$D,"*Hugo McLarnon*", 'Raw data'!$Y:$Y,"*2nd*",'Raw data'!$G:$G,"*Off Target*")</f>
        <v>0</v>
      </c>
      <c r="IK32" s="8">
        <f>COUNTIFS('Raw data'!$D:$D,"*Hugo McLarnon*", 'Raw data'!$Y:$Y,"*2nd*",'Raw data'!$G:$G,"*Defend the Space*")</f>
        <v>0</v>
      </c>
      <c r="IL32" s="8">
        <f>COUNTIFS('Raw data'!$D:$D,"*Hugo McLarnon*", 'Raw data'!$Y:$Y,"*2nd*",'Raw data'!$G:$G,"*Conceded*")</f>
        <v>0</v>
      </c>
      <c r="IM32" s="8">
        <f>COUNTIFS('Raw data'!$D:$D,"*Hugo McLarnon*", 'Raw data'!$Y:$Y,"*2nd*",'Raw data'!$G:$G,"*Save*")</f>
        <v>0</v>
      </c>
      <c r="IN32" s="8">
        <f>COUNTIFS('Raw data'!$D:$D,"*Hugo McLarnon*", 'Raw data'!$Y:$Y,"*2nd*",'Raw data'!$G:$G,"*Defend the line (Cross)*")</f>
        <v>0</v>
      </c>
      <c r="IO32" s="8">
        <f>COUNTIFS('Raw data'!$D:$D,"*Hugo McLarnon*", 'Raw data'!$Y:$Y,"*2nd*",'Raw data'!$G:$G,"*Counter Kick*")</f>
        <v>0</v>
      </c>
      <c r="IP32" t="s">
        <v>791</v>
      </c>
    </row>
    <row r="33" spans="3:250">
      <c r="C33" s="7"/>
      <c r="DW33" t="s">
        <v>461</v>
      </c>
      <c r="DX33" t="s">
        <v>793</v>
      </c>
      <c r="DY33">
        <v>40</v>
      </c>
      <c r="DZ33" t="s">
        <v>538</v>
      </c>
      <c r="EA33">
        <f t="shared" si="42"/>
        <v>12</v>
      </c>
      <c r="EB33" s="8">
        <f t="shared" si="43"/>
        <v>8</v>
      </c>
      <c r="EC33" s="8">
        <f t="shared" si="43"/>
        <v>4</v>
      </c>
      <c r="ED33" s="54">
        <f t="shared" si="44"/>
        <v>0.66666666666666663</v>
      </c>
      <c r="EE33" s="54">
        <f t="shared" si="45"/>
        <v>0.33333333333333331</v>
      </c>
      <c r="EF33">
        <f t="shared" si="46"/>
        <v>8</v>
      </c>
      <c r="EG33">
        <f>COUNTIFS('Raw data'!$D:$D,"*Reyes White*", 'Raw data'!$Y:$Y,"*2nd*",'Raw data'!$I:$I,"*Forward Pass*",'Raw data'!$M:$M,"*Pass completed*")</f>
        <v>5</v>
      </c>
      <c r="EH33">
        <f>COUNTIFS('Raw data'!$D:$D,"*Reyes White*", 'Raw data'!$Y:$Y,"*2nd*",'Raw data'!$I:$I,"*Forward Pass*",'Raw data'!$M:$M,"*Pass Uncompleted*")</f>
        <v>3</v>
      </c>
      <c r="EI33" s="54">
        <f t="shared" si="47"/>
        <v>0.625</v>
      </c>
      <c r="EJ33" s="54">
        <f t="shared" si="48"/>
        <v>0.375</v>
      </c>
      <c r="EK33">
        <f t="shared" si="49"/>
        <v>1</v>
      </c>
      <c r="EL33" s="8">
        <f>COUNTIFS('Raw data'!$D:$D,"*Reyes White*", 'Raw data'!$Y:$Y,"*2nd*",'Raw data'!$I:$I,"*Lateral Pass*",'Raw data'!$M:$M,"*Pass completed*")</f>
        <v>0</v>
      </c>
      <c r="EM33" s="8">
        <f>COUNTIFS('Raw data'!$D:$D,"*Reyes White*", 'Raw data'!$Y:$Y,"*2nd*",'Raw data'!$I:$I,"*Lateral Pass*",'Raw data'!$M:$M,"*Pass Uncompleted*")</f>
        <v>1</v>
      </c>
      <c r="EN33" s="54">
        <f t="shared" si="50"/>
        <v>0</v>
      </c>
      <c r="EO33" s="54">
        <f t="shared" si="51"/>
        <v>1</v>
      </c>
      <c r="EP33">
        <f t="shared" si="52"/>
        <v>3</v>
      </c>
      <c r="EQ33" s="8">
        <f>COUNTIFS('Raw data'!$D:$D,"*Reyes White*", 'Raw data'!$Y:$Y,"*2nd*",'Raw data'!$I:$I,"*Backward Pass*",'Raw data'!$M:$M,"*Pass completed*")</f>
        <v>3</v>
      </c>
      <c r="ER33" s="8">
        <f>COUNTIFS('Raw data'!$D:$D,"*Reyes White*", 'Raw data'!$Y:$Y,"*2nd*",'Raw data'!$I:$I,"*Backward Pass*",'Raw data'!$M:$M,"*Pass Uncompleted*")</f>
        <v>0</v>
      </c>
      <c r="ES33" s="54">
        <f t="shared" si="53"/>
        <v>1</v>
      </c>
      <c r="ET33" s="54">
        <f t="shared" si="54"/>
        <v>0</v>
      </c>
      <c r="EU33" s="8">
        <f>COUNTIFS('Raw data'!$D:$D,"*Reyes White*", 'Raw data'!$Y:$Y,"*2nd*",'Raw data'!$I:$I,"*Long Kick*")</f>
        <v>0</v>
      </c>
      <c r="EV33" s="8">
        <f>COUNTIFS('Raw data'!$D:$D,"*Reyes White*", 'Raw data'!$Y:$Y,"*2nd*",'Raw data'!$I:$I,"*Long Kick*",'Raw data'!$M:$M,"*Pass completed*")</f>
        <v>0</v>
      </c>
      <c r="EW33" s="8">
        <f>COUNTIFS('Raw data'!$D:$D,"*Reyes White*", 'Raw data'!$Y:$Y,"*2nd*",'Raw data'!$I:$I,"*Long Kick*",'Raw data'!$M:$M,"*Pass Uncompleted*")</f>
        <v>0</v>
      </c>
      <c r="EX33" s="54" t="str">
        <f t="shared" si="55"/>
        <v>-</v>
      </c>
      <c r="EY33" s="54" t="str">
        <f t="shared" si="56"/>
        <v>-</v>
      </c>
      <c r="EZ33" s="8">
        <f>COUNTIFS('Raw data'!$D:$D,"*Reyes White*", 'Raw data'!$Y:$Y,"*2nd*",'Raw data'!$I:$I,"*Balls in Behind*")</f>
        <v>0</v>
      </c>
      <c r="FA33" s="8">
        <f>COUNTIFS('Raw data'!$D:$D,"*Reyes White*", 'Raw data'!$Y:$Y,"*2nd*",'Raw data'!$I:$I,"*Balls in Behind*",'Raw data'!$M:$M,"*Pass completed*")</f>
        <v>0</v>
      </c>
      <c r="FB33" s="8">
        <f>COUNTIFS('Raw data'!$D:$D,"*Reyes White*", 'Raw data'!$Y:$Y,"*2nd*",'Raw data'!$I:$I,"*Balls in Behind*",'Raw data'!$M:$M,"*Pass Uncompleted*")</f>
        <v>0</v>
      </c>
      <c r="FC33" s="54" t="str">
        <f t="shared" si="57"/>
        <v>-</v>
      </c>
      <c r="FD33" s="54" t="str">
        <f t="shared" si="58"/>
        <v>-</v>
      </c>
      <c r="FE33" s="8">
        <f>COUNTIFS('Raw data'!$D:$D,"*Reyes White*", 'Raw data'!$Y:$Y,"*2nd*",'Raw data'!$I:$I,"*Key/Through pass*")</f>
        <v>0</v>
      </c>
      <c r="FF33" s="8">
        <f>COUNTIFS('Raw data'!$D:$D,"*Reyes White*", 'Raw data'!$Y:$Y,"*2nd*",'Raw data'!$I:$I,"*Diagonal pass*")</f>
        <v>0</v>
      </c>
      <c r="FG33" s="8">
        <f>COUNTIFS('Raw data'!$D:$D,"*Reyes White*", 'Raw data'!$Y:$Y,"*2nd*",'Raw data'!$I:$I,"*Diagonal pass*",'Raw data'!$M:$M,"*Pass completed*")</f>
        <v>0</v>
      </c>
      <c r="FH33" s="8">
        <f>COUNTIFS('Raw data'!$D:$D,"*Reyes White*", 'Raw data'!$Y:$Y,"*2nd*",'Raw data'!$I:$I,"*Diagonal pass*",'Raw data'!$M:$M,"*Pass Uncompleted*")</f>
        <v>0</v>
      </c>
      <c r="FI33" s="54" t="str">
        <f t="shared" si="59"/>
        <v>-</v>
      </c>
      <c r="FJ33" s="54" t="str">
        <f t="shared" si="60"/>
        <v>-</v>
      </c>
      <c r="FK33" s="8">
        <f>COUNTIFS('Raw data'!$D:$D,"*Reyes White*", 'Raw data'!$Y:$Y,"*2nd*",'Raw data'!$M:$M,"*Pass Received*")</f>
        <v>10</v>
      </c>
      <c r="FL33" s="8">
        <f>COUNTIFS('Raw data'!$D:$D,"*Reyes White*", 'Raw data'!$Y:$Y,"*2nd*",'Raw data'!$M:$M,"*Pass Completed*",'Raw data'!$M:$M,"*Pass Received*")</f>
        <v>7</v>
      </c>
      <c r="FM33" s="8">
        <f>COUNTIFS('Raw data'!$D:$D,"*Reyes White*", 'Raw data'!$Y:$Y,"*2nd*",'Raw data'!$M:$M,"*Pass Uncompleted*",'Raw data'!$M:$M,"*Pass Received*")</f>
        <v>1</v>
      </c>
      <c r="FN33" s="8">
        <f>COUNTIFS('Raw data'!$D:$D,"*Reyes White*", 'Raw data'!$Y:$Y,"*2nd*",'Raw data'!$M:$M,"*Kept Possession*",'Raw data'!$M:$M,"*Pass Received*")</f>
        <v>0</v>
      </c>
      <c r="FO33" s="8">
        <f>COUNTIFS('Raw data'!$D:$D,"*Reyes White*", 'Raw data'!$Y:$Y,"*2nd*",'Raw data'!$M:$M,"*Lost Possession*")</f>
        <v>2</v>
      </c>
      <c r="FP33" s="8">
        <f>COUNTIFS('Raw data'!$D:$D,"*Reyes White*", 'Raw data'!$Y:$Y,"*2nd*",'Raw data'!$M:$M,"*Lost Possession*",'Raw data'!$M:$M,"*Lost Final 1/3*")</f>
        <v>0</v>
      </c>
      <c r="FQ33" s="8">
        <f>COUNTIFS('Raw data'!$D:$D,"*Reyes White*", 'Raw data'!$Y:$Y,"*2nd*",'Raw data'!$M:$M,"*Lost Possession*",'Raw data'!$M:$M,"*Lost Middle 1/3*")</f>
        <v>0</v>
      </c>
      <c r="FR33" s="8">
        <f>COUNTIFS('Raw data'!$D:$D,"*Reyes White*", 'Raw data'!$Y:$Y,"*2nd*",'Raw data'!$M:$M,"*Lost Possession*",'Raw data'!$M:$M,"*Lost Own 1/3*")</f>
        <v>2</v>
      </c>
      <c r="FS33" s="8">
        <f>COUNTIFS('Raw data'!$D:$D,"*Reyes White*", 'Raw data'!$Y:$Y,"*2nd*",'Raw data'!$H:$H,"*Touches in the Box*")</f>
        <v>0</v>
      </c>
      <c r="FT33" s="8">
        <f>COUNTIFS('Raw data'!$D:$D,"*Reyes White*", 'Raw data'!$Y:$Y,"*2nd*",'Raw data'!$H:$H,"*1v1 Attack*")</f>
        <v>0</v>
      </c>
      <c r="FU33" s="8">
        <f>COUNTIFS('Raw data'!$D:$D,"*Reyes White*", 'Raw data'!$Y:$Y,"*2nd*",'Raw data'!$H:$H,"*1v1 Attack*",'Raw data'!$H:$H,"*1v1 Attack*",'Raw data'!$M:$M,"*Kept Possession*")</f>
        <v>0</v>
      </c>
      <c r="FV33" s="8">
        <f>COUNTIFS('Raw data'!$D:$D,"*Reyes White*", 'Raw data'!$Y:$Y,"*2nd*",'Raw data'!$H:$H,"*1v1 Attack*",'Raw data'!$H:$H,"*1v1 Attack*",'Raw data'!$M:$M,"*Lost Possession*")</f>
        <v>0</v>
      </c>
      <c r="FW33" s="54" t="str">
        <f t="shared" si="61"/>
        <v>-</v>
      </c>
      <c r="FX33" s="54" t="str">
        <f t="shared" si="62"/>
        <v>-</v>
      </c>
      <c r="FY33" s="8">
        <f>COUNTIFS('Raw data'!$D:$D,"*Reyes White*", 'Raw data'!$Y:$Y,"*2nd*",'Raw data'!$I:$I,"*Cross*")</f>
        <v>0</v>
      </c>
      <c r="FZ33" s="8">
        <f>COUNTIFS('Raw data'!$D:$D,"*Reyes White*", 'Raw data'!$Y:$Y,"*2nd*",'Raw data'!$I:$I,"*Cross*",'Raw data'!$M:$M,"*Pass Completed*")</f>
        <v>0</v>
      </c>
      <c r="GA33" s="8">
        <f>COUNTIFS('Raw data'!$D:$D,"*Reyes White*", 'Raw data'!$Y:$Y,"*2nd*",'Raw data'!$I:$I,"*Cross*",'Raw data'!$M:$M,"*Pass Uncompleted*")</f>
        <v>0</v>
      </c>
      <c r="GB33" s="54" t="str">
        <f t="shared" si="63"/>
        <v>-</v>
      </c>
      <c r="GC33" s="54" t="str">
        <f t="shared" si="64"/>
        <v>-</v>
      </c>
      <c r="GD33" s="8">
        <f t="shared" si="65"/>
        <v>0</v>
      </c>
      <c r="GE33" s="8">
        <f>COUNTIFS('Raw data'!$D:$D,"*Reyes White*", 'Raw data'!$Y:$Y,"*2nd*",'Raw data'!$L:$L,"*On Target*")</f>
        <v>0</v>
      </c>
      <c r="GF33" s="8">
        <f>COUNTIFS('Raw data'!$D:$D,"*Reyes White*", 'Raw data'!$Y:$Y,"*2nd*",'Raw data'!$L:$L,"*Off Target*")</f>
        <v>0</v>
      </c>
      <c r="GG33" s="8">
        <f>COUNTIFS('Raw data'!$D:$D,"*Reyes White*", 'Raw data'!$Y:$Y,"*2nd*",'Raw data'!$L:$L,"*Blocked*")</f>
        <v>0</v>
      </c>
      <c r="GH33" s="8">
        <f>COUNTIFS('Raw data'!$D:$D,"*Reyes White*", 'Raw data'!$Y:$Y,"*2nd*",'Raw data'!$M:$M,"*Goal*")</f>
        <v>0</v>
      </c>
      <c r="GI33" s="8">
        <f>COUNTIFS('Raw data'!$D:$D,"*Reyes White*", 'Raw data'!$Y:$Y,"*2nd*",'Raw data'!$M:$M,"*Assist*")</f>
        <v>0</v>
      </c>
      <c r="GJ33" s="8">
        <f>COUNTIFS('Raw data'!$D:$D,"*Reyes White*", 'Raw data'!$Y:$Y,"*2nd*",'Raw data'!$H:$H,"*Offensive duel*")</f>
        <v>0</v>
      </c>
      <c r="GK33" s="8">
        <f>COUNTIFS('Raw data'!$D:$D,"*Reyes White*", 'Raw data'!$Y:$Y,"*2nd*",'Raw data'!$H:$H,"*Offensive Duel*",'Raw data'!$H:$H,"*Offensive Duel*",'Raw data'!$M:$M,"*Kept Possession*")</f>
        <v>0</v>
      </c>
      <c r="GL33" s="8">
        <f>COUNTIFS('Raw data'!$D:$D,"*Reyes White*", 'Raw data'!$Y:$Y,"*2nd*",'Raw data'!$H:$H,"*Offensive Duel*",'Raw data'!$H:$H,"*Offensive Duel*",'Raw data'!$M:$M,"*Lost Possession*")</f>
        <v>0</v>
      </c>
      <c r="GM33" s="54" t="str">
        <f t="shared" si="66"/>
        <v>-</v>
      </c>
      <c r="GN33" s="54" t="str">
        <f t="shared" si="67"/>
        <v>-</v>
      </c>
      <c r="GO33" s="8">
        <f>COUNTIFS('Raw data'!$D:$D,"*Reyes White*", 'Raw data'!$Y:$Y,"*2nd*",'Raw data'!$H:$H,"*Acceleration*")</f>
        <v>0</v>
      </c>
      <c r="GP33" s="8">
        <f>COUNTIFS('Raw data'!$D:$D,"*Reyes White*", 'Raw data'!$Y:$Y,"*2nd*",'Raw data'!$H:$H,"*Move into Pocket*")</f>
        <v>4</v>
      </c>
      <c r="GQ33" s="8">
        <f>COUNTIFS('Raw data'!$D:$D,"*Reyes White*", 'Raw data'!$Y:$Y,"*2nd*",'Raw data'!$H:$H,"*Wide area*")</f>
        <v>0</v>
      </c>
      <c r="GR33" s="8">
        <f>COUNTIFS('Raw data'!$D:$D,"*Reyes White*", 'Raw data'!$Y:$Y,"*2nd*",'Raw data'!$H:$H,"*Back to goal*")</f>
        <v>0</v>
      </c>
      <c r="GS33" s="8">
        <f>COUNTIFS('Raw data'!$D:$D,"*Reyes White*", 'Raw data'!$Y:$Y,"*2nd*",'Raw data'!$H:$H,"*Over/Underlaps*")</f>
        <v>0</v>
      </c>
      <c r="GT33" s="8">
        <f>COUNTIFS('Raw data'!$D:$D,"*Reyes White*", 'Raw data'!$Y:$Y,"*2nd*",'Raw data'!$H:$H,"*Runs in Behind*")</f>
        <v>0</v>
      </c>
      <c r="GU33" s="8">
        <f>COUNTIFS('Raw data'!$D:$D,"*Reyes White*", 'Raw data'!$Y:$Y,"*2nd*",'Raw data'!$H:$H,"*Half-space Runs*")</f>
        <v>0</v>
      </c>
      <c r="GV33" s="8">
        <f t="shared" si="68"/>
        <v>2</v>
      </c>
      <c r="GW33" s="8">
        <f t="shared" si="69"/>
        <v>0</v>
      </c>
      <c r="GX33" s="8">
        <f t="shared" si="70"/>
        <v>2</v>
      </c>
      <c r="GY33" s="54">
        <f t="shared" si="71"/>
        <v>0</v>
      </c>
      <c r="GZ33" s="54">
        <f t="shared" si="72"/>
        <v>1</v>
      </c>
      <c r="HA33" s="8">
        <f>COUNTIFS('Raw data'!$D:$D,"*Reyes White*", 'Raw data'!$Y:$Y,"*2nd*",'Raw data'!$K:$K,"*Ground duel*")</f>
        <v>2</v>
      </c>
      <c r="HB33" s="8">
        <f>COUNTIFS('Raw data'!$D:$D,"*Reyes White*", 'Raw data'!$Y:$Y,"*2nd*",'Raw data'!$K:$K,"*Ground duel*",'Raw data'!$M:$M,"*Duel Succeeded*")</f>
        <v>0</v>
      </c>
      <c r="HC33" s="8">
        <f>COUNTIFS('Raw data'!$D:$D,"*Reyes White*", 'Raw data'!$Y:$Y,"*2nd*",'Raw data'!$K:$K,"*Ground duel*",'Raw data'!$M:$M,"*Duel Unsucceeded*")</f>
        <v>2</v>
      </c>
      <c r="HD33" s="54">
        <f t="shared" si="73"/>
        <v>0</v>
      </c>
      <c r="HE33" s="54">
        <f t="shared" si="74"/>
        <v>1</v>
      </c>
      <c r="HF33" s="8">
        <f>COUNTIFS('Raw data'!$D:$D,"*Reyes White*", 'Raw data'!$Y:$Y,"*2nd*",'Raw data'!$K:$K,"*Aerial duel*")</f>
        <v>0</v>
      </c>
      <c r="HG33" s="8">
        <f>COUNTIFS('Raw data'!$D:$D,"*Reyes White*", 'Raw data'!$Y:$Y,"*2nd*",'Raw data'!$K:$K,"*Aerial duel*",'Raw data'!$M:$M,"*Duel Succeeded*")</f>
        <v>0</v>
      </c>
      <c r="HH33" s="8">
        <f>COUNTIFS('Raw data'!$D:$D,"*Reyes White*", 'Raw data'!$Y:$Y,"*2nd*",'Raw data'!$K:$K,"*Aerial duel*",'Raw data'!$M:$M,"*Duel Unsucceeded*")</f>
        <v>0</v>
      </c>
      <c r="HI33" s="54" t="str">
        <f t="shared" si="75"/>
        <v>-</v>
      </c>
      <c r="HJ33" s="54" t="str">
        <f t="shared" si="76"/>
        <v>-</v>
      </c>
      <c r="HK33" s="8">
        <f>COUNTIFS('Raw data'!$D:$D,"*Reyes White*", 'Raw data'!$Y:$Y,"*2nd*",'Raw data'!$K:$K,"*1v1 defense*")</f>
        <v>0</v>
      </c>
      <c r="HL33" s="8">
        <f>COUNTIFS('Raw data'!$D:$D,"*Reyes White*", 'Raw data'!$Y:$Y,"*2nd*",'Raw data'!$K:$K,"*1v1 defense*",'Raw data'!$M:$M,"*Duel Succeeded*")</f>
        <v>0</v>
      </c>
      <c r="HM33" s="8">
        <f>COUNTIFS('Raw data'!$D:$D,"*Reyes White*", 'Raw data'!$Y:$Y,"*2nd*",'Raw data'!$K:$K,"*1v1 defense*",'Raw data'!$M:$M,"*Duel Unsucceeded*")</f>
        <v>0</v>
      </c>
      <c r="HN33" s="54" t="str">
        <f t="shared" si="77"/>
        <v>-</v>
      </c>
      <c r="HO33" s="54" t="str">
        <f t="shared" si="78"/>
        <v>-</v>
      </c>
      <c r="HP33" s="8">
        <f>COUNTIFS('Raw data'!$D:$D,"*Reyes White*", 'Raw data'!$Y:$Y,"*2nd*",'Raw data'!$J:$J,"*Tackles*")</f>
        <v>0</v>
      </c>
      <c r="HQ33" s="8">
        <f>COUNTIFS('Raw data'!$D:$D,"*Reyes White*", 'Raw data'!$Y:$Y,"*2nd*",'Raw data'!$J:$J,"*Tackles*", 'Raw data'!$M:$M,"*Duel Succeeded*")</f>
        <v>0</v>
      </c>
      <c r="HR33" s="8">
        <f>COUNTIFS('Raw data'!$D:$D,"*Reyes White*", 'Raw data'!$Y:$Y,"*2nd*",'Raw data'!$J:$J,"*Tackles*", 'Raw data'!$M:$M,"*Duel Unsucceeded*")</f>
        <v>0</v>
      </c>
      <c r="HS33" s="54" t="str">
        <f t="shared" si="79"/>
        <v>-</v>
      </c>
      <c r="HT33" s="54" t="str">
        <f t="shared" si="80"/>
        <v>-</v>
      </c>
      <c r="HU33" s="8">
        <f>COUNTIFS('Raw data'!$D:$D,"*Reyes White*", 'Raw data'!$Y:$Y,"*2nd*",'Raw data'!$K:$K,"*2nd Balls*")</f>
        <v>1</v>
      </c>
      <c r="HV33" s="8">
        <f>COUNTIFS('Raw data'!$D:$D,"*Reyes White*", 'Raw data'!$Y:$Y,"*2nd*",'Raw data'!$K:$K,"*2nd Balls*", 'Raw data'!$M:$M,"*Duel Succeeded*")</f>
        <v>0</v>
      </c>
      <c r="HW33" s="8">
        <f>COUNTIFS('Raw data'!$D:$D,"*Reyes White*", 'Raw data'!$Y:$Y,"*2nd*",'Raw data'!$K:$K,"*2nd Balls*", 'Raw data'!$M:$M,"*Duel Unsucceeded*")</f>
        <v>1</v>
      </c>
      <c r="HX33" s="54">
        <f t="shared" si="81"/>
        <v>0</v>
      </c>
      <c r="HY33" s="54">
        <f t="shared" si="82"/>
        <v>1</v>
      </c>
      <c r="HZ33" s="8">
        <f>COUNTIFS('Raw data'!$D:$D,"*Reyes White*", 'Raw data'!$Y:$Y,"*2nd*",'Raw data'!$J:$J,"*Clearance*")</f>
        <v>0</v>
      </c>
      <c r="IA33" s="8">
        <f>COUNTIFS('Raw data'!$D:$D,"*Reyes White*", 'Raw data'!$Y:$Y,"*2nd*",'Raw data'!$J:$J,"*Interception*")</f>
        <v>2</v>
      </c>
      <c r="IB33" s="8">
        <f>COUNTIFS('Raw data'!$D:$D,"*Reyes White*", 'Raw data'!$Y:$Y,"*2nd*",'Raw data'!$J:$J,"*Turnover Won*")</f>
        <v>1</v>
      </c>
      <c r="IC33" s="8">
        <f>COUNTIFS('Raw data'!$D:$D,"*Reyes White*", 'Raw data'!$Y:$Y,"*2nd*",'Raw data'!$J:$J,"*Recovery*")</f>
        <v>0</v>
      </c>
      <c r="ID33" s="8">
        <f>COUNTIFS('Raw data'!$D:$D,"*Reyes White*", 'Raw data'!$Y:$Y,"*2nd*",'Raw data'!$J:$J,"*Blocked Shots*")</f>
        <v>0</v>
      </c>
      <c r="IE33" s="8">
        <f>COUNTIFS('Raw data'!$D:$D,"*Reyes White*", 'Raw data'!$Y:$Y,"*2nd*",'Raw data'!$J:$J,"*Man-marking*")</f>
        <v>0</v>
      </c>
      <c r="IF33" s="8">
        <f>COUNTIFS('Raw data'!$D:$D,"*Reyes White*", 'Raw data'!$Y:$Y,"*2nd*",'Raw data'!$J:$J,"*Fouls*")</f>
        <v>2</v>
      </c>
      <c r="IG33" s="8">
        <f>COUNTIFS('Raw data'!$D:$D,"*Reyes White*", 'Raw data'!$Y:$Y,"*2nd*",'Raw data'!$J:$J,"*Won F*")</f>
        <v>1</v>
      </c>
      <c r="IH33" s="8">
        <f>COUNTIFS('Raw data'!$D:$D,"*Reyes White*", 'Raw data'!$Y:$Y,"*2nd*",'Raw data'!$G:$G,"*1v1*")</f>
        <v>0</v>
      </c>
      <c r="II33" s="8">
        <f>COUNTIFS('Raw data'!$D:$D,"*Reyes White*", 'Raw data'!$Y:$Y,"*2nd*",'Raw data'!$G:$G,"*On Target*")</f>
        <v>0</v>
      </c>
      <c r="IJ33" s="8">
        <f>COUNTIFS('Raw data'!$D:$D,"*Reyes White*", 'Raw data'!$Y:$Y,"*2nd*",'Raw data'!$G:$G,"*Off Target*")</f>
        <v>0</v>
      </c>
      <c r="IK33" s="8">
        <f>COUNTIFS('Raw data'!$D:$D,"*Reyes White*", 'Raw data'!$Y:$Y,"*2nd*",'Raw data'!$G:$G,"*Defend the Space*")</f>
        <v>0</v>
      </c>
      <c r="IL33" s="8">
        <f>COUNTIFS('Raw data'!$D:$D,"*Reyes White*", 'Raw data'!$Y:$Y,"*2nd*",'Raw data'!$G:$G,"*Conceded*")</f>
        <v>0</v>
      </c>
      <c r="IM33" s="8">
        <f>COUNTIFS('Raw data'!$D:$D,"*Reyes White*", 'Raw data'!$Y:$Y,"*2nd*",'Raw data'!$G:$G,"*Save*")</f>
        <v>0</v>
      </c>
      <c r="IN33" s="8">
        <f>COUNTIFS('Raw data'!$D:$D,"*Reyes White*", 'Raw data'!$Y:$Y,"*2nd*",'Raw data'!$G:$G,"*Defend the line (Cross)*")</f>
        <v>0</v>
      </c>
      <c r="IO33" s="8">
        <f>COUNTIFS('Raw data'!$D:$D,"*Reyes White*", 'Raw data'!$Y:$Y,"*2nd*",'Raw data'!$G:$G,"*Counter Kick*")</f>
        <v>0</v>
      </c>
      <c r="IP33" t="s">
        <v>793</v>
      </c>
    </row>
    <row r="34" spans="3:250">
      <c r="C34" s="7"/>
      <c r="DW34" t="s">
        <v>461</v>
      </c>
      <c r="DX34" t="s">
        <v>774</v>
      </c>
      <c r="DY34">
        <v>20</v>
      </c>
      <c r="DZ34" t="s">
        <v>538</v>
      </c>
      <c r="EA34">
        <f t="shared" si="42"/>
        <v>11</v>
      </c>
      <c r="EB34" s="8">
        <f t="shared" si="43"/>
        <v>11</v>
      </c>
      <c r="EC34" s="8">
        <f t="shared" si="43"/>
        <v>0</v>
      </c>
      <c r="ED34" s="54">
        <f t="shared" si="44"/>
        <v>1</v>
      </c>
      <c r="EE34" s="54">
        <f t="shared" si="45"/>
        <v>0</v>
      </c>
      <c r="EF34">
        <f t="shared" si="46"/>
        <v>3</v>
      </c>
      <c r="EG34">
        <f>COUNTIFS('Raw data'!$D:$D,"*Kairo Smith*", 'Raw data'!$Y:$Y,"*2nd*",'Raw data'!$I:$I,"*Forward Pass*",'Raw data'!$M:$M,"*Pass completed*")</f>
        <v>3</v>
      </c>
      <c r="EH34">
        <f>COUNTIFS('Raw data'!$D:$D,"*Kairo Smith*", 'Raw data'!$Y:$Y,"*2nd*",'Raw data'!$I:$I,"*Forward Pass*",'Raw data'!$M:$M,"*Pass Uncompleted*")</f>
        <v>0</v>
      </c>
      <c r="EI34" s="54">
        <f t="shared" si="47"/>
        <v>1</v>
      </c>
      <c r="EJ34" s="54">
        <f t="shared" si="48"/>
        <v>0</v>
      </c>
      <c r="EK34">
        <f t="shared" si="49"/>
        <v>4</v>
      </c>
      <c r="EL34" s="8">
        <f>COUNTIFS('Raw data'!$D:$D,"*Kairo Smith*", 'Raw data'!$Y:$Y,"*2nd*",'Raw data'!$I:$I,"*Lateral Pass*",'Raw data'!$M:$M,"*Pass completed*")</f>
        <v>4</v>
      </c>
      <c r="EM34" s="8">
        <f>COUNTIFS('Raw data'!$D:$D,"*Kairo Smith*", 'Raw data'!$Y:$Y,"*2nd*",'Raw data'!$I:$I,"*Lateral Pass*",'Raw data'!$M:$M,"*Pass Uncompleted*")</f>
        <v>0</v>
      </c>
      <c r="EN34" s="54">
        <f t="shared" si="50"/>
        <v>1</v>
      </c>
      <c r="EO34" s="54">
        <f t="shared" si="51"/>
        <v>0</v>
      </c>
      <c r="EP34">
        <f t="shared" si="52"/>
        <v>4</v>
      </c>
      <c r="EQ34" s="8">
        <f>COUNTIFS('Raw data'!$D:$D,"*Kairo Smith*", 'Raw data'!$Y:$Y,"*2nd*",'Raw data'!$I:$I,"*Backward Pass*",'Raw data'!$M:$M,"*Pass completed*")</f>
        <v>4</v>
      </c>
      <c r="ER34" s="8">
        <f>COUNTIFS('Raw data'!$D:$D,"*Kairo Smith*", 'Raw data'!$Y:$Y,"*2nd*",'Raw data'!$I:$I,"*Backward Pass*",'Raw data'!$M:$M,"*Pass Uncompleted*")</f>
        <v>0</v>
      </c>
      <c r="ES34" s="54">
        <f t="shared" si="53"/>
        <v>1</v>
      </c>
      <c r="ET34" s="54">
        <f t="shared" si="54"/>
        <v>0</v>
      </c>
      <c r="EU34" s="8">
        <f>COUNTIFS('Raw data'!$D:$D,"*Kairo Smith*", 'Raw data'!$Y:$Y,"*2nd*",'Raw data'!$I:$I,"*Long Kick*")</f>
        <v>0</v>
      </c>
      <c r="EV34" s="8">
        <f>COUNTIFS('Raw data'!$D:$D,"*Kairo Smith*", 'Raw data'!$Y:$Y,"*2nd*",'Raw data'!$I:$I,"*Long Kick*",'Raw data'!$M:$M,"*Pass completed*")</f>
        <v>0</v>
      </c>
      <c r="EW34" s="8">
        <f>COUNTIFS('Raw data'!$D:$D,"*Kairo Smith*", 'Raw data'!$Y:$Y,"*2nd*",'Raw data'!$I:$I,"*Long Kick*",'Raw data'!$M:$M,"*Pass Uncompleted*")</f>
        <v>0</v>
      </c>
      <c r="EX34" s="54" t="str">
        <f t="shared" si="55"/>
        <v>-</v>
      </c>
      <c r="EY34" s="54" t="str">
        <f t="shared" si="56"/>
        <v>-</v>
      </c>
      <c r="EZ34" s="8">
        <f>COUNTIFS('Raw data'!$D:$D,"*Kairo Smith*", 'Raw data'!$Y:$Y,"*2nd*",'Raw data'!$I:$I,"*Balls in Behind*")</f>
        <v>0</v>
      </c>
      <c r="FA34" s="8">
        <f>COUNTIFS('Raw data'!$D:$D,"*Kairo Smith*", 'Raw data'!$Y:$Y,"*2nd*",'Raw data'!$I:$I,"*Balls in Behind*",'Raw data'!$M:$M,"*Pass completed*")</f>
        <v>0</v>
      </c>
      <c r="FB34" s="8">
        <f>COUNTIFS('Raw data'!$D:$D,"*Kairo Smith*", 'Raw data'!$Y:$Y,"*2nd*",'Raw data'!$I:$I,"*Balls in Behind*",'Raw data'!$M:$M,"*Pass Uncompleted*")</f>
        <v>0</v>
      </c>
      <c r="FC34" s="54" t="str">
        <f t="shared" si="57"/>
        <v>-</v>
      </c>
      <c r="FD34" s="54" t="str">
        <f t="shared" si="58"/>
        <v>-</v>
      </c>
      <c r="FE34" s="8">
        <f>COUNTIFS('Raw data'!$D:$D,"*Kairo Smith*", 'Raw data'!$Y:$Y,"*2nd*",'Raw data'!$I:$I,"*Key/Through pass*")</f>
        <v>0</v>
      </c>
      <c r="FF34" s="8">
        <f>COUNTIFS('Raw data'!$D:$D,"*Kairo Smith*", 'Raw data'!$Y:$Y,"*2nd*",'Raw data'!$I:$I,"*Diagonal pass*")</f>
        <v>0</v>
      </c>
      <c r="FG34" s="8">
        <f>COUNTIFS('Raw data'!$D:$D,"*Kairo Smith*", 'Raw data'!$Y:$Y,"*2nd*",'Raw data'!$I:$I,"*Diagonal pass*",'Raw data'!$M:$M,"*Pass completed*")</f>
        <v>0</v>
      </c>
      <c r="FH34" s="8">
        <f>COUNTIFS('Raw data'!$D:$D,"*Kairo Smith*", 'Raw data'!$Y:$Y,"*2nd*",'Raw data'!$I:$I,"*Diagonal pass*",'Raw data'!$M:$M,"*Pass Uncompleted*")</f>
        <v>0</v>
      </c>
      <c r="FI34" s="54" t="str">
        <f t="shared" si="59"/>
        <v>-</v>
      </c>
      <c r="FJ34" s="54" t="str">
        <f t="shared" si="60"/>
        <v>-</v>
      </c>
      <c r="FK34" s="8">
        <f>COUNTIFS('Raw data'!$D:$D,"*Kairo Smith*", 'Raw data'!$Y:$Y,"*2nd*",'Raw data'!$M:$M,"*Pass Received*")</f>
        <v>6</v>
      </c>
      <c r="FL34" s="8">
        <f>COUNTIFS('Raw data'!$D:$D,"*Kairo Smith*", 'Raw data'!$Y:$Y,"*2nd*",'Raw data'!$M:$M,"*Pass Completed*",'Raw data'!$M:$M,"*Pass Received*")</f>
        <v>5</v>
      </c>
      <c r="FM34" s="8">
        <f>COUNTIFS('Raw data'!$D:$D,"*Kairo Smith*", 'Raw data'!$Y:$Y,"*2nd*",'Raw data'!$M:$M,"*Pass Uncompleted*",'Raw data'!$M:$M,"*Pass Received*")</f>
        <v>0</v>
      </c>
      <c r="FN34" s="8">
        <f>COUNTIFS('Raw data'!$D:$D,"*Kairo Smith*", 'Raw data'!$Y:$Y,"*2nd*",'Raw data'!$M:$M,"*Kept Possession*",'Raw data'!$M:$M,"*Pass Received*")</f>
        <v>1</v>
      </c>
      <c r="FO34" s="8">
        <f>COUNTIFS('Raw data'!$D:$D,"*Kairo Smith*", 'Raw data'!$Y:$Y,"*2nd*",'Raw data'!$M:$M,"*Lost Possession*")</f>
        <v>1</v>
      </c>
      <c r="FP34" s="8">
        <f>COUNTIFS('Raw data'!$D:$D,"*Kairo Smith*", 'Raw data'!$Y:$Y,"*2nd*",'Raw data'!$M:$M,"*Lost Possession*",'Raw data'!$M:$M,"*Lost Final 1/3*")</f>
        <v>0</v>
      </c>
      <c r="FQ34" s="8">
        <f>COUNTIFS('Raw data'!$D:$D,"*Kairo Smith*", 'Raw data'!$Y:$Y,"*2nd*",'Raw data'!$M:$M,"*Lost Possession*",'Raw data'!$M:$M,"*Lost Middle 1/3*")</f>
        <v>0</v>
      </c>
      <c r="FR34" s="8">
        <f>COUNTIFS('Raw data'!$D:$D,"*Kairo Smith*", 'Raw data'!$Y:$Y,"*2nd*",'Raw data'!$M:$M,"*Lost Possession*",'Raw data'!$M:$M,"*Lost Own 1/3*")</f>
        <v>1</v>
      </c>
      <c r="FS34" s="8">
        <f>COUNTIFS('Raw data'!$D:$D,"*Kairo Smith*", 'Raw data'!$Y:$Y,"*2nd*",'Raw data'!$H:$H,"*Touches in the Box*")</f>
        <v>0</v>
      </c>
      <c r="FT34" s="8">
        <f>COUNTIFS('Raw data'!$D:$D,"*Kairo Smith*", 'Raw data'!$Y:$Y,"*2nd*",'Raw data'!$H:$H,"*1v1 Attack*")</f>
        <v>1</v>
      </c>
      <c r="FU34" s="8">
        <f>COUNTIFS('Raw data'!$D:$D,"*Kairo Smith*", 'Raw data'!$Y:$Y,"*2nd*",'Raw data'!$H:$H,"*1v1 Attack*",'Raw data'!$H:$H,"*1v1 Attack*",'Raw data'!$M:$M,"*Kept Possession*")</f>
        <v>1</v>
      </c>
      <c r="FV34" s="8">
        <f>COUNTIFS('Raw data'!$D:$D,"*Kairo Smith*", 'Raw data'!$Y:$Y,"*2nd*",'Raw data'!$H:$H,"*1v1 Attack*",'Raw data'!$H:$H,"*1v1 Attack*",'Raw data'!$M:$M,"*Lost Possession*")</f>
        <v>0</v>
      </c>
      <c r="FW34" s="54">
        <f t="shared" si="61"/>
        <v>1</v>
      </c>
      <c r="FX34" s="54">
        <f t="shared" si="62"/>
        <v>0</v>
      </c>
      <c r="FY34" s="8">
        <f>COUNTIFS('Raw data'!$D:$D,"*Kairo Smith*", 'Raw data'!$Y:$Y,"*2nd*",'Raw data'!$I:$I,"*Cross*")</f>
        <v>0</v>
      </c>
      <c r="FZ34" s="8">
        <f>COUNTIFS('Raw data'!$D:$D,"*Kairo Smith*", 'Raw data'!$Y:$Y,"*2nd*",'Raw data'!$I:$I,"*Cross*",'Raw data'!$M:$M,"*Pass Completed*")</f>
        <v>0</v>
      </c>
      <c r="GA34" s="8">
        <f>COUNTIFS('Raw data'!$D:$D,"*Kairo Smith*", 'Raw data'!$Y:$Y,"*2nd*",'Raw data'!$I:$I,"*Cross*",'Raw data'!$M:$M,"*Pass Uncompleted*")</f>
        <v>0</v>
      </c>
      <c r="GB34" s="54" t="str">
        <f t="shared" si="63"/>
        <v>-</v>
      </c>
      <c r="GC34" s="54" t="str">
        <f t="shared" si="64"/>
        <v>-</v>
      </c>
      <c r="GD34" s="8">
        <f t="shared" si="65"/>
        <v>0</v>
      </c>
      <c r="GE34" s="8">
        <f>COUNTIFS('Raw data'!$D:$D,"*Kairo Smith*", 'Raw data'!$Y:$Y,"*2nd*",'Raw data'!$L:$L,"*On Target*")</f>
        <v>0</v>
      </c>
      <c r="GF34" s="8">
        <f>COUNTIFS('Raw data'!$D:$D,"*Kairo Smith*", 'Raw data'!$Y:$Y,"*2nd*",'Raw data'!$L:$L,"*Off Target*")</f>
        <v>0</v>
      </c>
      <c r="GG34" s="8">
        <f>COUNTIFS('Raw data'!$D:$D,"*Kairo Smith*", 'Raw data'!$Y:$Y,"*2nd*",'Raw data'!$L:$L,"*Blocked*")</f>
        <v>0</v>
      </c>
      <c r="GH34" s="8">
        <f>COUNTIFS('Raw data'!$D:$D,"*Kairo Smith*", 'Raw data'!$Y:$Y,"*2nd*",'Raw data'!$M:$M,"*Goal*")</f>
        <v>0</v>
      </c>
      <c r="GI34" s="8">
        <f>COUNTIFS('Raw data'!$D:$D,"*Kairo Smith*", 'Raw data'!$Y:$Y,"*2nd*",'Raw data'!$M:$M,"*Assist*")</f>
        <v>0</v>
      </c>
      <c r="GJ34" s="8">
        <f>COUNTIFS('Raw data'!$D:$D,"*Kairo Smith*", 'Raw data'!$Y:$Y,"*2nd*",'Raw data'!$H:$H,"*Offensive duel*")</f>
        <v>0</v>
      </c>
      <c r="GK34" s="8">
        <f>COUNTIFS('Raw data'!$D:$D,"*Kairo Smith*", 'Raw data'!$Y:$Y,"*2nd*",'Raw data'!$H:$H,"*Offensive Duel*",'Raw data'!$H:$H,"*Offensive Duel*",'Raw data'!$M:$M,"*Kept Possession*")</f>
        <v>0</v>
      </c>
      <c r="GL34" s="8">
        <f>COUNTIFS('Raw data'!$D:$D,"*Kairo Smith*", 'Raw data'!$Y:$Y,"*2nd*",'Raw data'!$H:$H,"*Offensive Duel*",'Raw data'!$H:$H,"*Offensive Duel*",'Raw data'!$M:$M,"*Lost Possession*")</f>
        <v>0</v>
      </c>
      <c r="GM34" s="54" t="str">
        <f t="shared" si="66"/>
        <v>-</v>
      </c>
      <c r="GN34" s="54" t="str">
        <f t="shared" si="67"/>
        <v>-</v>
      </c>
      <c r="GO34" s="8">
        <f>COUNTIFS('Raw data'!$D:$D,"*Kairo Smith*", 'Raw data'!$Y:$Y,"*2nd*",'Raw data'!$H:$H,"*Acceleration*")</f>
        <v>1</v>
      </c>
      <c r="GP34" s="8">
        <f>COUNTIFS('Raw data'!$D:$D,"*Kairo Smith*", 'Raw data'!$Y:$Y,"*2nd*",'Raw data'!$H:$H,"*Move into Pocket*")</f>
        <v>1</v>
      </c>
      <c r="GQ34" s="8">
        <f>COUNTIFS('Raw data'!$D:$D,"*Kairo Smith*", 'Raw data'!$Y:$Y,"*2nd*",'Raw data'!$H:$H,"*Wide area*")</f>
        <v>0</v>
      </c>
      <c r="GR34" s="8">
        <f>COUNTIFS('Raw data'!$D:$D,"*Kairo Smith*", 'Raw data'!$Y:$Y,"*2nd*",'Raw data'!$H:$H,"*Back to goal*")</f>
        <v>0</v>
      </c>
      <c r="GS34" s="8">
        <f>COUNTIFS('Raw data'!$D:$D,"*Kairo Smith*", 'Raw data'!$Y:$Y,"*2nd*",'Raw data'!$H:$H,"*Over/Underlaps*")</f>
        <v>0</v>
      </c>
      <c r="GT34" s="8">
        <f>COUNTIFS('Raw data'!$D:$D,"*Kairo Smith*", 'Raw data'!$Y:$Y,"*2nd*",'Raw data'!$H:$H,"*Runs in Behind*")</f>
        <v>0</v>
      </c>
      <c r="GU34" s="8">
        <f>COUNTIFS('Raw data'!$D:$D,"*Kairo Smith*", 'Raw data'!$Y:$Y,"*2nd*",'Raw data'!$H:$H,"*Half-space Runs*")</f>
        <v>0</v>
      </c>
      <c r="GV34" s="8">
        <f t="shared" si="68"/>
        <v>0</v>
      </c>
      <c r="GW34" s="8">
        <f t="shared" si="69"/>
        <v>0</v>
      </c>
      <c r="GX34" s="8">
        <f t="shared" si="70"/>
        <v>0</v>
      </c>
      <c r="GY34" s="54" t="str">
        <f t="shared" si="71"/>
        <v>-</v>
      </c>
      <c r="GZ34" s="54" t="str">
        <f t="shared" si="72"/>
        <v>-</v>
      </c>
      <c r="HA34" s="8">
        <f>COUNTIFS('Raw data'!$D:$D,"*Kairo Smith*", 'Raw data'!$Y:$Y,"*2nd*",'Raw data'!$K:$K,"*Ground duel*")</f>
        <v>0</v>
      </c>
      <c r="HB34" s="8">
        <f>COUNTIFS('Raw data'!$D:$D,"*Kairo Smith*", 'Raw data'!$Y:$Y,"*2nd*",'Raw data'!$K:$K,"*Ground duel*",'Raw data'!$M:$M,"*Duel Succeeded*")</f>
        <v>0</v>
      </c>
      <c r="HC34" s="8">
        <f>COUNTIFS('Raw data'!$D:$D,"*Kairo Smith*", 'Raw data'!$Y:$Y,"*2nd*",'Raw data'!$K:$K,"*Ground duel*",'Raw data'!$M:$M,"*Duel Unsucceeded*")</f>
        <v>0</v>
      </c>
      <c r="HD34" s="54" t="str">
        <f t="shared" si="73"/>
        <v>-</v>
      </c>
      <c r="HE34" s="54" t="str">
        <f t="shared" si="74"/>
        <v>-</v>
      </c>
      <c r="HF34" s="8">
        <f>COUNTIFS('Raw data'!$D:$D,"*Kairo Smith*", 'Raw data'!$Y:$Y,"*2nd*",'Raw data'!$K:$K,"*Aerial duel*")</f>
        <v>0</v>
      </c>
      <c r="HG34" s="8">
        <f>COUNTIFS('Raw data'!$D:$D,"*Kairo Smith*", 'Raw data'!$Y:$Y,"*2nd*",'Raw data'!$K:$K,"*Aerial duel*",'Raw data'!$M:$M,"*Duel Succeeded*")</f>
        <v>0</v>
      </c>
      <c r="HH34" s="8">
        <f>COUNTIFS('Raw data'!$D:$D,"*Kairo Smith*", 'Raw data'!$Y:$Y,"*2nd*",'Raw data'!$K:$K,"*Aerial duel*",'Raw data'!$M:$M,"*Duel Unsucceeded*")</f>
        <v>0</v>
      </c>
      <c r="HI34" s="54" t="str">
        <f t="shared" si="75"/>
        <v>-</v>
      </c>
      <c r="HJ34" s="54" t="str">
        <f t="shared" si="76"/>
        <v>-</v>
      </c>
      <c r="HK34" s="8">
        <f>COUNTIFS('Raw data'!$D:$D,"*Kairo Smith*", 'Raw data'!$Y:$Y,"*2nd*",'Raw data'!$K:$K,"*1v1 defense*")</f>
        <v>0</v>
      </c>
      <c r="HL34" s="8">
        <f>COUNTIFS('Raw data'!$D:$D,"*Kairo Smith*", 'Raw data'!$Y:$Y,"*2nd*",'Raw data'!$K:$K,"*1v1 defense*",'Raw data'!$M:$M,"*Duel Succeeded*")</f>
        <v>0</v>
      </c>
      <c r="HM34" s="8">
        <f>COUNTIFS('Raw data'!$D:$D,"*Kairo Smith*", 'Raw data'!$Y:$Y,"*2nd*",'Raw data'!$K:$K,"*1v1 defense*",'Raw data'!$M:$M,"*Duel Unsucceeded*")</f>
        <v>0</v>
      </c>
      <c r="HN34" s="54" t="str">
        <f t="shared" si="77"/>
        <v>-</v>
      </c>
      <c r="HO34" s="54" t="str">
        <f t="shared" si="78"/>
        <v>-</v>
      </c>
      <c r="HP34" s="8">
        <f>COUNTIFS('Raw data'!$D:$D,"*Kairo Smith*", 'Raw data'!$Y:$Y,"*2nd*",'Raw data'!$J:$J,"*Tackles*")</f>
        <v>1</v>
      </c>
      <c r="HQ34" s="8">
        <f>COUNTIFS('Raw data'!$D:$D,"*Kairo Smith*", 'Raw data'!$Y:$Y,"*2nd*",'Raw data'!$J:$J,"*Tackles*", 'Raw data'!$M:$M,"*Duel Succeeded*")</f>
        <v>1</v>
      </c>
      <c r="HR34" s="8">
        <f>COUNTIFS('Raw data'!$D:$D,"*Kairo Smith*", 'Raw data'!$Y:$Y,"*2nd*",'Raw data'!$J:$J,"*Tackles*", 'Raw data'!$M:$M,"*Duel Unsucceeded*")</f>
        <v>0</v>
      </c>
      <c r="HS34" s="54">
        <f t="shared" si="79"/>
        <v>1</v>
      </c>
      <c r="HT34" s="54">
        <f t="shared" si="80"/>
        <v>0</v>
      </c>
      <c r="HU34" s="8">
        <f>COUNTIFS('Raw data'!$D:$D,"*Kairo Smith*", 'Raw data'!$Y:$Y,"*2nd*",'Raw data'!$K:$K,"*2nd Balls*")</f>
        <v>2</v>
      </c>
      <c r="HV34" s="8">
        <f>COUNTIFS('Raw data'!$D:$D,"*Kairo Smith*", 'Raw data'!$Y:$Y,"*2nd*",'Raw data'!$K:$K,"*2nd Balls*", 'Raw data'!$M:$M,"*Duel Succeeded*")</f>
        <v>2</v>
      </c>
      <c r="HW34" s="8">
        <f>COUNTIFS('Raw data'!$D:$D,"*Kairo Smith*", 'Raw data'!$Y:$Y,"*2nd*",'Raw data'!$K:$K,"*2nd Balls*", 'Raw data'!$M:$M,"*Duel Unsucceeded*")</f>
        <v>0</v>
      </c>
      <c r="HX34" s="54">
        <f t="shared" si="81"/>
        <v>1</v>
      </c>
      <c r="HY34" s="54">
        <f t="shared" si="82"/>
        <v>0</v>
      </c>
      <c r="HZ34" s="8">
        <f>COUNTIFS('Raw data'!$D:$D,"*Kairo Smith*", 'Raw data'!$Y:$Y,"*2nd*",'Raw data'!$J:$J,"*Clearance*")</f>
        <v>0</v>
      </c>
      <c r="IA34" s="8">
        <f>COUNTIFS('Raw data'!$D:$D,"*Kairo Smith*", 'Raw data'!$Y:$Y,"*2nd*",'Raw data'!$J:$J,"*Interception*")</f>
        <v>0</v>
      </c>
      <c r="IB34" s="8">
        <f>COUNTIFS('Raw data'!$D:$D,"*Kairo Smith*", 'Raw data'!$Y:$Y,"*2nd*",'Raw data'!$J:$J,"*Turnover Won*")</f>
        <v>0</v>
      </c>
      <c r="IC34" s="8">
        <f>COUNTIFS('Raw data'!$D:$D,"*Kairo Smith*", 'Raw data'!$Y:$Y,"*2nd*",'Raw data'!$J:$J,"*Recovery*")</f>
        <v>0</v>
      </c>
      <c r="ID34" s="8">
        <f>COUNTIFS('Raw data'!$D:$D,"*Kairo Smith*", 'Raw data'!$Y:$Y,"*2nd*",'Raw data'!$J:$J,"*Blocked Shots*")</f>
        <v>0</v>
      </c>
      <c r="IE34" s="8">
        <f>COUNTIFS('Raw data'!$D:$D,"*Kairo Smith*", 'Raw data'!$Y:$Y,"*2nd*",'Raw data'!$J:$J,"*Man-marking*")</f>
        <v>0</v>
      </c>
      <c r="IF34" s="8">
        <f>COUNTIFS('Raw data'!$D:$D,"*Kairo Smith*", 'Raw data'!$Y:$Y,"*2nd*",'Raw data'!$J:$J,"*Fouls*")</f>
        <v>0</v>
      </c>
      <c r="IG34" s="8">
        <f>COUNTIFS('Raw data'!$D:$D,"*Kairo Smith*", 'Raw data'!$Y:$Y,"*2nd*",'Raw data'!$J:$J,"*Won F*")</f>
        <v>0</v>
      </c>
      <c r="IH34" s="8">
        <f>COUNTIFS('Raw data'!$D:$D,"*Kairo Smith*", 'Raw data'!$Y:$Y,"*2nd*",'Raw data'!$G:$G,"*1v1*")</f>
        <v>0</v>
      </c>
      <c r="II34" s="8">
        <f>COUNTIFS('Raw data'!$D:$D,"*Kairo Smith*", 'Raw data'!$Y:$Y,"*2nd*",'Raw data'!$G:$G,"*On Target*")</f>
        <v>0</v>
      </c>
      <c r="IJ34" s="8">
        <f>COUNTIFS('Raw data'!$D:$D,"*Kairo Smith*", 'Raw data'!$Y:$Y,"*2nd*",'Raw data'!$G:$G,"*Off Target*")</f>
        <v>0</v>
      </c>
      <c r="IK34" s="8">
        <f>COUNTIFS('Raw data'!$D:$D,"*Kairo Smith*", 'Raw data'!$Y:$Y,"*2nd*",'Raw data'!$G:$G,"*Defend the Space*")</f>
        <v>0</v>
      </c>
      <c r="IL34" s="8">
        <f>COUNTIFS('Raw data'!$D:$D,"*Kairo Smith*", 'Raw data'!$Y:$Y,"*2nd*",'Raw data'!$G:$G,"*Conceded*")</f>
        <v>0</v>
      </c>
      <c r="IM34" s="8">
        <f>COUNTIFS('Raw data'!$D:$D,"*Kairo Smith*", 'Raw data'!$Y:$Y,"*2nd*",'Raw data'!$G:$G,"*Save*")</f>
        <v>0</v>
      </c>
      <c r="IN34" s="8">
        <f>COUNTIFS('Raw data'!$D:$D,"*Kairo Smith*", 'Raw data'!$Y:$Y,"*2nd*",'Raw data'!$G:$G,"*Defend the line (Cross)*")</f>
        <v>0</v>
      </c>
      <c r="IO34" s="8">
        <f>COUNTIFS('Raw data'!$D:$D,"*Kairo Smith*", 'Raw data'!$Y:$Y,"*2nd*",'Raw data'!$G:$G,"*Counter Kick*")</f>
        <v>0</v>
      </c>
      <c r="IP34" t="s">
        <v>774</v>
      </c>
    </row>
    <row r="35" spans="3:250">
      <c r="C35" s="7"/>
      <c r="DW35" t="s">
        <v>461</v>
      </c>
      <c r="DX35" t="s">
        <v>770</v>
      </c>
      <c r="DY35">
        <v>20</v>
      </c>
      <c r="DZ35" t="s">
        <v>538</v>
      </c>
      <c r="EA35">
        <f t="shared" ref="EA35" si="125">EB35+EC35</f>
        <v>7</v>
      </c>
      <c r="EB35" s="8">
        <f t="shared" ref="EB35" si="126">EG35+EL35+EQ35</f>
        <v>7</v>
      </c>
      <c r="EC35" s="8">
        <f t="shared" ref="EC35" si="127">EH35+EM35+ER35</f>
        <v>0</v>
      </c>
      <c r="ED35" s="54">
        <f t="shared" ref="ED35" si="128">IFERROR(EB35/$EA35,"-")</f>
        <v>1</v>
      </c>
      <c r="EE35" s="54">
        <f t="shared" ref="EE35" si="129">IFERROR(EC35/$EA35,"-")</f>
        <v>0</v>
      </c>
      <c r="EF35">
        <f t="shared" ref="EF35" si="130">EG35+EH35</f>
        <v>0</v>
      </c>
      <c r="EG35">
        <f>COUNTIFS('Raw data'!$D:$D,"*William Swannell*", 'Raw data'!$Y:$Y,"*2nd*",'Raw data'!$I:$I,"*Forward Pass*",'Raw data'!$M:$M,"*Pass completed*")</f>
        <v>0</v>
      </c>
      <c r="EH35">
        <f>COUNTIFS('Raw data'!$D:$D,"*William Swannell*", 'Raw data'!$Y:$Y,"*2nd*",'Raw data'!$I:$I,"*Forward Pass*",'Raw data'!$M:$M,"*Pass Uncompleted*")</f>
        <v>0</v>
      </c>
      <c r="EI35" s="54" t="str">
        <f t="shared" ref="EI35" si="131">IFERROR(EG35/$EF35,"-")</f>
        <v>-</v>
      </c>
      <c r="EJ35" s="54" t="str">
        <f t="shared" ref="EJ35" si="132">IFERROR(EH35/$EF35,"-")</f>
        <v>-</v>
      </c>
      <c r="EK35">
        <f t="shared" ref="EK35" si="133">EL35+EM35</f>
        <v>4</v>
      </c>
      <c r="EL35" s="8">
        <f>COUNTIFS('Raw data'!$D:$D,"*William Swannell*", 'Raw data'!$Y:$Y,"*2nd*",'Raw data'!$I:$I,"*Lateral Pass*",'Raw data'!$M:$M,"*Pass completed*")</f>
        <v>4</v>
      </c>
      <c r="EM35" s="8">
        <f>COUNTIFS('Raw data'!$D:$D,"*William Swannell*", 'Raw data'!$Y:$Y,"*2nd*",'Raw data'!$I:$I,"*Lateral Pass*",'Raw data'!$M:$M,"*Pass Uncompleted*")</f>
        <v>0</v>
      </c>
      <c r="EN35" s="54">
        <f t="shared" ref="EN35" si="134">IFERROR(EL35/$EK35,"-")</f>
        <v>1</v>
      </c>
      <c r="EO35" s="54">
        <f t="shared" ref="EO35" si="135">IFERROR(EM35/$EK35,"-")</f>
        <v>0</v>
      </c>
      <c r="EP35">
        <f t="shared" ref="EP35" si="136">EQ35+ER35</f>
        <v>3</v>
      </c>
      <c r="EQ35" s="8">
        <f>COUNTIFS('Raw data'!$D:$D,"*William Swannell*", 'Raw data'!$Y:$Y,"*2nd*",'Raw data'!$I:$I,"*Backward Pass*",'Raw data'!$M:$M,"*Pass completed*")</f>
        <v>3</v>
      </c>
      <c r="ER35" s="8">
        <f>COUNTIFS('Raw data'!$D:$D,"*William Swannell*", 'Raw data'!$Y:$Y,"*2nd*",'Raw data'!$I:$I,"*Backward Pass*",'Raw data'!$M:$M,"*Pass Uncompleted*")</f>
        <v>0</v>
      </c>
      <c r="ES35" s="54">
        <f t="shared" ref="ES35" si="137">IFERROR(EQ35/$EQ35,"-")</f>
        <v>1</v>
      </c>
      <c r="ET35" s="54">
        <f t="shared" ref="ET35" si="138">IFERROR(ER35/$EQ35,"-")</f>
        <v>0</v>
      </c>
      <c r="EU35" s="8">
        <f>COUNTIFS('Raw data'!$D:$D,"*William Swannell*", 'Raw data'!$Y:$Y,"*2nd*",'Raw data'!$I:$I,"*Long Kick*")</f>
        <v>0</v>
      </c>
      <c r="EV35" s="8">
        <f>COUNTIFS('Raw data'!$D:$D,"*William Swannell*", 'Raw data'!$Y:$Y,"*2nd*",'Raw data'!$I:$I,"*Long Kick*",'Raw data'!$M:$M,"*Pass completed*")</f>
        <v>0</v>
      </c>
      <c r="EW35" s="8">
        <f>COUNTIFS('Raw data'!$D:$D,"*William Swannell*", 'Raw data'!$Y:$Y,"*2nd*",'Raw data'!$I:$I,"*Long Kick*",'Raw data'!$M:$M,"*Pass Uncompleted*")</f>
        <v>0</v>
      </c>
      <c r="EX35" s="54" t="str">
        <f t="shared" ref="EX35" si="139">IFERROR(EV35/$EU35,"-")</f>
        <v>-</v>
      </c>
      <c r="EY35" s="54" t="str">
        <f t="shared" ref="EY35" si="140">IFERROR(EW35/$EU35,"-")</f>
        <v>-</v>
      </c>
      <c r="EZ35" s="8">
        <f>COUNTIFS('Raw data'!$D:$D,"*William Swannell*", 'Raw data'!$Y:$Y,"*2nd*",'Raw data'!$I:$I,"*Balls in Behind*")</f>
        <v>0</v>
      </c>
      <c r="FA35" s="8">
        <f>COUNTIFS('Raw data'!$D:$D,"*William Swannell*", 'Raw data'!$Y:$Y,"*2nd*",'Raw data'!$I:$I,"*Balls in Behind*",'Raw data'!$M:$M,"*Pass completed*")</f>
        <v>0</v>
      </c>
      <c r="FB35" s="8">
        <f>COUNTIFS('Raw data'!$D:$D,"*William Swannell*", 'Raw data'!$Y:$Y,"*2nd*",'Raw data'!$I:$I,"*Balls in Behind*",'Raw data'!$M:$M,"*Pass Uncompleted*")</f>
        <v>0</v>
      </c>
      <c r="FC35" s="54" t="str">
        <f t="shared" ref="FC35" si="141">IFERROR(FA35/$EZ35,"-")</f>
        <v>-</v>
      </c>
      <c r="FD35" s="54" t="str">
        <f t="shared" ref="FD35" si="142">IFERROR(FB35/$EZ35,"-")</f>
        <v>-</v>
      </c>
      <c r="FE35" s="8">
        <f>COUNTIFS('Raw data'!$D:$D,"*William Swannell*", 'Raw data'!$Y:$Y,"*2nd*",'Raw data'!$I:$I,"*Key/Through pass*")</f>
        <v>0</v>
      </c>
      <c r="FF35" s="8">
        <f>COUNTIFS('Raw data'!$D:$D,"*William Swannell*", 'Raw data'!$Y:$Y,"*2nd*",'Raw data'!$I:$I,"*Diagonal pass*")</f>
        <v>0</v>
      </c>
      <c r="FG35" s="8">
        <f>COUNTIFS('Raw data'!$D:$D,"*William Swannell*", 'Raw data'!$Y:$Y,"*2nd*",'Raw data'!$I:$I,"*Diagonal pass*",'Raw data'!$M:$M,"*Pass completed*")</f>
        <v>0</v>
      </c>
      <c r="FH35" s="8">
        <f>COUNTIFS('Raw data'!$D:$D,"*William Swannell*", 'Raw data'!$Y:$Y,"*2nd*",'Raw data'!$I:$I,"*Diagonal pass*",'Raw data'!$M:$M,"*Pass Uncompleted*")</f>
        <v>0</v>
      </c>
      <c r="FI35" s="54" t="str">
        <f t="shared" ref="FI35" si="143">IFERROR(FG35/$FF35,"-")</f>
        <v>-</v>
      </c>
      <c r="FJ35" s="54" t="str">
        <f t="shared" ref="FJ35" si="144">IFERROR(FH35/$FF35,"-")</f>
        <v>-</v>
      </c>
      <c r="FK35" s="8">
        <f>COUNTIFS('Raw data'!$D:$D,"*William Swannell*", 'Raw data'!$Y:$Y,"*2nd*",'Raw data'!$M:$M,"*Pass Received*")</f>
        <v>4</v>
      </c>
      <c r="FL35" s="8">
        <f>COUNTIFS('Raw data'!$D:$D,"*William Swannell*", 'Raw data'!$Y:$Y,"*2nd*",'Raw data'!$M:$M,"*Pass Completed*",'Raw data'!$M:$M,"*Pass Received*")</f>
        <v>3</v>
      </c>
      <c r="FM35" s="8">
        <f>COUNTIFS('Raw data'!$D:$D,"*William Swannell*", 'Raw data'!$Y:$Y,"*2nd*",'Raw data'!$M:$M,"*Pass Uncompleted*",'Raw data'!$M:$M,"*Pass Received*")</f>
        <v>0</v>
      </c>
      <c r="FN35" s="8">
        <f>COUNTIFS('Raw data'!$D:$D,"*William Swannell*", 'Raw data'!$Y:$Y,"*2nd*",'Raw data'!$M:$M,"*Kept Possession*",'Raw data'!$M:$M,"*Pass Received*")</f>
        <v>0</v>
      </c>
      <c r="FO35" s="8">
        <f>COUNTIFS('Raw data'!$D:$D,"*William Swannell*", 'Raw data'!$Y:$Y,"*2nd*",'Raw data'!$M:$M,"*Lost Possession*")</f>
        <v>1</v>
      </c>
      <c r="FP35" s="8">
        <f>COUNTIFS('Raw data'!$D:$D,"*William Swannell*", 'Raw data'!$Y:$Y,"*2nd*",'Raw data'!$M:$M,"*Lost Possession*",'Raw data'!$M:$M,"*Lost Final 1/3*")</f>
        <v>0</v>
      </c>
      <c r="FQ35" s="8">
        <f>COUNTIFS('Raw data'!$D:$D,"*William Swannell*", 'Raw data'!$Y:$Y,"*2nd*",'Raw data'!$M:$M,"*Lost Possession*",'Raw data'!$M:$M,"*Lost Middle 1/3*")</f>
        <v>1</v>
      </c>
      <c r="FR35" s="8">
        <f>COUNTIFS('Raw data'!$D:$D,"*William Swannell*", 'Raw data'!$Y:$Y,"*2nd*",'Raw data'!$M:$M,"*Lost Possession*",'Raw data'!$M:$M,"*Lost Own 1/3*")</f>
        <v>0</v>
      </c>
      <c r="FS35" s="8">
        <f>COUNTIFS('Raw data'!$D:$D,"*William Swannell*", 'Raw data'!$Y:$Y,"*2nd*",'Raw data'!$H:$H,"*Touches in the Box*")</f>
        <v>0</v>
      </c>
      <c r="FT35" s="8">
        <f>COUNTIFS('Raw data'!$D:$D,"*William Swannell*", 'Raw data'!$Y:$Y,"*2nd*",'Raw data'!$H:$H,"*1v1 Attack*")</f>
        <v>1</v>
      </c>
      <c r="FU35" s="8">
        <f>COUNTIFS('Raw data'!$D:$D,"*William Swannell*", 'Raw data'!$Y:$Y,"*2nd*",'Raw data'!$H:$H,"*1v1 Attack*",'Raw data'!$H:$H,"*1v1 Attack*",'Raw data'!$M:$M,"*Kept Possession*")</f>
        <v>1</v>
      </c>
      <c r="FV35" s="8">
        <f>COUNTIFS('Raw data'!$D:$D,"*William Swannell*", 'Raw data'!$Y:$Y,"*2nd*",'Raw data'!$H:$H,"*1v1 Attack*",'Raw data'!$H:$H,"*1v1 Attack*",'Raw data'!$M:$M,"*Lost Possession*")</f>
        <v>0</v>
      </c>
      <c r="FW35" s="54">
        <f t="shared" ref="FW35" si="145">IFERROR(FU35/$FT35,"-")</f>
        <v>1</v>
      </c>
      <c r="FX35" s="54">
        <f t="shared" ref="FX35" si="146">IFERROR(FV35/$FT35,"-")</f>
        <v>0</v>
      </c>
      <c r="FY35" s="8">
        <f>COUNTIFS('Raw data'!$D:$D,"*William Swannell*", 'Raw data'!$Y:$Y,"*2nd*",'Raw data'!$I:$I,"*Cross*")</f>
        <v>0</v>
      </c>
      <c r="FZ35" s="8">
        <f>COUNTIFS('Raw data'!$D:$D,"*William Swannell*", 'Raw data'!$Y:$Y,"*2nd*",'Raw data'!$I:$I,"*Cross*",'Raw data'!$M:$M,"*Pass Completed*")</f>
        <v>0</v>
      </c>
      <c r="GA35" s="8">
        <f>COUNTIFS('Raw data'!$D:$D,"*William Swannell*", 'Raw data'!$Y:$Y,"*2nd*",'Raw data'!$I:$I,"*Cross*",'Raw data'!$M:$M,"*Pass Uncompleted*")</f>
        <v>0</v>
      </c>
      <c r="GB35" s="54" t="str">
        <f t="shared" ref="GB35" si="147">IFERROR(FZ35/$FY35,"-")</f>
        <v>-</v>
      </c>
      <c r="GC35" s="54" t="str">
        <f t="shared" ref="GC35" si="148">IFERROR(GA35/$FY35,"-")</f>
        <v>-</v>
      </c>
      <c r="GD35" s="8">
        <f t="shared" ref="GD35" si="149">SUM(GE35:GG35)</f>
        <v>0</v>
      </c>
      <c r="GE35" s="8">
        <f>COUNTIFS('Raw data'!$D:$D,"*William Swannell*", 'Raw data'!$Y:$Y,"*2nd*",'Raw data'!$L:$L,"*On Target*")</f>
        <v>0</v>
      </c>
      <c r="GF35" s="8">
        <f>COUNTIFS('Raw data'!$D:$D,"*William Swannell*", 'Raw data'!$Y:$Y,"*2nd*",'Raw data'!$L:$L,"*Off Target*")</f>
        <v>0</v>
      </c>
      <c r="GG35" s="8">
        <f>COUNTIFS('Raw data'!$D:$D,"*William Swannell*", 'Raw data'!$Y:$Y,"*2nd*",'Raw data'!$L:$L,"*Blocked*")</f>
        <v>0</v>
      </c>
      <c r="GH35" s="8">
        <f>COUNTIFS('Raw data'!$D:$D,"*William Swannell*", 'Raw data'!$Y:$Y,"*2nd*",'Raw data'!$M:$M,"*Goal*")</f>
        <v>0</v>
      </c>
      <c r="GI35" s="8">
        <f>COUNTIFS('Raw data'!$D:$D,"*William Swannell*", 'Raw data'!$Y:$Y,"*2nd*",'Raw data'!$M:$M,"*Assist*")</f>
        <v>0</v>
      </c>
      <c r="GJ35" s="8">
        <f>COUNTIFS('Raw data'!$D:$D,"*William Swannell*", 'Raw data'!$Y:$Y,"*2nd*",'Raw data'!$H:$H,"*Offensive duel*")</f>
        <v>0</v>
      </c>
      <c r="GK35" s="8">
        <f>COUNTIFS('Raw data'!$D:$D,"*William Swannell*", 'Raw data'!$Y:$Y,"*2nd*",'Raw data'!$H:$H,"*Offensive Duel*",'Raw data'!$H:$H,"*Offensive Duel*",'Raw data'!$M:$M,"*Kept Possession*")</f>
        <v>0</v>
      </c>
      <c r="GL35" s="8">
        <f>COUNTIFS('Raw data'!$D:$D,"*William Swannell*", 'Raw data'!$Y:$Y,"*2nd*",'Raw data'!$H:$H,"*Offensive Duel*",'Raw data'!$H:$H,"*Offensive Duel*",'Raw data'!$M:$M,"*Lost Possession*")</f>
        <v>0</v>
      </c>
      <c r="GM35" s="54" t="str">
        <f t="shared" ref="GM35" si="150">IFERROR(GK35/$GJ35,"-")</f>
        <v>-</v>
      </c>
      <c r="GN35" s="54" t="str">
        <f t="shared" ref="GN35" si="151">IFERROR(GL35/$GJ35,"-")</f>
        <v>-</v>
      </c>
      <c r="GO35" s="8">
        <f>COUNTIFS('Raw data'!$D:$D,"*William Swannell*", 'Raw data'!$Y:$Y,"*2nd*",'Raw data'!$H:$H,"*Acceleration*")</f>
        <v>0</v>
      </c>
      <c r="GP35" s="8">
        <f>COUNTIFS('Raw data'!$D:$D,"*William Swannell*", 'Raw data'!$Y:$Y,"*2nd*",'Raw data'!$H:$H,"*Move into Pocket*")</f>
        <v>3</v>
      </c>
      <c r="GQ35" s="8">
        <f>COUNTIFS('Raw data'!$D:$D,"*William Swannell*", 'Raw data'!$Y:$Y,"*2nd*",'Raw data'!$H:$H,"*Wide area*")</f>
        <v>1</v>
      </c>
      <c r="GR35" s="8">
        <f>COUNTIFS('Raw data'!$D:$D,"*William Swannell*", 'Raw data'!$Y:$Y,"*2nd*",'Raw data'!$H:$H,"*Back to goal*")</f>
        <v>0</v>
      </c>
      <c r="GS35" s="8">
        <f>COUNTIFS('Raw data'!$D:$D,"*William Swannell*", 'Raw data'!$Y:$Y,"*2nd*",'Raw data'!$H:$H,"*Over/Underlaps*")</f>
        <v>0</v>
      </c>
      <c r="GT35" s="8">
        <f>COUNTIFS('Raw data'!$D:$D,"*William Swannell*", 'Raw data'!$Y:$Y,"*2nd*",'Raw data'!$H:$H,"*Runs in Behind*")</f>
        <v>0</v>
      </c>
      <c r="GU35" s="8">
        <f>COUNTIFS('Raw data'!$D:$D,"*William Swannell*", 'Raw data'!$Y:$Y,"*2nd*",'Raw data'!$H:$H,"*Half-space Runs*")</f>
        <v>0</v>
      </c>
      <c r="GV35" s="8">
        <f t="shared" ref="GV35" si="152">SUM(GJ35,HA35,HF35)</f>
        <v>2</v>
      </c>
      <c r="GW35" s="8">
        <f t="shared" ref="GW35" si="153">SUM(GK35,HB35,HG35)</f>
        <v>0</v>
      </c>
      <c r="GX35" s="8">
        <f t="shared" ref="GX35" si="154">SUM(GL35,HC35,HH35)</f>
        <v>1</v>
      </c>
      <c r="GY35" s="54">
        <f t="shared" ref="GY35" si="155">IFERROR(GW35/$GV35,"-")</f>
        <v>0</v>
      </c>
      <c r="GZ35" s="54">
        <f t="shared" ref="GZ35" si="156">IFERROR(GX35/$GV35,"-")</f>
        <v>0.5</v>
      </c>
      <c r="HA35" s="8">
        <f>COUNTIFS('Raw data'!$D:$D,"*William Swannell*", 'Raw data'!$Y:$Y,"*2nd*",'Raw data'!$K:$K,"*Ground duel*")</f>
        <v>2</v>
      </c>
      <c r="HB35" s="8">
        <f>COUNTIFS('Raw data'!$D:$D,"*William Swannell*", 'Raw data'!$Y:$Y,"*2nd*",'Raw data'!$K:$K,"*Ground duel*",'Raw data'!$M:$M,"*Duel Succeeded*")</f>
        <v>0</v>
      </c>
      <c r="HC35" s="8">
        <f>COUNTIFS('Raw data'!$D:$D,"*William Swannell*", 'Raw data'!$Y:$Y,"*2nd*",'Raw data'!$K:$K,"*Ground duel*",'Raw data'!$M:$M,"*Duel Unsucceeded*")</f>
        <v>1</v>
      </c>
      <c r="HD35" s="54">
        <f t="shared" ref="HD35" si="157">IFERROR(HB35/$HA35,"-")</f>
        <v>0</v>
      </c>
      <c r="HE35" s="54">
        <f t="shared" ref="HE35" si="158">IFERROR(HC35/$HA35,"-")</f>
        <v>0.5</v>
      </c>
      <c r="HF35" s="8">
        <f>COUNTIFS('Raw data'!$D:$D,"*William Swannell*", 'Raw data'!$Y:$Y,"*2nd*",'Raw data'!$K:$K,"*Aerial duel*")</f>
        <v>0</v>
      </c>
      <c r="HG35" s="8">
        <f>COUNTIFS('Raw data'!$D:$D,"*William Swannell*", 'Raw data'!$Y:$Y,"*2nd*",'Raw data'!$K:$K,"*Aerial duel*",'Raw data'!$M:$M,"*Duel Succeeded*")</f>
        <v>0</v>
      </c>
      <c r="HH35" s="8">
        <f>COUNTIFS('Raw data'!$D:$D,"*William Swannell*", 'Raw data'!$Y:$Y,"*2nd*",'Raw data'!$K:$K,"*Aerial duel*",'Raw data'!$M:$M,"*Duel Unsucceeded*")</f>
        <v>0</v>
      </c>
      <c r="HI35" s="54" t="str">
        <f t="shared" ref="HI35" si="159">IFERROR(HG35/$HG35,"-")</f>
        <v>-</v>
      </c>
      <c r="HJ35" s="54" t="str">
        <f t="shared" ref="HJ35" si="160">IFERROR(HH35/$HG35,"-")</f>
        <v>-</v>
      </c>
      <c r="HK35" s="8">
        <f>COUNTIFS('Raw data'!$D:$D,"*William Swannell*", 'Raw data'!$Y:$Y,"*2nd*",'Raw data'!$K:$K,"*1v1 defense*")</f>
        <v>0</v>
      </c>
      <c r="HL35" s="8">
        <f>COUNTIFS('Raw data'!$D:$D,"*William Swannell*", 'Raw data'!$Y:$Y,"*2nd*",'Raw data'!$K:$K,"*1v1 defense*",'Raw data'!$M:$M,"*Duel Succeeded*")</f>
        <v>0</v>
      </c>
      <c r="HM35" s="8">
        <f>COUNTIFS('Raw data'!$D:$D,"*William Swannell*", 'Raw data'!$Y:$Y,"*2nd*",'Raw data'!$K:$K,"*1v1 defense*",'Raw data'!$M:$M,"*Duel Unsucceeded*")</f>
        <v>0</v>
      </c>
      <c r="HN35" s="54" t="str">
        <f t="shared" ref="HN35" si="161">IFERROR(HL35/$HK35,"-")</f>
        <v>-</v>
      </c>
      <c r="HO35" s="54" t="str">
        <f t="shared" ref="HO35" si="162">IFERROR(HM35/$HK35,"-")</f>
        <v>-</v>
      </c>
      <c r="HP35" s="8">
        <f>COUNTIFS('Raw data'!$D:$D,"*William Swannell*", 'Raw data'!$Y:$Y,"*2nd*",'Raw data'!$J:$J,"*Tackles*")</f>
        <v>1</v>
      </c>
      <c r="HQ35" s="8">
        <f>COUNTIFS('Raw data'!$D:$D,"*William Swannell*", 'Raw data'!$Y:$Y,"*2nd*",'Raw data'!$J:$J,"*Tackles*", 'Raw data'!$M:$M,"*Duel Succeeded*")</f>
        <v>1</v>
      </c>
      <c r="HR35" s="8">
        <f>COUNTIFS('Raw data'!$D:$D,"*William Swannell*", 'Raw data'!$Y:$Y,"*2nd*",'Raw data'!$J:$J,"*Tackles*", 'Raw data'!$M:$M,"*Duel Unsucceeded*")</f>
        <v>0</v>
      </c>
      <c r="HS35" s="54">
        <f t="shared" ref="HS35" si="163">IFERROR(HQ35/$HP35,"-")</f>
        <v>1</v>
      </c>
      <c r="HT35" s="54">
        <f t="shared" ref="HT35" si="164">IFERROR(HR35/$HP35,"-")</f>
        <v>0</v>
      </c>
      <c r="HU35" s="8">
        <f>COUNTIFS('Raw data'!$D:$D,"*William Swannell*", 'Raw data'!$Y:$Y,"*2nd*",'Raw data'!$K:$K,"*2nd Balls*")</f>
        <v>0</v>
      </c>
      <c r="HV35" s="8">
        <f>COUNTIFS('Raw data'!$D:$D,"*William Swannell*", 'Raw data'!$Y:$Y,"*2nd*",'Raw data'!$K:$K,"*2nd Balls*", 'Raw data'!$M:$M,"*Duel Succeeded*")</f>
        <v>0</v>
      </c>
      <c r="HW35" s="8">
        <f>COUNTIFS('Raw data'!$D:$D,"*William Swannell*", 'Raw data'!$Y:$Y,"*2nd*",'Raw data'!$K:$K,"*2nd Balls*", 'Raw data'!$M:$M,"*Duel Unsucceeded*")</f>
        <v>0</v>
      </c>
      <c r="HX35" s="54" t="str">
        <f t="shared" ref="HX35" si="165">IFERROR(HV35/$HU35,"-")</f>
        <v>-</v>
      </c>
      <c r="HY35" s="54" t="str">
        <f t="shared" ref="HY35" si="166">IFERROR(HW35/$HU35,"-")</f>
        <v>-</v>
      </c>
      <c r="HZ35" s="8">
        <f>COUNTIFS('Raw data'!$D:$D,"*William Swannell*", 'Raw data'!$Y:$Y,"*2nd*",'Raw data'!$J:$J,"*Clearance*")</f>
        <v>0</v>
      </c>
      <c r="IA35" s="8">
        <f>COUNTIFS('Raw data'!$D:$D,"*William Swannell*", 'Raw data'!$Y:$Y,"*2nd*",'Raw data'!$J:$J,"*Interception*")</f>
        <v>0</v>
      </c>
      <c r="IB35" s="8">
        <f>COUNTIFS('Raw data'!$D:$D,"*William Swannell*", 'Raw data'!$Y:$Y,"*2nd*",'Raw data'!$J:$J,"*Turnover Won*")</f>
        <v>1</v>
      </c>
      <c r="IC35" s="8">
        <f>COUNTIFS('Raw data'!$D:$D,"*William Swannell*", 'Raw data'!$Y:$Y,"*2nd*",'Raw data'!$J:$J,"*Recovery*")</f>
        <v>0</v>
      </c>
      <c r="ID35" s="8">
        <f>COUNTIFS('Raw data'!$D:$D,"*William Swannell*", 'Raw data'!$Y:$Y,"*2nd*",'Raw data'!$J:$J,"*Blocked Shots*")</f>
        <v>0</v>
      </c>
      <c r="IE35" s="8">
        <f>COUNTIFS('Raw data'!$D:$D,"*William Swannell*", 'Raw data'!$Y:$Y,"*2nd*",'Raw data'!$J:$J,"*Man-marking*")</f>
        <v>0</v>
      </c>
      <c r="IF35" s="8">
        <f>COUNTIFS('Raw data'!$D:$D,"*William Swannell*", 'Raw data'!$Y:$Y,"*2nd*",'Raw data'!$J:$J,"*Fouls*")</f>
        <v>0</v>
      </c>
      <c r="IG35" s="8">
        <f>COUNTIFS('Raw data'!$D:$D,"*William Swannell*", 'Raw data'!$Y:$Y,"*2nd*",'Raw data'!$J:$J,"*Won F*")</f>
        <v>0</v>
      </c>
      <c r="IH35" s="8">
        <f>COUNTIFS('Raw data'!$D:$D,"*William Swannell*", 'Raw data'!$Y:$Y,"*2nd*",'Raw data'!$G:$G,"*1v1*")</f>
        <v>0</v>
      </c>
      <c r="II35" s="8">
        <f>COUNTIFS('Raw data'!$D:$D,"*William Swannell*", 'Raw data'!$Y:$Y,"*2nd*",'Raw data'!$G:$G,"*On Target*")</f>
        <v>0</v>
      </c>
      <c r="IJ35" s="8">
        <f>COUNTIFS('Raw data'!$D:$D,"*William Swannell*", 'Raw data'!$Y:$Y,"*2nd*",'Raw data'!$G:$G,"*Off Target*")</f>
        <v>0</v>
      </c>
      <c r="IK35" s="8">
        <f>COUNTIFS('Raw data'!$D:$D,"*William Swannell*", 'Raw data'!$Y:$Y,"*2nd*",'Raw data'!$G:$G,"*Defend the Space*")</f>
        <v>0</v>
      </c>
      <c r="IL35" s="8">
        <f>COUNTIFS('Raw data'!$D:$D,"*William Swannell*", 'Raw data'!$Y:$Y,"*2nd*",'Raw data'!$G:$G,"*Conceded*")</f>
        <v>0</v>
      </c>
      <c r="IM35" s="8">
        <f>COUNTIFS('Raw data'!$D:$D,"*William Swannell*", 'Raw data'!$Y:$Y,"*2nd*",'Raw data'!$G:$G,"*Save*")</f>
        <v>0</v>
      </c>
      <c r="IN35" s="8">
        <f>COUNTIFS('Raw data'!$D:$D,"*William Swannell*", 'Raw data'!$Y:$Y,"*2nd*",'Raw data'!$G:$G,"*Defend the line (Cross)*")</f>
        <v>0</v>
      </c>
      <c r="IO35" s="8">
        <f>COUNTIFS('Raw data'!$D:$D,"*William Swannell*", 'Raw data'!$Y:$Y,"*2nd*",'Raw data'!$G:$G,"*Counter Kick*")</f>
        <v>0</v>
      </c>
      <c r="IP35" t="s">
        <v>770</v>
      </c>
    </row>
    <row r="36" spans="3:250">
      <c r="C36" s="7"/>
      <c r="DW36" t="s">
        <v>461</v>
      </c>
      <c r="DX36" t="s">
        <v>788</v>
      </c>
      <c r="DY36">
        <v>40</v>
      </c>
      <c r="DZ36" t="s">
        <v>539</v>
      </c>
      <c r="EA36">
        <f t="shared" si="42"/>
        <v>4</v>
      </c>
      <c r="EB36" s="8">
        <f t="shared" si="43"/>
        <v>2</v>
      </c>
      <c r="EC36" s="8">
        <f t="shared" si="43"/>
        <v>2</v>
      </c>
      <c r="ED36" s="54">
        <f t="shared" si="44"/>
        <v>0.5</v>
      </c>
      <c r="EE36" s="54">
        <f t="shared" si="45"/>
        <v>0.5</v>
      </c>
      <c r="EF36">
        <f t="shared" si="46"/>
        <v>2</v>
      </c>
      <c r="EG36">
        <f>COUNTIFS('Raw data'!$D:$D,"*Kaii Charles*", 'Raw data'!$Y:$Y,"*2nd*",'Raw data'!$I:$I,"*Forward Pass*",'Raw data'!$M:$M,"*Pass completed*")</f>
        <v>1</v>
      </c>
      <c r="EH36">
        <f>COUNTIFS('Raw data'!$D:$D,"*Kaii Charles*", 'Raw data'!$Y:$Y,"*2nd*",'Raw data'!$I:$I,"*Forward Pass*",'Raw data'!$M:$M,"*Pass Uncompleted*")</f>
        <v>1</v>
      </c>
      <c r="EI36" s="54">
        <f t="shared" si="47"/>
        <v>0.5</v>
      </c>
      <c r="EJ36" s="54">
        <f t="shared" si="48"/>
        <v>0.5</v>
      </c>
      <c r="EK36">
        <f t="shared" si="49"/>
        <v>0</v>
      </c>
      <c r="EL36" s="8">
        <f>COUNTIFS('Raw data'!$D:$D,"*Kaii Charles*", 'Raw data'!$Y:$Y,"*2nd*",'Raw data'!$I:$I,"*Lateral Pass*",'Raw data'!$M:$M,"*Pass completed*")</f>
        <v>0</v>
      </c>
      <c r="EM36" s="8">
        <f>COUNTIFS('Raw data'!$D:$D,"*Kaii Charles*", 'Raw data'!$Y:$Y,"*2nd*",'Raw data'!$I:$I,"*Lateral Pass*",'Raw data'!$M:$M,"*Pass Uncompleted*")</f>
        <v>0</v>
      </c>
      <c r="EN36" s="54" t="str">
        <f t="shared" si="50"/>
        <v>-</v>
      </c>
      <c r="EO36" s="54" t="str">
        <f t="shared" si="51"/>
        <v>-</v>
      </c>
      <c r="EP36">
        <f t="shared" si="52"/>
        <v>2</v>
      </c>
      <c r="EQ36" s="8">
        <f>COUNTIFS('Raw data'!$D:$D,"*Kaii Charles*", 'Raw data'!$Y:$Y,"*2nd*",'Raw data'!$I:$I,"*Backward Pass*",'Raw data'!$M:$M,"*Pass completed*")</f>
        <v>1</v>
      </c>
      <c r="ER36" s="8">
        <f>COUNTIFS('Raw data'!$D:$D,"*Kaii Charles*", 'Raw data'!$Y:$Y,"*2nd*",'Raw data'!$I:$I,"*Backward Pass*",'Raw data'!$M:$M,"*Pass Uncompleted*")</f>
        <v>1</v>
      </c>
      <c r="ES36" s="54">
        <f t="shared" si="53"/>
        <v>1</v>
      </c>
      <c r="ET36" s="54">
        <f t="shared" si="54"/>
        <v>1</v>
      </c>
      <c r="EU36" s="8">
        <f>COUNTIFS('Raw data'!$D:$D,"*Kaii Charles*", 'Raw data'!$Y:$Y,"*2nd*",'Raw data'!$I:$I,"*Long Kick*")</f>
        <v>0</v>
      </c>
      <c r="EV36" s="8">
        <f>COUNTIFS('Raw data'!$D:$D,"*Kaii Charles*", 'Raw data'!$Y:$Y,"*2nd*",'Raw data'!$I:$I,"*Long Kick*",'Raw data'!$M:$M,"*Pass completed*")</f>
        <v>0</v>
      </c>
      <c r="EW36" s="8">
        <f>COUNTIFS('Raw data'!$D:$D,"*Kaii Charles*", 'Raw data'!$Y:$Y,"*2nd*",'Raw data'!$I:$I,"*Long Kick*",'Raw data'!$M:$M,"*Pass Uncompleted*")</f>
        <v>0</v>
      </c>
      <c r="EX36" s="54" t="str">
        <f t="shared" si="55"/>
        <v>-</v>
      </c>
      <c r="EY36" s="54" t="str">
        <f t="shared" si="56"/>
        <v>-</v>
      </c>
      <c r="EZ36" s="8">
        <f>COUNTIFS('Raw data'!$D:$D,"*Kaii Charles*", 'Raw data'!$Y:$Y,"*2nd*",'Raw data'!$I:$I,"*Balls in Behind*")</f>
        <v>1</v>
      </c>
      <c r="FA36" s="8">
        <f>COUNTIFS('Raw data'!$D:$D,"*Kaii Charles*", 'Raw data'!$Y:$Y,"*2nd*",'Raw data'!$I:$I,"*Balls in Behind*",'Raw data'!$M:$M,"*Pass completed*")</f>
        <v>0</v>
      </c>
      <c r="FB36" s="8">
        <f>COUNTIFS('Raw data'!$D:$D,"*Kaii Charles*", 'Raw data'!$Y:$Y,"*2nd*",'Raw data'!$I:$I,"*Balls in Behind*",'Raw data'!$M:$M,"*Pass Uncompleted*")</f>
        <v>1</v>
      </c>
      <c r="FC36" s="54">
        <f t="shared" si="57"/>
        <v>0</v>
      </c>
      <c r="FD36" s="54">
        <f t="shared" si="58"/>
        <v>1</v>
      </c>
      <c r="FE36" s="8">
        <f>COUNTIFS('Raw data'!$D:$D,"*Kaii Charles*", 'Raw data'!$Y:$Y,"*2nd*",'Raw data'!$I:$I,"*Key/Through pass*")</f>
        <v>0</v>
      </c>
      <c r="FF36" s="8">
        <f>COUNTIFS('Raw data'!$D:$D,"*Kaii Charles*", 'Raw data'!$Y:$Y,"*2nd*",'Raw data'!$I:$I,"*Diagonal pass*")</f>
        <v>0</v>
      </c>
      <c r="FG36" s="8">
        <f>COUNTIFS('Raw data'!$D:$D,"*Kaii Charles*", 'Raw data'!$Y:$Y,"*2nd*",'Raw data'!$I:$I,"*Diagonal pass*",'Raw data'!$M:$M,"*Pass completed*")</f>
        <v>0</v>
      </c>
      <c r="FH36" s="8">
        <f>COUNTIFS('Raw data'!$D:$D,"*Kaii Charles*", 'Raw data'!$Y:$Y,"*2nd*",'Raw data'!$I:$I,"*Diagonal pass*",'Raw data'!$M:$M,"*Pass Uncompleted*")</f>
        <v>0</v>
      </c>
      <c r="FI36" s="54" t="str">
        <f t="shared" si="59"/>
        <v>-</v>
      </c>
      <c r="FJ36" s="54" t="str">
        <f t="shared" si="60"/>
        <v>-</v>
      </c>
      <c r="FK36" s="8">
        <f>COUNTIFS('Raw data'!$D:$D,"*Kaii Charles*", 'Raw data'!$Y:$Y,"*2nd*",'Raw data'!$M:$M,"*Pass Received*")</f>
        <v>10</v>
      </c>
      <c r="FL36" s="8">
        <f>COUNTIFS('Raw data'!$D:$D,"*Kaii Charles*", 'Raw data'!$Y:$Y,"*2nd*",'Raw data'!$M:$M,"*Pass Completed*",'Raw data'!$M:$M,"*Pass Received*")</f>
        <v>1</v>
      </c>
      <c r="FM36" s="8">
        <f>COUNTIFS('Raw data'!$D:$D,"*Kaii Charles*", 'Raw data'!$Y:$Y,"*2nd*",'Raw data'!$M:$M,"*Pass Uncompleted*",'Raw data'!$M:$M,"*Pass Received*")</f>
        <v>4</v>
      </c>
      <c r="FN36" s="8">
        <f>COUNTIFS('Raw data'!$D:$D,"*Kaii Charles*", 'Raw data'!$Y:$Y,"*2nd*",'Raw data'!$M:$M,"*Kept Possession*",'Raw data'!$M:$M,"*Pass Received*")</f>
        <v>1</v>
      </c>
      <c r="FO36" s="8">
        <f>COUNTIFS('Raw data'!$D:$D,"*Kaii Charles*", 'Raw data'!$Y:$Y,"*2nd*",'Raw data'!$M:$M,"*Lost Possession*")</f>
        <v>5</v>
      </c>
      <c r="FP36" s="8">
        <f>COUNTIFS('Raw data'!$D:$D,"*Kaii Charles*", 'Raw data'!$Y:$Y,"*2nd*",'Raw data'!$M:$M,"*Lost Possession*",'Raw data'!$M:$M,"*Lost Final 1/3*")</f>
        <v>2</v>
      </c>
      <c r="FQ36" s="8">
        <f>COUNTIFS('Raw data'!$D:$D,"*Kaii Charles*", 'Raw data'!$Y:$Y,"*2nd*",'Raw data'!$M:$M,"*Lost Possession*",'Raw data'!$M:$M,"*Lost Middle 1/3*")</f>
        <v>3</v>
      </c>
      <c r="FR36" s="8">
        <f>COUNTIFS('Raw data'!$D:$D,"*Kaii Charles*", 'Raw data'!$Y:$Y,"*2nd*",'Raw data'!$M:$M,"*Lost Possession*",'Raw data'!$M:$M,"*Lost Own 1/3*")</f>
        <v>0</v>
      </c>
      <c r="FS36" s="8">
        <f>COUNTIFS('Raw data'!$D:$D,"*Kaii Charles*", 'Raw data'!$Y:$Y,"*2nd*",'Raw data'!$H:$H,"*Touches in the Box*")</f>
        <v>1</v>
      </c>
      <c r="FT36" s="8">
        <f>COUNTIFS('Raw data'!$D:$D,"*Kaii Charles*", 'Raw data'!$Y:$Y,"*2nd*",'Raw data'!$H:$H,"*1v1 Attack*")</f>
        <v>4</v>
      </c>
      <c r="FU36" s="8">
        <f>COUNTIFS('Raw data'!$D:$D,"*Kaii Charles*", 'Raw data'!$Y:$Y,"*2nd*",'Raw data'!$H:$H,"*1v1 Attack*",'Raw data'!$H:$H,"*1v1 Attack*",'Raw data'!$M:$M,"*Kept Possession*")</f>
        <v>2</v>
      </c>
      <c r="FV36" s="8">
        <f>COUNTIFS('Raw data'!$D:$D,"*Kaii Charles*", 'Raw data'!$Y:$Y,"*2nd*",'Raw data'!$H:$H,"*1v1 Attack*",'Raw data'!$H:$H,"*1v1 Attack*",'Raw data'!$M:$M,"*Lost Possession*")</f>
        <v>2</v>
      </c>
      <c r="FW36" s="54">
        <f t="shared" si="61"/>
        <v>0.5</v>
      </c>
      <c r="FX36" s="54">
        <f t="shared" si="62"/>
        <v>0.5</v>
      </c>
      <c r="FY36" s="8">
        <f>COUNTIFS('Raw data'!$D:$D,"*Kaii Charles*", 'Raw data'!$Y:$Y,"*2nd*",'Raw data'!$I:$I,"*Cross*")</f>
        <v>2</v>
      </c>
      <c r="FZ36" s="8">
        <f>COUNTIFS('Raw data'!$D:$D,"*Kaii Charles*", 'Raw data'!$Y:$Y,"*2nd*",'Raw data'!$I:$I,"*Cross*",'Raw data'!$M:$M,"*Pass Completed*")</f>
        <v>0</v>
      </c>
      <c r="GA36" s="8">
        <f>COUNTIFS('Raw data'!$D:$D,"*Kaii Charles*", 'Raw data'!$Y:$Y,"*2nd*",'Raw data'!$I:$I,"*Cross*",'Raw data'!$M:$M,"*Pass Uncompleted*")</f>
        <v>2</v>
      </c>
      <c r="GB36" s="54">
        <f t="shared" si="63"/>
        <v>0</v>
      </c>
      <c r="GC36" s="54">
        <f t="shared" si="64"/>
        <v>1</v>
      </c>
      <c r="GD36" s="8">
        <f t="shared" si="65"/>
        <v>0</v>
      </c>
      <c r="GE36" s="8">
        <f>COUNTIFS('Raw data'!$D:$D,"*Kaii Charles*", 'Raw data'!$Y:$Y,"*2nd*",'Raw data'!$L:$L,"*On Target*")</f>
        <v>0</v>
      </c>
      <c r="GF36" s="8">
        <f>COUNTIFS('Raw data'!$D:$D,"*Kaii Charles*", 'Raw data'!$Y:$Y,"*2nd*",'Raw data'!$L:$L,"*Off Target*")</f>
        <v>0</v>
      </c>
      <c r="GG36" s="8">
        <f>COUNTIFS('Raw data'!$D:$D,"*Kaii Charles*", 'Raw data'!$Y:$Y,"*2nd*",'Raw data'!$L:$L,"*Blocked*")</f>
        <v>0</v>
      </c>
      <c r="GH36" s="8">
        <f>COUNTIFS('Raw data'!$D:$D,"*Kaii Charles*", 'Raw data'!$Y:$Y,"*2nd*",'Raw data'!$M:$M,"*Goal*")</f>
        <v>0</v>
      </c>
      <c r="GI36" s="8">
        <f>COUNTIFS('Raw data'!$D:$D,"*Kaii Charles*", 'Raw data'!$Y:$Y,"*2nd*",'Raw data'!$M:$M,"*Assist*")</f>
        <v>0</v>
      </c>
      <c r="GJ36" s="8">
        <f>COUNTIFS('Raw data'!$D:$D,"*Kaii Charles*", 'Raw data'!$Y:$Y,"*2nd*",'Raw data'!$H:$H,"*Offensive duel*")</f>
        <v>1</v>
      </c>
      <c r="GK36" s="8">
        <f>COUNTIFS('Raw data'!$D:$D,"*Kaii Charles*", 'Raw data'!$Y:$Y,"*2nd*",'Raw data'!$H:$H,"*Offensive Duel*",'Raw data'!$H:$H,"*Offensive Duel*",'Raw data'!$M:$M,"*Kept Possession*")</f>
        <v>0</v>
      </c>
      <c r="GL36" s="8">
        <f>COUNTIFS('Raw data'!$D:$D,"*Kaii Charles*", 'Raw data'!$Y:$Y,"*2nd*",'Raw data'!$H:$H,"*Offensive Duel*",'Raw data'!$H:$H,"*Offensive Duel*",'Raw data'!$M:$M,"*Lost Possession*")</f>
        <v>1</v>
      </c>
      <c r="GM36" s="54">
        <f t="shared" si="66"/>
        <v>0</v>
      </c>
      <c r="GN36" s="54">
        <f t="shared" si="67"/>
        <v>1</v>
      </c>
      <c r="GO36" s="8">
        <f>COUNTIFS('Raw data'!$D:$D,"*Kaii Charles*", 'Raw data'!$Y:$Y,"*2nd*",'Raw data'!$H:$H,"*Acceleration*")</f>
        <v>0</v>
      </c>
      <c r="GP36" s="8">
        <f>COUNTIFS('Raw data'!$D:$D,"*Kaii Charles*", 'Raw data'!$Y:$Y,"*2nd*",'Raw data'!$H:$H,"*Move into Pocket*")</f>
        <v>0</v>
      </c>
      <c r="GQ36" s="8">
        <f>COUNTIFS('Raw data'!$D:$D,"*Kaii Charles*", 'Raw data'!$Y:$Y,"*2nd*",'Raw data'!$H:$H,"*Wide area*")</f>
        <v>7</v>
      </c>
      <c r="GR36" s="8">
        <f>COUNTIFS('Raw data'!$D:$D,"*Kaii Charles*", 'Raw data'!$Y:$Y,"*2nd*",'Raw data'!$H:$H,"*Back to goal*")</f>
        <v>0</v>
      </c>
      <c r="GS36" s="8">
        <f>COUNTIFS('Raw data'!$D:$D,"*Kaii Charles*", 'Raw data'!$Y:$Y,"*2nd*",'Raw data'!$H:$H,"*Over/Underlaps*")</f>
        <v>0</v>
      </c>
      <c r="GT36" s="8">
        <f>COUNTIFS('Raw data'!$D:$D,"*Kaii Charles*", 'Raw data'!$Y:$Y,"*2nd*",'Raw data'!$H:$H,"*Runs in Behind*")</f>
        <v>0</v>
      </c>
      <c r="GU36" s="8">
        <f>COUNTIFS('Raw data'!$D:$D,"*Kaii Charles*", 'Raw data'!$Y:$Y,"*2nd*",'Raw data'!$H:$H,"*Half-space Runs*")</f>
        <v>0</v>
      </c>
      <c r="GV36" s="8">
        <f t="shared" si="68"/>
        <v>4</v>
      </c>
      <c r="GW36" s="8">
        <f t="shared" si="69"/>
        <v>0</v>
      </c>
      <c r="GX36" s="8">
        <f t="shared" si="70"/>
        <v>4</v>
      </c>
      <c r="GY36" s="54">
        <f t="shared" si="71"/>
        <v>0</v>
      </c>
      <c r="GZ36" s="54">
        <f t="shared" si="72"/>
        <v>1</v>
      </c>
      <c r="HA36" s="8">
        <f>COUNTIFS('Raw data'!$D:$D,"*Kaii Charles*", 'Raw data'!$Y:$Y,"*2nd*",'Raw data'!$K:$K,"*Ground duel*")</f>
        <v>3</v>
      </c>
      <c r="HB36" s="8">
        <f>COUNTIFS('Raw data'!$D:$D,"*Kaii Charles*", 'Raw data'!$Y:$Y,"*2nd*",'Raw data'!$K:$K,"*Ground duel*",'Raw data'!$M:$M,"*Duel Succeeded*")</f>
        <v>0</v>
      </c>
      <c r="HC36" s="8">
        <f>COUNTIFS('Raw data'!$D:$D,"*Kaii Charles*", 'Raw data'!$Y:$Y,"*2nd*",'Raw data'!$K:$K,"*Ground duel*",'Raw data'!$M:$M,"*Duel Unsucceeded*")</f>
        <v>3</v>
      </c>
      <c r="HD36" s="54">
        <f t="shared" si="73"/>
        <v>0</v>
      </c>
      <c r="HE36" s="54">
        <f t="shared" si="74"/>
        <v>1</v>
      </c>
      <c r="HF36" s="8">
        <f>COUNTIFS('Raw data'!$D:$D,"*Kaii Charles*", 'Raw data'!$Y:$Y,"*2nd*",'Raw data'!$K:$K,"*Aerial duel*")</f>
        <v>0</v>
      </c>
      <c r="HG36" s="8">
        <f>COUNTIFS('Raw data'!$D:$D,"*Kaii Charles*", 'Raw data'!$Y:$Y,"*2nd*",'Raw data'!$K:$K,"*Aerial duel*",'Raw data'!$M:$M,"*Duel Succeeded*")</f>
        <v>0</v>
      </c>
      <c r="HH36" s="8">
        <f>COUNTIFS('Raw data'!$D:$D,"*Kaii Charles*", 'Raw data'!$Y:$Y,"*2nd*",'Raw data'!$K:$K,"*Aerial duel*",'Raw data'!$M:$M,"*Duel Unsucceeded*")</f>
        <v>0</v>
      </c>
      <c r="HI36" s="54" t="str">
        <f t="shared" si="75"/>
        <v>-</v>
      </c>
      <c r="HJ36" s="54" t="str">
        <f t="shared" si="76"/>
        <v>-</v>
      </c>
      <c r="HK36" s="8">
        <f>COUNTIFS('Raw data'!$D:$D,"*Kaii Charles*", 'Raw data'!$Y:$Y,"*2nd*",'Raw data'!$K:$K,"*1v1 defense*")</f>
        <v>2</v>
      </c>
      <c r="HL36" s="8">
        <f>COUNTIFS('Raw data'!$D:$D,"*Kaii Charles*", 'Raw data'!$Y:$Y,"*2nd*",'Raw data'!$K:$K,"*1v1 defense*",'Raw data'!$M:$M,"*Duel Succeeded*")</f>
        <v>0</v>
      </c>
      <c r="HM36" s="8">
        <f>COUNTIFS('Raw data'!$D:$D,"*Kaii Charles*", 'Raw data'!$Y:$Y,"*2nd*",'Raw data'!$K:$K,"*1v1 defense*",'Raw data'!$M:$M,"*Duel Unsucceeded*")</f>
        <v>2</v>
      </c>
      <c r="HN36" s="54">
        <f t="shared" si="77"/>
        <v>0</v>
      </c>
      <c r="HO36" s="54">
        <f t="shared" si="78"/>
        <v>1</v>
      </c>
      <c r="HP36" s="8">
        <f>COUNTIFS('Raw data'!$D:$D,"*Kaii Charles*", 'Raw data'!$Y:$Y,"*2nd*",'Raw data'!$J:$J,"*Tackles*")</f>
        <v>0</v>
      </c>
      <c r="HQ36" s="8">
        <f>COUNTIFS('Raw data'!$D:$D,"*Kaii Charles*", 'Raw data'!$Y:$Y,"*2nd*",'Raw data'!$J:$J,"*Tackles*", 'Raw data'!$M:$M,"*Duel Succeeded*")</f>
        <v>0</v>
      </c>
      <c r="HR36" s="8">
        <f>COUNTIFS('Raw data'!$D:$D,"*Kaii Charles*", 'Raw data'!$Y:$Y,"*2nd*",'Raw data'!$J:$J,"*Tackles*", 'Raw data'!$M:$M,"*Duel Unsucceeded*")</f>
        <v>0</v>
      </c>
      <c r="HS36" s="54" t="str">
        <f t="shared" si="79"/>
        <v>-</v>
      </c>
      <c r="HT36" s="54" t="str">
        <f t="shared" si="80"/>
        <v>-</v>
      </c>
      <c r="HU36" s="8">
        <f>COUNTIFS('Raw data'!$D:$D,"*Kaii Charles*", 'Raw data'!$Y:$Y,"*2nd*",'Raw data'!$K:$K,"*2nd Balls*")</f>
        <v>0</v>
      </c>
      <c r="HV36" s="8">
        <f>COUNTIFS('Raw data'!$D:$D,"*Kaii Charles*", 'Raw data'!$Y:$Y,"*2nd*",'Raw data'!$K:$K,"*2nd Balls*", 'Raw data'!$M:$M,"*Duel Succeeded*")</f>
        <v>0</v>
      </c>
      <c r="HW36" s="8">
        <f>COUNTIFS('Raw data'!$D:$D,"*Kaii Charles*", 'Raw data'!$Y:$Y,"*2nd*",'Raw data'!$K:$K,"*2nd Balls*", 'Raw data'!$M:$M,"*Duel Unsucceeded*")</f>
        <v>0</v>
      </c>
      <c r="HX36" s="54" t="str">
        <f t="shared" si="81"/>
        <v>-</v>
      </c>
      <c r="HY36" s="54" t="str">
        <f t="shared" si="82"/>
        <v>-</v>
      </c>
      <c r="HZ36" s="8">
        <f>COUNTIFS('Raw data'!$D:$D,"*Kaii Charles*", 'Raw data'!$Y:$Y,"*2nd*",'Raw data'!$J:$J,"*Clearance*")</f>
        <v>0</v>
      </c>
      <c r="IA36" s="8">
        <f>COUNTIFS('Raw data'!$D:$D,"*Kaii Charles*", 'Raw data'!$Y:$Y,"*2nd*",'Raw data'!$J:$J,"*Interception*")</f>
        <v>1</v>
      </c>
      <c r="IB36" s="8">
        <f>COUNTIFS('Raw data'!$D:$D,"*Kaii Charles*", 'Raw data'!$Y:$Y,"*2nd*",'Raw data'!$J:$J,"*Turnover Won*")</f>
        <v>0</v>
      </c>
      <c r="IC36" s="8">
        <f>COUNTIFS('Raw data'!$D:$D,"*Kaii Charles*", 'Raw data'!$Y:$Y,"*2nd*",'Raw data'!$J:$J,"*Recovery*")</f>
        <v>0</v>
      </c>
      <c r="ID36" s="8">
        <f>COUNTIFS('Raw data'!$D:$D,"*Kaii Charles*", 'Raw data'!$Y:$Y,"*2nd*",'Raw data'!$J:$J,"*Blocked Shots*")</f>
        <v>0</v>
      </c>
      <c r="IE36" s="8">
        <f>COUNTIFS('Raw data'!$D:$D,"*Kaii Charles*", 'Raw data'!$Y:$Y,"*2nd*",'Raw data'!$J:$J,"*Man-marking*")</f>
        <v>0</v>
      </c>
      <c r="IF36" s="8">
        <f>COUNTIFS('Raw data'!$D:$D,"*Kaii Charles*", 'Raw data'!$Y:$Y,"*2nd*",'Raw data'!$J:$J,"*Fouls*")</f>
        <v>0</v>
      </c>
      <c r="IG36" s="8">
        <f>COUNTIFS('Raw data'!$D:$D,"*Kaii Charles*", 'Raw data'!$Y:$Y,"*2nd*",'Raw data'!$J:$J,"*Won F*")</f>
        <v>0</v>
      </c>
      <c r="IH36" s="8">
        <f>COUNTIFS('Raw data'!$D:$D,"*Kaii Charles*", 'Raw data'!$Y:$Y,"*2nd*",'Raw data'!$G:$G,"*1v1*")</f>
        <v>0</v>
      </c>
      <c r="II36" s="8">
        <f>COUNTIFS('Raw data'!$D:$D,"*Kaii Charles*", 'Raw data'!$Y:$Y,"*2nd*",'Raw data'!$G:$G,"*On Target*")</f>
        <v>0</v>
      </c>
      <c r="IJ36" s="8">
        <f>COUNTIFS('Raw data'!$D:$D,"*Kaii Charles*", 'Raw data'!$Y:$Y,"*2nd*",'Raw data'!$G:$G,"*Off Target*")</f>
        <v>0</v>
      </c>
      <c r="IK36" s="8">
        <f>COUNTIFS('Raw data'!$D:$D,"*Kaii Charles*", 'Raw data'!$Y:$Y,"*2nd*",'Raw data'!$G:$G,"*Defend the Space*")</f>
        <v>0</v>
      </c>
      <c r="IL36" s="8">
        <f>COUNTIFS('Raw data'!$D:$D,"*Kaii Charles*", 'Raw data'!$Y:$Y,"*2nd*",'Raw data'!$G:$G,"*Conceded*")</f>
        <v>0</v>
      </c>
      <c r="IM36" s="8">
        <f>COUNTIFS('Raw data'!$D:$D,"*Kaii Charles*", 'Raw data'!$Y:$Y,"*2nd*",'Raw data'!$G:$G,"*Save*")</f>
        <v>0</v>
      </c>
      <c r="IN36" s="8">
        <f>COUNTIFS('Raw data'!$D:$D,"*Kaii Charles*", 'Raw data'!$Y:$Y,"*2nd*",'Raw data'!$G:$G,"*Defend the line (Cross)*")</f>
        <v>0</v>
      </c>
      <c r="IO36" s="8">
        <f>COUNTIFS('Raw data'!$D:$D,"*Kaii Charles*", 'Raw data'!$Y:$Y,"*2nd*",'Raw data'!$G:$G,"*Counter Kick*")</f>
        <v>0</v>
      </c>
      <c r="IP36" t="s">
        <v>788</v>
      </c>
    </row>
    <row r="37" spans="3:250">
      <c r="DW37" t="s">
        <v>461</v>
      </c>
      <c r="DX37" t="s">
        <v>687</v>
      </c>
      <c r="DY37">
        <v>40</v>
      </c>
      <c r="DZ37" t="s">
        <v>643</v>
      </c>
      <c r="EA37">
        <f t="shared" si="42"/>
        <v>15</v>
      </c>
      <c r="EB37" s="8">
        <f t="shared" si="43"/>
        <v>12</v>
      </c>
      <c r="EC37" s="8">
        <f t="shared" si="43"/>
        <v>3</v>
      </c>
      <c r="ED37" s="54">
        <f t="shared" si="44"/>
        <v>0.8</v>
      </c>
      <c r="EE37" s="54">
        <f t="shared" si="45"/>
        <v>0.2</v>
      </c>
      <c r="EF37">
        <f t="shared" si="46"/>
        <v>4</v>
      </c>
      <c r="EG37">
        <f>COUNTIFS('Raw data'!$D:$D,"*Sebastian Bixby-Gutierrez*", 'Raw data'!$Y:$Y,"*2nd*",'Raw data'!$I:$I,"*Forward Pass*",'Raw data'!$M:$M,"*Pass completed*")</f>
        <v>3</v>
      </c>
      <c r="EH37">
        <f>COUNTIFS('Raw data'!$D:$D,"*Sebastian Bixby-Gutierrez*", 'Raw data'!$Y:$Y,"*2nd*",'Raw data'!$I:$I,"*Forward Pass*",'Raw data'!$M:$M,"*Pass Uncompleted*")</f>
        <v>1</v>
      </c>
      <c r="EI37" s="54">
        <f t="shared" si="47"/>
        <v>0.75</v>
      </c>
      <c r="EJ37" s="54">
        <f t="shared" si="48"/>
        <v>0.25</v>
      </c>
      <c r="EK37">
        <f t="shared" si="49"/>
        <v>6</v>
      </c>
      <c r="EL37" s="8">
        <f>COUNTIFS('Raw data'!$D:$D,"*Sebastian Bixby-Gutierrez*", 'Raw data'!$Y:$Y,"*2nd*",'Raw data'!$I:$I,"*Lateral Pass*",'Raw data'!$M:$M,"*Pass completed*")</f>
        <v>4</v>
      </c>
      <c r="EM37" s="8">
        <f>COUNTIFS('Raw data'!$D:$D,"*Sebastian Bixby-Gutierrez*", 'Raw data'!$Y:$Y,"*2nd*",'Raw data'!$I:$I,"*Lateral Pass*",'Raw data'!$M:$M,"*Pass Uncompleted*")</f>
        <v>2</v>
      </c>
      <c r="EN37" s="54">
        <f t="shared" si="50"/>
        <v>0.66666666666666663</v>
      </c>
      <c r="EO37" s="54">
        <f t="shared" si="51"/>
        <v>0.33333333333333331</v>
      </c>
      <c r="EP37">
        <f t="shared" si="52"/>
        <v>5</v>
      </c>
      <c r="EQ37" s="8">
        <f>COUNTIFS('Raw data'!$D:$D,"*Sebastian Bixby-Gutierrez*", 'Raw data'!$Y:$Y,"*2nd*",'Raw data'!$I:$I,"*Backward Pass*",'Raw data'!$M:$M,"*Pass completed*")</f>
        <v>5</v>
      </c>
      <c r="ER37" s="8">
        <f>COUNTIFS('Raw data'!$D:$D,"*Sebastian Bixby-Gutierrez*", 'Raw data'!$Y:$Y,"*2nd*",'Raw data'!$I:$I,"*Backward Pass*",'Raw data'!$M:$M,"*Pass Uncompleted*")</f>
        <v>0</v>
      </c>
      <c r="ES37" s="54">
        <f t="shared" si="53"/>
        <v>1</v>
      </c>
      <c r="ET37" s="54">
        <f t="shared" si="54"/>
        <v>0</v>
      </c>
      <c r="EU37" s="8">
        <f>COUNTIFS('Raw data'!$D:$D,"*Sebastian Bixby-Gutierrez*", 'Raw data'!$Y:$Y,"*2nd*",'Raw data'!$I:$I,"*Long Kick*")</f>
        <v>0</v>
      </c>
      <c r="EV37" s="8">
        <f>COUNTIFS('Raw data'!$D:$D,"*Sebastian Bixby-Gutierrez*", 'Raw data'!$Y:$Y,"*2nd*",'Raw data'!$I:$I,"*Long Kick*",'Raw data'!$M:$M,"*Pass completed*")</f>
        <v>0</v>
      </c>
      <c r="EW37" s="8">
        <f>COUNTIFS('Raw data'!$D:$D,"*Sebastian Bixby-Gutierrez*", 'Raw data'!$Y:$Y,"*2nd*",'Raw data'!$I:$I,"*Long Kick*",'Raw data'!$M:$M,"*Pass Uncompleted*")</f>
        <v>0</v>
      </c>
      <c r="EX37" s="54" t="str">
        <f t="shared" si="55"/>
        <v>-</v>
      </c>
      <c r="EY37" s="54" t="str">
        <f t="shared" si="56"/>
        <v>-</v>
      </c>
      <c r="EZ37" s="8">
        <f>COUNTIFS('Raw data'!$D:$D,"*Sebastian Bixby-Gutierrez*", 'Raw data'!$Y:$Y,"*2nd*",'Raw data'!$I:$I,"*Balls in Behind*")</f>
        <v>0</v>
      </c>
      <c r="FA37" s="8">
        <f>COUNTIFS('Raw data'!$D:$D,"*Sebastian Bixby-Gutierrez*", 'Raw data'!$Y:$Y,"*2nd*",'Raw data'!$I:$I,"*Balls in Behind*",'Raw data'!$M:$M,"*Pass completed*")</f>
        <v>0</v>
      </c>
      <c r="FB37" s="8">
        <f>COUNTIFS('Raw data'!$D:$D,"*Sebastian Bixby-Gutierrez*", 'Raw data'!$Y:$Y,"*2nd*",'Raw data'!$I:$I,"*Balls in Behind*",'Raw data'!$M:$M,"*Pass Uncompleted*")</f>
        <v>0</v>
      </c>
      <c r="FC37" s="54" t="str">
        <f t="shared" si="57"/>
        <v>-</v>
      </c>
      <c r="FD37" s="54" t="str">
        <f t="shared" si="58"/>
        <v>-</v>
      </c>
      <c r="FE37" s="8">
        <f>COUNTIFS('Raw data'!$D:$D,"*Sebastian Bixby-Gutierrez*", 'Raw data'!$Y:$Y,"*2nd*",'Raw data'!$I:$I,"*Key/Through pass*")</f>
        <v>0</v>
      </c>
      <c r="FF37" s="8">
        <f>COUNTIFS('Raw data'!$D:$D,"*Sebastian Bixby-Gutierrez*", 'Raw data'!$Y:$Y,"*2nd*",'Raw data'!$I:$I,"*Diagonal pass*")</f>
        <v>0</v>
      </c>
      <c r="FG37" s="8">
        <f>COUNTIFS('Raw data'!$D:$D,"*Sebastian Bixby-Gutierrez*", 'Raw data'!$Y:$Y,"*2nd*",'Raw data'!$I:$I,"*Diagonal pass*",'Raw data'!$M:$M,"*Pass completed*")</f>
        <v>0</v>
      </c>
      <c r="FH37" s="8">
        <f>COUNTIFS('Raw data'!$D:$D,"*Sebastian Bixby-Gutierrez*", 'Raw data'!$Y:$Y,"*2nd*",'Raw data'!$I:$I,"*Diagonal pass*",'Raw data'!$M:$M,"*Pass Uncompleted*")</f>
        <v>0</v>
      </c>
      <c r="FI37" s="54" t="str">
        <f t="shared" si="59"/>
        <v>-</v>
      </c>
      <c r="FJ37" s="54" t="str">
        <f t="shared" si="60"/>
        <v>-</v>
      </c>
      <c r="FK37" s="8">
        <f>COUNTIFS('Raw data'!$D:$D,"*Sebastian Bixby-Gutierrez*", 'Raw data'!$Y:$Y,"*2nd*",'Raw data'!$M:$M,"*Pass Received*")</f>
        <v>15</v>
      </c>
      <c r="FL37" s="8">
        <f>COUNTIFS('Raw data'!$D:$D,"*Sebastian Bixby-Gutierrez*", 'Raw data'!$Y:$Y,"*2nd*",'Raw data'!$M:$M,"*Pass Completed*",'Raw data'!$M:$M,"*Pass Received*")</f>
        <v>9</v>
      </c>
      <c r="FM37" s="8">
        <f>COUNTIFS('Raw data'!$D:$D,"*Sebastian Bixby-Gutierrez*", 'Raw data'!$Y:$Y,"*2nd*",'Raw data'!$M:$M,"*Pass Uncompleted*",'Raw data'!$M:$M,"*Pass Received*")</f>
        <v>3</v>
      </c>
      <c r="FN37" s="8">
        <f>COUNTIFS('Raw data'!$D:$D,"*Sebastian Bixby-Gutierrez*", 'Raw data'!$Y:$Y,"*2nd*",'Raw data'!$M:$M,"*Kept Possession*",'Raw data'!$M:$M,"*Pass Received*")</f>
        <v>5</v>
      </c>
      <c r="FO37" s="8">
        <f>COUNTIFS('Raw data'!$D:$D,"*Sebastian Bixby-Gutierrez*", 'Raw data'!$Y:$Y,"*2nd*",'Raw data'!$M:$M,"*Lost Possession*")</f>
        <v>2</v>
      </c>
      <c r="FP37" s="8">
        <f>COUNTIFS('Raw data'!$D:$D,"*Sebastian Bixby-Gutierrez*", 'Raw data'!$Y:$Y,"*2nd*",'Raw data'!$M:$M,"*Lost Possession*",'Raw data'!$M:$M,"*Lost Final 1/3*")</f>
        <v>1</v>
      </c>
      <c r="FQ37" s="8">
        <f>COUNTIFS('Raw data'!$D:$D,"*Sebastian Bixby-Gutierrez*", 'Raw data'!$Y:$Y,"*2nd*",'Raw data'!$M:$M,"*Lost Possession*",'Raw data'!$M:$M,"*Lost Middle 1/3*")</f>
        <v>1</v>
      </c>
      <c r="FR37" s="8">
        <f>COUNTIFS('Raw data'!$D:$D,"*Sebastian Bixby-Gutierrez*", 'Raw data'!$Y:$Y,"*2nd*",'Raw data'!$M:$M,"*Lost Possession*",'Raw data'!$M:$M,"*Lost Own 1/3*")</f>
        <v>0</v>
      </c>
      <c r="FS37" s="8">
        <f>COUNTIFS('Raw data'!$D:$D,"*Sebastian Bixby-Gutierrez*", 'Raw data'!$Y:$Y,"*2nd*",'Raw data'!$H:$H,"*Touches in the Box*")</f>
        <v>3</v>
      </c>
      <c r="FT37" s="8">
        <f>COUNTIFS('Raw data'!$D:$D,"*Sebastian Bixby-Gutierrez*", 'Raw data'!$Y:$Y,"*2nd*",'Raw data'!$H:$H,"*1v1 Attack*")</f>
        <v>3</v>
      </c>
      <c r="FU37" s="8">
        <f>COUNTIFS('Raw data'!$D:$D,"*Sebastian Bixby-Gutierrez*", 'Raw data'!$Y:$Y,"*2nd*",'Raw data'!$H:$H,"*1v1 Attack*",'Raw data'!$H:$H,"*1v1 Attack*",'Raw data'!$M:$M,"*Kept Possession*")</f>
        <v>3</v>
      </c>
      <c r="FV37" s="8">
        <f>COUNTIFS('Raw data'!$D:$D,"*Sebastian Bixby-Gutierrez*", 'Raw data'!$Y:$Y,"*2nd*",'Raw data'!$H:$H,"*1v1 Attack*",'Raw data'!$H:$H,"*1v1 Attack*",'Raw data'!$M:$M,"*Lost Possession*")</f>
        <v>0</v>
      </c>
      <c r="FW37" s="54">
        <f t="shared" si="61"/>
        <v>1</v>
      </c>
      <c r="FX37" s="54">
        <f t="shared" si="62"/>
        <v>0</v>
      </c>
      <c r="FY37" s="8">
        <f>COUNTIFS('Raw data'!$D:$D,"*Sebastian Bixby-Gutierrez*", 'Raw data'!$Y:$Y,"*2nd*",'Raw data'!$I:$I,"*Cross*")</f>
        <v>2</v>
      </c>
      <c r="FZ37" s="8">
        <f>COUNTIFS('Raw data'!$D:$D,"*Sebastian Bixby-Gutierrez*", 'Raw data'!$Y:$Y,"*2nd*",'Raw data'!$I:$I,"*Cross*",'Raw data'!$M:$M,"*Pass Completed*")</f>
        <v>1</v>
      </c>
      <c r="GA37" s="8">
        <f>COUNTIFS('Raw data'!$D:$D,"*Sebastian Bixby-Gutierrez*", 'Raw data'!$Y:$Y,"*2nd*",'Raw data'!$I:$I,"*Cross*",'Raw data'!$M:$M,"*Pass Uncompleted*")</f>
        <v>1</v>
      </c>
      <c r="GB37" s="54">
        <f t="shared" si="63"/>
        <v>0.5</v>
      </c>
      <c r="GC37" s="54">
        <f t="shared" si="64"/>
        <v>0.5</v>
      </c>
      <c r="GD37" s="8">
        <f t="shared" si="65"/>
        <v>3</v>
      </c>
      <c r="GE37" s="8">
        <f>COUNTIFS('Raw data'!$D:$D,"*Sebastian Bixby-Gutierrez*", 'Raw data'!$Y:$Y,"*2nd*",'Raw data'!$L:$L,"*On Target*")</f>
        <v>2</v>
      </c>
      <c r="GF37" s="8">
        <f>COUNTIFS('Raw data'!$D:$D,"*Sebastian Bixby-Gutierrez*", 'Raw data'!$Y:$Y,"*2nd*",'Raw data'!$L:$L,"*Off Target*")</f>
        <v>1</v>
      </c>
      <c r="GG37" s="8">
        <f>COUNTIFS('Raw data'!$D:$D,"*Sebastian Bixby-Gutierrez*", 'Raw data'!$Y:$Y,"*2nd*",'Raw data'!$L:$L,"*Blocked*")</f>
        <v>0</v>
      </c>
      <c r="GH37" s="8">
        <f>COUNTIFS('Raw data'!$D:$D,"*Sebastian Bixby-Gutierrez*", 'Raw data'!$Y:$Y,"*2nd*",'Raw data'!$M:$M,"*Goal*")</f>
        <v>2</v>
      </c>
      <c r="GI37" s="8">
        <f>COUNTIFS('Raw data'!$D:$D,"*Sebastian Bixby-Gutierrez*", 'Raw data'!$Y:$Y,"*2nd*",'Raw data'!$M:$M,"*Assist*")</f>
        <v>0</v>
      </c>
      <c r="GJ37" s="8">
        <f>COUNTIFS('Raw data'!$D:$D,"*Sebastian Bixby-Gutierrez*", 'Raw data'!$Y:$Y,"*2nd*",'Raw data'!$H:$H,"*Offensive duel*")</f>
        <v>4</v>
      </c>
      <c r="GK37" s="8">
        <f>COUNTIFS('Raw data'!$D:$D,"*Sebastian Bixby-Gutierrez*", 'Raw data'!$Y:$Y,"*2nd*",'Raw data'!$H:$H,"*Offensive Duel*",'Raw data'!$H:$H,"*Offensive Duel*",'Raw data'!$M:$M,"*Kept Possession*")</f>
        <v>4</v>
      </c>
      <c r="GL37" s="8">
        <f>COUNTIFS('Raw data'!$D:$D,"*Sebastian Bixby-Gutierrez*", 'Raw data'!$Y:$Y,"*2nd*",'Raw data'!$H:$H,"*Offensive Duel*",'Raw data'!$H:$H,"*Offensive Duel*",'Raw data'!$M:$M,"*Lost Possession*")</f>
        <v>0</v>
      </c>
      <c r="GM37" s="54">
        <f t="shared" si="66"/>
        <v>1</v>
      </c>
      <c r="GN37" s="54">
        <f t="shared" si="67"/>
        <v>0</v>
      </c>
      <c r="GO37" s="8">
        <f>COUNTIFS('Raw data'!$D:$D,"*Sebastian Bixby-Gutierrez*", 'Raw data'!$Y:$Y,"*2nd*",'Raw data'!$H:$H,"*Acceleration*")</f>
        <v>1</v>
      </c>
      <c r="GP37" s="8">
        <f>COUNTIFS('Raw data'!$D:$D,"*Sebastian Bixby-Gutierrez*", 'Raw data'!$Y:$Y,"*2nd*",'Raw data'!$H:$H,"*Move into Pocket*")</f>
        <v>2</v>
      </c>
      <c r="GQ37" s="8">
        <f>COUNTIFS('Raw data'!$D:$D,"*Sebastian Bixby-Gutierrez*", 'Raw data'!$Y:$Y,"*2nd*",'Raw data'!$H:$H,"*Wide area*")</f>
        <v>0</v>
      </c>
      <c r="GR37" s="8">
        <f>COUNTIFS('Raw data'!$D:$D,"*Sebastian Bixby-Gutierrez*", 'Raw data'!$Y:$Y,"*2nd*",'Raw data'!$H:$H,"*Back to goal*")</f>
        <v>5</v>
      </c>
      <c r="GS37" s="8">
        <f>COUNTIFS('Raw data'!$D:$D,"*Sebastian Bixby-Gutierrez*", 'Raw data'!$Y:$Y,"*2nd*",'Raw data'!$H:$H,"*Over/Underlaps*")</f>
        <v>0</v>
      </c>
      <c r="GT37" s="8">
        <f>COUNTIFS('Raw data'!$D:$D,"*Sebastian Bixby-Gutierrez*", 'Raw data'!$Y:$Y,"*2nd*",'Raw data'!$H:$H,"*Runs in Behind*")</f>
        <v>3</v>
      </c>
      <c r="GU37" s="8">
        <f>COUNTIFS('Raw data'!$D:$D,"*Sebastian Bixby-Gutierrez*", 'Raw data'!$Y:$Y,"*2nd*",'Raw data'!$H:$H,"*Half-space Runs*")</f>
        <v>0</v>
      </c>
      <c r="GV37" s="8">
        <f t="shared" si="68"/>
        <v>7</v>
      </c>
      <c r="GW37" s="8">
        <f t="shared" si="69"/>
        <v>7</v>
      </c>
      <c r="GX37" s="8">
        <f t="shared" si="70"/>
        <v>0</v>
      </c>
      <c r="GY37" s="54">
        <f t="shared" si="71"/>
        <v>1</v>
      </c>
      <c r="GZ37" s="54">
        <f t="shared" si="72"/>
        <v>0</v>
      </c>
      <c r="HA37" s="8">
        <f>COUNTIFS('Raw data'!$D:$D,"*Sebastian Bixby-Gutierrez*", 'Raw data'!$Y:$Y,"*2nd*",'Raw data'!$K:$K,"*Ground duel*")</f>
        <v>1</v>
      </c>
      <c r="HB37" s="8">
        <f>COUNTIFS('Raw data'!$D:$D,"*Sebastian Bixby-Gutierrez*", 'Raw data'!$Y:$Y,"*2nd*",'Raw data'!$K:$K,"*Ground duel*",'Raw data'!$M:$M,"*Duel Succeeded*")</f>
        <v>1</v>
      </c>
      <c r="HC37" s="8">
        <f>COUNTIFS('Raw data'!$D:$D,"*Sebastian Bixby-Gutierrez*", 'Raw data'!$Y:$Y,"*2nd*",'Raw data'!$K:$K,"*Ground duel*",'Raw data'!$M:$M,"*Duel Unsucceeded*")</f>
        <v>0</v>
      </c>
      <c r="HD37" s="54">
        <f t="shared" si="73"/>
        <v>1</v>
      </c>
      <c r="HE37" s="54">
        <f t="shared" si="74"/>
        <v>0</v>
      </c>
      <c r="HF37" s="8">
        <f>COUNTIFS('Raw data'!$D:$D,"*Sebastian Bixby-Gutierrez*", 'Raw data'!$Y:$Y,"*2nd*",'Raw data'!$K:$K,"*Aerial duel*")</f>
        <v>2</v>
      </c>
      <c r="HG37" s="8">
        <f>COUNTIFS('Raw data'!$D:$D,"*Sebastian Bixby-Gutierrez*", 'Raw data'!$Y:$Y,"*2nd*",'Raw data'!$K:$K,"*Aerial duel*",'Raw data'!$M:$M,"*Duel Succeeded*")</f>
        <v>2</v>
      </c>
      <c r="HH37" s="8">
        <f>COUNTIFS('Raw data'!$D:$D,"*Sebastian Bixby-Gutierrez*", 'Raw data'!$Y:$Y,"*2nd*",'Raw data'!$K:$K,"*Aerial duel*",'Raw data'!$M:$M,"*Duel Unsucceeded*")</f>
        <v>0</v>
      </c>
      <c r="HI37" s="54">
        <f t="shared" si="75"/>
        <v>1</v>
      </c>
      <c r="HJ37" s="54">
        <f t="shared" si="76"/>
        <v>0</v>
      </c>
      <c r="HK37" s="8">
        <f>COUNTIFS('Raw data'!$D:$D,"*Sebastian Bixby-Gutierrez*", 'Raw data'!$Y:$Y,"*2nd*",'Raw data'!$K:$K,"*1v1 defense*")</f>
        <v>0</v>
      </c>
      <c r="HL37" s="8">
        <f>COUNTIFS('Raw data'!$D:$D,"*Sebastian Bixby-Gutierrez*", 'Raw data'!$Y:$Y,"*2nd*",'Raw data'!$K:$K,"*1v1 defense*",'Raw data'!$M:$M,"*Duel Succeeded*")</f>
        <v>0</v>
      </c>
      <c r="HM37" s="8">
        <f>COUNTIFS('Raw data'!$D:$D,"*Sebastian Bixby-Gutierrez*", 'Raw data'!$Y:$Y,"*2nd*",'Raw data'!$K:$K,"*1v1 defense*",'Raw data'!$M:$M,"*Duel Unsucceeded*")</f>
        <v>0</v>
      </c>
      <c r="HN37" s="54" t="str">
        <f t="shared" si="77"/>
        <v>-</v>
      </c>
      <c r="HO37" s="54" t="str">
        <f t="shared" si="78"/>
        <v>-</v>
      </c>
      <c r="HP37" s="8">
        <f>COUNTIFS('Raw data'!$D:$D,"*Sebastian Bixby-Gutierrez*", 'Raw data'!$Y:$Y,"*2nd*",'Raw data'!$J:$J,"*Tackles*")</f>
        <v>0</v>
      </c>
      <c r="HQ37" s="8">
        <f>COUNTIFS('Raw data'!$D:$D,"*Sebastian Bixby-Gutierrez*", 'Raw data'!$Y:$Y,"*2nd*",'Raw data'!$J:$J,"*Tackles*", 'Raw data'!$M:$M,"*Duel Succeeded*")</f>
        <v>0</v>
      </c>
      <c r="HR37" s="8">
        <f>COUNTIFS('Raw data'!$D:$D,"*Sebastian Bixby-Gutierrez*", 'Raw data'!$Y:$Y,"*2nd*",'Raw data'!$J:$J,"*Tackles*", 'Raw data'!$M:$M,"*Duel Unsucceeded*")</f>
        <v>0</v>
      </c>
      <c r="HS37" s="54" t="str">
        <f t="shared" si="79"/>
        <v>-</v>
      </c>
      <c r="HT37" s="54" t="str">
        <f t="shared" si="80"/>
        <v>-</v>
      </c>
      <c r="HU37" s="8">
        <f>COUNTIFS('Raw data'!$D:$D,"*Sebastian Bixby-Gutierrez*", 'Raw data'!$Y:$Y,"*2nd*",'Raw data'!$K:$K,"*2nd Balls*")</f>
        <v>1</v>
      </c>
      <c r="HV37" s="8">
        <f>COUNTIFS('Raw data'!$D:$D,"*Sebastian Bixby-Gutierrez*", 'Raw data'!$Y:$Y,"*2nd*",'Raw data'!$K:$K,"*2nd Balls*", 'Raw data'!$M:$M,"*Duel Succeeded*")</f>
        <v>0</v>
      </c>
      <c r="HW37" s="8">
        <f>COUNTIFS('Raw data'!$D:$D,"*Sebastian Bixby-Gutierrez*", 'Raw data'!$Y:$Y,"*2nd*",'Raw data'!$K:$K,"*2nd Balls*", 'Raw data'!$M:$M,"*Duel Unsucceeded*")</f>
        <v>1</v>
      </c>
      <c r="HX37" s="54">
        <f t="shared" si="81"/>
        <v>0</v>
      </c>
      <c r="HY37" s="54">
        <f t="shared" si="82"/>
        <v>1</v>
      </c>
      <c r="HZ37" s="8">
        <f>COUNTIFS('Raw data'!$D:$D,"*Sebastian Bixby-Gutierrez*", 'Raw data'!$Y:$Y,"*2nd*",'Raw data'!$J:$J,"*Clearance*")</f>
        <v>0</v>
      </c>
      <c r="IA37" s="8">
        <f>COUNTIFS('Raw data'!$D:$D,"*Sebastian Bixby-Gutierrez*", 'Raw data'!$Y:$Y,"*2nd*",'Raw data'!$J:$J,"*Interception*")</f>
        <v>0</v>
      </c>
      <c r="IB37" s="8">
        <f>COUNTIFS('Raw data'!$D:$D,"*Sebastian Bixby-Gutierrez*", 'Raw data'!$Y:$Y,"*2nd*",'Raw data'!$J:$J,"*Turnover Won*")</f>
        <v>0</v>
      </c>
      <c r="IC37" s="8">
        <f>COUNTIFS('Raw data'!$D:$D,"*Sebastian Bixby-Gutierrez*", 'Raw data'!$Y:$Y,"*2nd*",'Raw data'!$J:$J,"*Recovery*")</f>
        <v>0</v>
      </c>
      <c r="ID37" s="8">
        <f>COUNTIFS('Raw data'!$D:$D,"*Sebastian Bixby-Gutierrez*", 'Raw data'!$Y:$Y,"*2nd*",'Raw data'!$J:$J,"*Blocked Shots*")</f>
        <v>0</v>
      </c>
      <c r="IE37" s="8">
        <f>COUNTIFS('Raw data'!$D:$D,"*Sebastian Bixby-Gutierrez*", 'Raw data'!$Y:$Y,"*2nd*",'Raw data'!$J:$J,"*Man-marking*")</f>
        <v>0</v>
      </c>
      <c r="IF37" s="8">
        <f>COUNTIFS('Raw data'!$D:$D,"*Sebastian Bixby-Gutierrez*", 'Raw data'!$Y:$Y,"*2nd*",'Raw data'!$J:$J,"*Fouls*")</f>
        <v>0</v>
      </c>
      <c r="IG37" s="8">
        <f>COUNTIFS('Raw data'!$D:$D,"*Sebastian Bixby-Gutierrez*", 'Raw data'!$Y:$Y,"*2nd*",'Raw data'!$J:$J,"*Won F*")</f>
        <v>0</v>
      </c>
      <c r="IH37" s="8">
        <f>COUNTIFS('Raw data'!$D:$D,"*Sebastian Bixby-Gutierrez*", 'Raw data'!$Y:$Y,"*2nd*",'Raw data'!$G:$G,"*1v1*")</f>
        <v>0</v>
      </c>
      <c r="II37" s="8">
        <f>COUNTIFS('Raw data'!$D:$D,"*Sebastian Bixby-Gutierrez*", 'Raw data'!$Y:$Y,"*2nd*",'Raw data'!$G:$G,"*On Target*")</f>
        <v>0</v>
      </c>
      <c r="IJ37" s="8">
        <f>COUNTIFS('Raw data'!$D:$D,"*Sebastian Bixby-Gutierrez*", 'Raw data'!$Y:$Y,"*2nd*",'Raw data'!$G:$G,"*Off Target*")</f>
        <v>0</v>
      </c>
      <c r="IK37" s="8">
        <f>COUNTIFS('Raw data'!$D:$D,"*Sebastian Bixby-Gutierrez*", 'Raw data'!$Y:$Y,"*2nd*",'Raw data'!$G:$G,"*Defend the Space*")</f>
        <v>0</v>
      </c>
      <c r="IL37" s="8">
        <f>COUNTIFS('Raw data'!$D:$D,"*Sebastian Bixby-Gutierrez*", 'Raw data'!$Y:$Y,"*2nd*",'Raw data'!$G:$G,"*Conceded*")</f>
        <v>0</v>
      </c>
      <c r="IM37" s="8">
        <f>COUNTIFS('Raw data'!$D:$D,"*Sebastian Bixby-Gutierrez*", 'Raw data'!$Y:$Y,"*2nd*",'Raw data'!$G:$G,"*Save*")</f>
        <v>0</v>
      </c>
      <c r="IN37" s="8">
        <f>COUNTIFS('Raw data'!$D:$D,"*Sebastian Bixby-Gutierrez*", 'Raw data'!$Y:$Y,"*2nd*",'Raw data'!$G:$G,"*Defend the line (Cross)*")</f>
        <v>0</v>
      </c>
      <c r="IO37" s="8">
        <f>COUNTIFS('Raw data'!$D:$D,"*Sebastian Bixby-Gutierrez*", 'Raw data'!$Y:$Y,"*2nd*",'Raw data'!$G:$G,"*Counter Kick*")</f>
        <v>0</v>
      </c>
      <c r="IP37" t="s">
        <v>687</v>
      </c>
    </row>
    <row r="38" spans="3:250">
      <c r="DW38" t="s">
        <v>461</v>
      </c>
      <c r="DX38" t="s">
        <v>783</v>
      </c>
      <c r="DY38">
        <v>20</v>
      </c>
      <c r="DZ38" t="s">
        <v>540</v>
      </c>
      <c r="EA38">
        <f t="shared" si="42"/>
        <v>5</v>
      </c>
      <c r="EB38" s="8">
        <f t="shared" si="43"/>
        <v>4</v>
      </c>
      <c r="EC38" s="8">
        <f t="shared" si="43"/>
        <v>1</v>
      </c>
      <c r="ED38" s="54">
        <f t="shared" si="44"/>
        <v>0.8</v>
      </c>
      <c r="EE38" s="54">
        <f t="shared" si="45"/>
        <v>0.2</v>
      </c>
      <c r="EF38">
        <f t="shared" si="46"/>
        <v>1</v>
      </c>
      <c r="EG38">
        <f>COUNTIFS('Raw data'!$D:$D,"*Dylan Tambe*", 'Raw data'!$Y:$Y,"*2nd*",'Raw data'!$I:$I,"*Forward Pass*",'Raw data'!$M:$M,"*Pass completed*")</f>
        <v>1</v>
      </c>
      <c r="EH38">
        <f>COUNTIFS('Raw data'!$D:$D,"*Dylan Tambe*", 'Raw data'!$Y:$Y,"*2nd*",'Raw data'!$I:$I,"*Forward Pass*",'Raw data'!$M:$M,"*Pass Uncompleted*")</f>
        <v>0</v>
      </c>
      <c r="EI38" s="54">
        <f t="shared" si="47"/>
        <v>1</v>
      </c>
      <c r="EJ38" s="54">
        <f t="shared" si="48"/>
        <v>0</v>
      </c>
      <c r="EK38">
        <f t="shared" si="49"/>
        <v>2</v>
      </c>
      <c r="EL38" s="8">
        <f>COUNTIFS('Raw data'!$D:$D,"*Dylan Tambe*", 'Raw data'!$Y:$Y,"*2nd*",'Raw data'!$I:$I,"*Lateral Pass*",'Raw data'!$M:$M,"*Pass completed*")</f>
        <v>1</v>
      </c>
      <c r="EM38" s="8">
        <f>COUNTIFS('Raw data'!$D:$D,"*Dylan Tambe*", 'Raw data'!$Y:$Y,"*2nd*",'Raw data'!$I:$I,"*Lateral Pass*",'Raw data'!$M:$M,"*Pass Uncompleted*")</f>
        <v>1</v>
      </c>
      <c r="EN38" s="54">
        <f t="shared" si="50"/>
        <v>0.5</v>
      </c>
      <c r="EO38" s="54">
        <f t="shared" si="51"/>
        <v>0.5</v>
      </c>
      <c r="EP38">
        <f t="shared" si="52"/>
        <v>2</v>
      </c>
      <c r="EQ38" s="8">
        <f>COUNTIFS('Raw data'!$D:$D,"*Dylan Tambe*", 'Raw data'!$Y:$Y,"*2nd*",'Raw data'!$I:$I,"*Backward Pass*",'Raw data'!$M:$M,"*Pass completed*")</f>
        <v>2</v>
      </c>
      <c r="ER38" s="8">
        <f>COUNTIFS('Raw data'!$D:$D,"*Dylan Tambe*", 'Raw data'!$Y:$Y,"*2nd*",'Raw data'!$I:$I,"*Backward Pass*",'Raw data'!$M:$M,"*Pass Uncompleted*")</f>
        <v>0</v>
      </c>
      <c r="ES38" s="54">
        <f t="shared" si="53"/>
        <v>1</v>
      </c>
      <c r="ET38" s="54">
        <f t="shared" si="54"/>
        <v>0</v>
      </c>
      <c r="EU38" s="8">
        <f>COUNTIFS('Raw data'!$D:$D,"*Dylan Tambe*", 'Raw data'!$Y:$Y,"*2nd*",'Raw data'!$I:$I,"*Long Kick*")</f>
        <v>0</v>
      </c>
      <c r="EV38" s="8">
        <f>COUNTIFS('Raw data'!$D:$D,"*Dylan Tambe*", 'Raw data'!$Y:$Y,"*2nd*",'Raw data'!$I:$I,"*Long Kick*",'Raw data'!$M:$M,"*Pass completed*")</f>
        <v>0</v>
      </c>
      <c r="EW38" s="8">
        <f>COUNTIFS('Raw data'!$D:$D,"*Dylan Tambe*", 'Raw data'!$Y:$Y,"*2nd*",'Raw data'!$I:$I,"*Long Kick*",'Raw data'!$M:$M,"*Pass Uncompleted*")</f>
        <v>0</v>
      </c>
      <c r="EX38" s="54" t="str">
        <f t="shared" si="55"/>
        <v>-</v>
      </c>
      <c r="EY38" s="54" t="str">
        <f t="shared" si="56"/>
        <v>-</v>
      </c>
      <c r="EZ38" s="8">
        <f>COUNTIFS('Raw data'!$D:$D,"*Dylan Tambe*", 'Raw data'!$Y:$Y,"*2nd*",'Raw data'!$I:$I,"*Balls in Behind*")</f>
        <v>1</v>
      </c>
      <c r="FA38" s="8">
        <f>COUNTIFS('Raw data'!$D:$D,"*Dylan Tambe*", 'Raw data'!$Y:$Y,"*2nd*",'Raw data'!$I:$I,"*Balls in Behind*",'Raw data'!$M:$M,"*Pass completed*")</f>
        <v>1</v>
      </c>
      <c r="FB38" s="8">
        <f>COUNTIFS('Raw data'!$D:$D,"*Dylan Tambe*", 'Raw data'!$Y:$Y,"*2nd*",'Raw data'!$I:$I,"*Balls in Behind*",'Raw data'!$M:$M,"*Pass Uncompleted*")</f>
        <v>0</v>
      </c>
      <c r="FC38" s="54">
        <f t="shared" si="57"/>
        <v>1</v>
      </c>
      <c r="FD38" s="54">
        <f t="shared" si="58"/>
        <v>0</v>
      </c>
      <c r="FE38" s="8">
        <f>COUNTIFS('Raw data'!$D:$D,"*Dylan Tambe*", 'Raw data'!$Y:$Y,"*2nd*",'Raw data'!$I:$I,"*Key/Through pass*")</f>
        <v>1</v>
      </c>
      <c r="FF38" s="8">
        <f>COUNTIFS('Raw data'!$D:$D,"*Dylan Tambe*", 'Raw data'!$Y:$Y,"*2nd*",'Raw data'!$I:$I,"*Diagonal pass*")</f>
        <v>0</v>
      </c>
      <c r="FG38" s="8">
        <f>COUNTIFS('Raw data'!$D:$D,"*Dylan Tambe*", 'Raw data'!$Y:$Y,"*2nd*",'Raw data'!$I:$I,"*Diagonal pass*",'Raw data'!$M:$M,"*Pass completed*")</f>
        <v>0</v>
      </c>
      <c r="FH38" s="8">
        <f>COUNTIFS('Raw data'!$D:$D,"*Dylan Tambe*", 'Raw data'!$Y:$Y,"*2nd*",'Raw data'!$I:$I,"*Diagonal pass*",'Raw data'!$M:$M,"*Pass Uncompleted*")</f>
        <v>0</v>
      </c>
      <c r="FI38" s="54" t="str">
        <f t="shared" si="59"/>
        <v>-</v>
      </c>
      <c r="FJ38" s="54" t="str">
        <f t="shared" si="60"/>
        <v>-</v>
      </c>
      <c r="FK38" s="8">
        <f>COUNTIFS('Raw data'!$D:$D,"*Dylan Tambe*", 'Raw data'!$Y:$Y,"*2nd*",'Raw data'!$M:$M,"*Pass Received*")</f>
        <v>7</v>
      </c>
      <c r="FL38" s="8">
        <f>COUNTIFS('Raw data'!$D:$D,"*Dylan Tambe*", 'Raw data'!$Y:$Y,"*2nd*",'Raw data'!$M:$M,"*Pass Completed*",'Raw data'!$M:$M,"*Pass Received*")</f>
        <v>4</v>
      </c>
      <c r="FM38" s="8">
        <f>COUNTIFS('Raw data'!$D:$D,"*Dylan Tambe*", 'Raw data'!$Y:$Y,"*2nd*",'Raw data'!$M:$M,"*Pass Uncompleted*",'Raw data'!$M:$M,"*Pass Received*")</f>
        <v>1</v>
      </c>
      <c r="FN38" s="8">
        <f>COUNTIFS('Raw data'!$D:$D,"*Dylan Tambe*", 'Raw data'!$Y:$Y,"*2nd*",'Raw data'!$M:$M,"*Kept Possession*",'Raw data'!$M:$M,"*Pass Received*")</f>
        <v>2</v>
      </c>
      <c r="FO38" s="8">
        <f>COUNTIFS('Raw data'!$D:$D,"*Dylan Tambe*", 'Raw data'!$Y:$Y,"*2nd*",'Raw data'!$M:$M,"*Lost Possession*")</f>
        <v>2</v>
      </c>
      <c r="FP38" s="8">
        <f>COUNTIFS('Raw data'!$D:$D,"*Dylan Tambe*", 'Raw data'!$Y:$Y,"*2nd*",'Raw data'!$M:$M,"*Lost Possession*",'Raw data'!$M:$M,"*Lost Final 1/3*")</f>
        <v>1</v>
      </c>
      <c r="FQ38" s="8">
        <f>COUNTIFS('Raw data'!$D:$D,"*Dylan Tambe*", 'Raw data'!$Y:$Y,"*2nd*",'Raw data'!$M:$M,"*Lost Possession*",'Raw data'!$M:$M,"*Lost Middle 1/3*")</f>
        <v>1</v>
      </c>
      <c r="FR38" s="8">
        <f>COUNTIFS('Raw data'!$D:$D,"*Dylan Tambe*", 'Raw data'!$Y:$Y,"*2nd*",'Raw data'!$M:$M,"*Lost Possession*",'Raw data'!$M:$M,"*Lost Own 1/3*")</f>
        <v>0</v>
      </c>
      <c r="FS38" s="8">
        <f>COUNTIFS('Raw data'!$D:$D,"*Dylan Tambe*", 'Raw data'!$Y:$Y,"*2nd*",'Raw data'!$H:$H,"*Touches in the Box*")</f>
        <v>0</v>
      </c>
      <c r="FT38" s="8">
        <f>COUNTIFS('Raw data'!$D:$D,"*Dylan Tambe*", 'Raw data'!$Y:$Y,"*2nd*",'Raw data'!$H:$H,"*1v1 Attack*")</f>
        <v>1</v>
      </c>
      <c r="FU38" s="8">
        <f>COUNTIFS('Raw data'!$D:$D,"*Dylan Tambe*", 'Raw data'!$Y:$Y,"*2nd*",'Raw data'!$H:$H,"*1v1 Attack*",'Raw data'!$H:$H,"*1v1 Attack*",'Raw data'!$M:$M,"*Kept Possession*")</f>
        <v>1</v>
      </c>
      <c r="FV38" s="8">
        <f>COUNTIFS('Raw data'!$D:$D,"*Dylan Tambe*", 'Raw data'!$Y:$Y,"*2nd*",'Raw data'!$H:$H,"*1v1 Attack*",'Raw data'!$H:$H,"*1v1 Attack*",'Raw data'!$M:$M,"*Lost Possession*")</f>
        <v>0</v>
      </c>
      <c r="FW38" s="54">
        <f t="shared" si="61"/>
        <v>1</v>
      </c>
      <c r="FX38" s="54">
        <f t="shared" si="62"/>
        <v>0</v>
      </c>
      <c r="FY38" s="8">
        <f>COUNTIFS('Raw data'!$D:$D,"*Dylan Tambe*", 'Raw data'!$Y:$Y,"*2nd*",'Raw data'!$I:$I,"*Cross*")</f>
        <v>0</v>
      </c>
      <c r="FZ38" s="8">
        <f>COUNTIFS('Raw data'!$D:$D,"*Dylan Tambe*", 'Raw data'!$Y:$Y,"*2nd*",'Raw data'!$I:$I,"*Cross*",'Raw data'!$M:$M,"*Pass Completed*")</f>
        <v>0</v>
      </c>
      <c r="GA38" s="8">
        <f>COUNTIFS('Raw data'!$D:$D,"*Dylan Tambe*", 'Raw data'!$Y:$Y,"*2nd*",'Raw data'!$I:$I,"*Cross*",'Raw data'!$M:$M,"*Pass Uncompleted*")</f>
        <v>0</v>
      </c>
      <c r="GB38" s="54" t="str">
        <f t="shared" si="63"/>
        <v>-</v>
      </c>
      <c r="GC38" s="54" t="str">
        <f t="shared" si="64"/>
        <v>-</v>
      </c>
      <c r="GD38" s="8">
        <f t="shared" si="65"/>
        <v>0</v>
      </c>
      <c r="GE38" s="8">
        <f>COUNTIFS('Raw data'!$D:$D,"*Dylan Tambe*", 'Raw data'!$Y:$Y,"*2nd*",'Raw data'!$L:$L,"*On Target*")</f>
        <v>0</v>
      </c>
      <c r="GF38" s="8">
        <f>COUNTIFS('Raw data'!$D:$D,"*Dylan Tambe*", 'Raw data'!$Y:$Y,"*2nd*",'Raw data'!$L:$L,"*Off Target*")</f>
        <v>0</v>
      </c>
      <c r="GG38" s="8">
        <f>COUNTIFS('Raw data'!$D:$D,"*Dylan Tambe*", 'Raw data'!$Y:$Y,"*2nd*",'Raw data'!$L:$L,"*Blocked*")</f>
        <v>0</v>
      </c>
      <c r="GH38" s="8">
        <f>COUNTIFS('Raw data'!$D:$D,"*Dylan Tambe*", 'Raw data'!$Y:$Y,"*2nd*",'Raw data'!$M:$M,"*Goal*")</f>
        <v>0</v>
      </c>
      <c r="GI38" s="8">
        <f>COUNTIFS('Raw data'!$D:$D,"*Dylan Tambe*", 'Raw data'!$Y:$Y,"*2nd*",'Raw data'!$M:$M,"*Assist*")</f>
        <v>0</v>
      </c>
      <c r="GJ38" s="8">
        <f>COUNTIFS('Raw data'!$D:$D,"*Dylan Tambe*", 'Raw data'!$Y:$Y,"*2nd*",'Raw data'!$H:$H,"*Offensive duel*")</f>
        <v>1</v>
      </c>
      <c r="GK38" s="8">
        <f>COUNTIFS('Raw data'!$D:$D,"*Dylan Tambe*", 'Raw data'!$Y:$Y,"*2nd*",'Raw data'!$H:$H,"*Offensive Duel*",'Raw data'!$H:$H,"*Offensive Duel*",'Raw data'!$M:$M,"*Kept Possession*")</f>
        <v>1</v>
      </c>
      <c r="GL38" s="8">
        <f>COUNTIFS('Raw data'!$D:$D,"*Dylan Tambe*", 'Raw data'!$Y:$Y,"*2nd*",'Raw data'!$H:$H,"*Offensive Duel*",'Raw data'!$H:$H,"*Offensive Duel*",'Raw data'!$M:$M,"*Lost Possession*")</f>
        <v>0</v>
      </c>
      <c r="GM38" s="54">
        <f t="shared" si="66"/>
        <v>1</v>
      </c>
      <c r="GN38" s="54">
        <f t="shared" si="67"/>
        <v>0</v>
      </c>
      <c r="GO38" s="8">
        <f>COUNTIFS('Raw data'!$D:$D,"*Dylan Tambe*", 'Raw data'!$Y:$Y,"*2nd*",'Raw data'!$H:$H,"*Acceleration*")</f>
        <v>1</v>
      </c>
      <c r="GP38" s="8">
        <f>COUNTIFS('Raw data'!$D:$D,"*Dylan Tambe*", 'Raw data'!$Y:$Y,"*2nd*",'Raw data'!$H:$H,"*Move into Pocket*")</f>
        <v>2</v>
      </c>
      <c r="GQ38" s="8">
        <f>COUNTIFS('Raw data'!$D:$D,"*Dylan Tambe*", 'Raw data'!$Y:$Y,"*2nd*",'Raw data'!$H:$H,"*Wide area*")</f>
        <v>4</v>
      </c>
      <c r="GR38" s="8">
        <f>COUNTIFS('Raw data'!$D:$D,"*Dylan Tambe*", 'Raw data'!$Y:$Y,"*2nd*",'Raw data'!$H:$H,"*Back to goal*")</f>
        <v>0</v>
      </c>
      <c r="GS38" s="8">
        <f>COUNTIFS('Raw data'!$D:$D,"*Dylan Tambe*", 'Raw data'!$Y:$Y,"*2nd*",'Raw data'!$H:$H,"*Over/Underlaps*")</f>
        <v>0</v>
      </c>
      <c r="GT38" s="8">
        <f>COUNTIFS('Raw data'!$D:$D,"*Dylan Tambe*", 'Raw data'!$Y:$Y,"*2nd*",'Raw data'!$H:$H,"*Runs in Behind*")</f>
        <v>0</v>
      </c>
      <c r="GU38" s="8">
        <f>COUNTIFS('Raw data'!$D:$D,"*Dylan Tambe*", 'Raw data'!$Y:$Y,"*2nd*",'Raw data'!$H:$H,"*Half-space Runs*")</f>
        <v>0</v>
      </c>
      <c r="GV38" s="8">
        <f t="shared" si="68"/>
        <v>1</v>
      </c>
      <c r="GW38" s="8">
        <f t="shared" si="69"/>
        <v>1</v>
      </c>
      <c r="GX38" s="8">
        <f t="shared" si="70"/>
        <v>0</v>
      </c>
      <c r="GY38" s="54">
        <f t="shared" si="71"/>
        <v>1</v>
      </c>
      <c r="GZ38" s="54">
        <f t="shared" si="72"/>
        <v>0</v>
      </c>
      <c r="HA38" s="8">
        <f>COUNTIFS('Raw data'!$D:$D,"*Dylan Tambe*", 'Raw data'!$Y:$Y,"*2nd*",'Raw data'!$K:$K,"*Ground duel*")</f>
        <v>0</v>
      </c>
      <c r="HB38" s="8">
        <f>COUNTIFS('Raw data'!$D:$D,"*Dylan Tambe*", 'Raw data'!$Y:$Y,"*2nd*",'Raw data'!$K:$K,"*Ground duel*",'Raw data'!$M:$M,"*Duel Succeeded*")</f>
        <v>0</v>
      </c>
      <c r="HC38" s="8">
        <f>COUNTIFS('Raw data'!$D:$D,"*Dylan Tambe*", 'Raw data'!$Y:$Y,"*2nd*",'Raw data'!$K:$K,"*Ground duel*",'Raw data'!$M:$M,"*Duel Unsucceeded*")</f>
        <v>0</v>
      </c>
      <c r="HD38" s="54" t="str">
        <f t="shared" si="73"/>
        <v>-</v>
      </c>
      <c r="HE38" s="54" t="str">
        <f t="shared" si="74"/>
        <v>-</v>
      </c>
      <c r="HF38" s="8">
        <f>COUNTIFS('Raw data'!$D:$D,"*Dylan Tambe*", 'Raw data'!$Y:$Y,"*2nd*",'Raw data'!$K:$K,"*Aerial duel*")</f>
        <v>0</v>
      </c>
      <c r="HG38" s="8">
        <f>COUNTIFS('Raw data'!$D:$D,"*Dylan Tambe*", 'Raw data'!$Y:$Y,"*2nd*",'Raw data'!$K:$K,"*Aerial duel*",'Raw data'!$M:$M,"*Duel Succeeded*")</f>
        <v>0</v>
      </c>
      <c r="HH38" s="8">
        <f>COUNTIFS('Raw data'!$D:$D,"*Dylan Tambe*", 'Raw data'!$Y:$Y,"*2nd*",'Raw data'!$K:$K,"*Aerial duel*",'Raw data'!$M:$M,"*Duel Unsucceeded*")</f>
        <v>0</v>
      </c>
      <c r="HI38" s="54" t="str">
        <f t="shared" si="75"/>
        <v>-</v>
      </c>
      <c r="HJ38" s="54" t="str">
        <f t="shared" si="76"/>
        <v>-</v>
      </c>
      <c r="HK38" s="8">
        <f>COUNTIFS('Raw data'!$D:$D,"*Dylan Tambe*", 'Raw data'!$Y:$Y,"*2nd*",'Raw data'!$K:$K,"*1v1 defense*")</f>
        <v>0</v>
      </c>
      <c r="HL38" s="8">
        <f>COUNTIFS('Raw data'!$D:$D,"*Dylan Tambe*", 'Raw data'!$Y:$Y,"*2nd*",'Raw data'!$K:$K,"*1v1 defense*",'Raw data'!$M:$M,"*Duel Succeeded*")</f>
        <v>0</v>
      </c>
      <c r="HM38" s="8">
        <f>COUNTIFS('Raw data'!$D:$D,"*Dylan Tambe*", 'Raw data'!$Y:$Y,"*2nd*",'Raw data'!$K:$K,"*1v1 defense*",'Raw data'!$M:$M,"*Duel Unsucceeded*")</f>
        <v>0</v>
      </c>
      <c r="HN38" s="54" t="str">
        <f t="shared" si="77"/>
        <v>-</v>
      </c>
      <c r="HO38" s="54" t="str">
        <f t="shared" si="78"/>
        <v>-</v>
      </c>
      <c r="HP38" s="8">
        <f>COUNTIFS('Raw data'!$D:$D,"*Dylan Tambe*", 'Raw data'!$Y:$Y,"*2nd*",'Raw data'!$J:$J,"*Tackles*")</f>
        <v>0</v>
      </c>
      <c r="HQ38" s="8">
        <f>COUNTIFS('Raw data'!$D:$D,"*Dylan Tambe*", 'Raw data'!$Y:$Y,"*2nd*",'Raw data'!$J:$J,"*Tackles*", 'Raw data'!$M:$M,"*Duel Succeeded*")</f>
        <v>0</v>
      </c>
      <c r="HR38" s="8">
        <f>COUNTIFS('Raw data'!$D:$D,"*Dylan Tambe*", 'Raw data'!$Y:$Y,"*2nd*",'Raw data'!$J:$J,"*Tackles*", 'Raw data'!$M:$M,"*Duel Unsucceeded*")</f>
        <v>0</v>
      </c>
      <c r="HS38" s="54" t="str">
        <f t="shared" si="79"/>
        <v>-</v>
      </c>
      <c r="HT38" s="54" t="str">
        <f t="shared" si="80"/>
        <v>-</v>
      </c>
      <c r="HU38" s="8">
        <f>COUNTIFS('Raw data'!$D:$D,"*Dylan Tambe*", 'Raw data'!$Y:$Y,"*2nd*",'Raw data'!$K:$K,"*2nd Balls*")</f>
        <v>0</v>
      </c>
      <c r="HV38" s="8">
        <f>COUNTIFS('Raw data'!$D:$D,"*Dylan Tambe*", 'Raw data'!$Y:$Y,"*2nd*",'Raw data'!$K:$K,"*2nd Balls*", 'Raw data'!$M:$M,"*Duel Succeeded*")</f>
        <v>0</v>
      </c>
      <c r="HW38" s="8">
        <f>COUNTIFS('Raw data'!$D:$D,"*Dylan Tambe*", 'Raw data'!$Y:$Y,"*2nd*",'Raw data'!$K:$K,"*2nd Balls*", 'Raw data'!$M:$M,"*Duel Unsucceeded*")</f>
        <v>0</v>
      </c>
      <c r="HX38" s="54" t="str">
        <f t="shared" si="81"/>
        <v>-</v>
      </c>
      <c r="HY38" s="54" t="str">
        <f t="shared" si="82"/>
        <v>-</v>
      </c>
      <c r="HZ38" s="8">
        <f>COUNTIFS('Raw data'!$D:$D,"*Dylan Tambe*", 'Raw data'!$Y:$Y,"*2nd*",'Raw data'!$J:$J,"*Clearance*")</f>
        <v>0</v>
      </c>
      <c r="IA38" s="8">
        <f>COUNTIFS('Raw data'!$D:$D,"*Dylan Tambe*", 'Raw data'!$Y:$Y,"*2nd*",'Raw data'!$J:$J,"*Interception*")</f>
        <v>0</v>
      </c>
      <c r="IB38" s="8">
        <f>COUNTIFS('Raw data'!$D:$D,"*Dylan Tambe*", 'Raw data'!$Y:$Y,"*2nd*",'Raw data'!$J:$J,"*Turnover Won*")</f>
        <v>0</v>
      </c>
      <c r="IC38" s="8">
        <f>COUNTIFS('Raw data'!$D:$D,"*Dylan Tambe*", 'Raw data'!$Y:$Y,"*2nd*",'Raw data'!$J:$J,"*Recovery*")</f>
        <v>0</v>
      </c>
      <c r="ID38" s="8">
        <f>COUNTIFS('Raw data'!$D:$D,"*Dylan Tambe*", 'Raw data'!$Y:$Y,"*2nd*",'Raw data'!$J:$J,"*Blocked Shots*")</f>
        <v>0</v>
      </c>
      <c r="IE38" s="8">
        <f>COUNTIFS('Raw data'!$D:$D,"*Dylan Tambe*", 'Raw data'!$Y:$Y,"*2nd*",'Raw data'!$J:$J,"*Man-marking*")</f>
        <v>0</v>
      </c>
      <c r="IF38" s="8">
        <f>COUNTIFS('Raw data'!$D:$D,"*Dylan Tambe*", 'Raw data'!$Y:$Y,"*2nd*",'Raw data'!$J:$J,"*Fouls*")</f>
        <v>0</v>
      </c>
      <c r="IG38" s="8">
        <f>COUNTIFS('Raw data'!$D:$D,"*Dylan Tambe*", 'Raw data'!$Y:$Y,"*2nd*",'Raw data'!$J:$J,"*Won F*")</f>
        <v>0</v>
      </c>
      <c r="IH38" s="8">
        <f>COUNTIFS('Raw data'!$D:$D,"*Dylan Tambe*", 'Raw data'!$Y:$Y,"*2nd*",'Raw data'!$G:$G,"*1v1*")</f>
        <v>0</v>
      </c>
      <c r="II38" s="8">
        <f>COUNTIFS('Raw data'!$D:$D,"*Dylan Tambe*", 'Raw data'!$Y:$Y,"*2nd*",'Raw data'!$G:$G,"*On Target*")</f>
        <v>0</v>
      </c>
      <c r="IJ38" s="8">
        <f>COUNTIFS('Raw data'!$D:$D,"*Dylan Tambe*", 'Raw data'!$Y:$Y,"*2nd*",'Raw data'!$G:$G,"*Off Target*")</f>
        <v>0</v>
      </c>
      <c r="IK38" s="8">
        <f>COUNTIFS('Raw data'!$D:$D,"*Dylan Tambe*", 'Raw data'!$Y:$Y,"*2nd*",'Raw data'!$G:$G,"*Defend the Space*")</f>
        <v>0</v>
      </c>
      <c r="IL38" s="8">
        <f>COUNTIFS('Raw data'!$D:$D,"*Dylan Tambe*", 'Raw data'!$Y:$Y,"*2nd*",'Raw data'!$G:$G,"*Conceded*")</f>
        <v>0</v>
      </c>
      <c r="IM38" s="8">
        <f>COUNTIFS('Raw data'!$D:$D,"*Dylan Tambe*", 'Raw data'!$Y:$Y,"*2nd*",'Raw data'!$G:$G,"*Save*")</f>
        <v>0</v>
      </c>
      <c r="IN38" s="8">
        <f>COUNTIFS('Raw data'!$D:$D,"*Dylan Tambe*", 'Raw data'!$Y:$Y,"*2nd*",'Raw data'!$G:$G,"*Defend the line (Cross)*")</f>
        <v>0</v>
      </c>
      <c r="IO38" s="8">
        <f>COUNTIFS('Raw data'!$D:$D,"*Dylan Tambe*", 'Raw data'!$Y:$Y,"*2nd*",'Raw data'!$G:$G,"*Counter Kick*")</f>
        <v>0</v>
      </c>
      <c r="IP38" t="s">
        <v>783</v>
      </c>
    </row>
    <row r="39" spans="3:250">
      <c r="DW39" t="s">
        <v>461</v>
      </c>
      <c r="DX39" t="s">
        <v>795</v>
      </c>
      <c r="DY39">
        <v>20</v>
      </c>
      <c r="DZ39" t="s">
        <v>539</v>
      </c>
      <c r="EA39">
        <f t="shared" ref="EA39" si="167">EB39+EC39</f>
        <v>5</v>
      </c>
      <c r="EB39" s="8">
        <f t="shared" ref="EB39" si="168">EG39+EL39+EQ39</f>
        <v>1</v>
      </c>
      <c r="EC39" s="8">
        <f t="shared" ref="EC39" si="169">EH39+EM39+ER39</f>
        <v>4</v>
      </c>
      <c r="ED39" s="54">
        <f t="shared" ref="ED39" si="170">IFERROR(EB39/$EA39,"-")</f>
        <v>0.2</v>
      </c>
      <c r="EE39" s="54">
        <f t="shared" ref="EE39" si="171">IFERROR(EC39/$EA39,"-")</f>
        <v>0.8</v>
      </c>
      <c r="EF39">
        <f t="shared" ref="EF39" si="172">EG39+EH39</f>
        <v>3</v>
      </c>
      <c r="EG39">
        <f>COUNTIFS('Raw data'!$D:$D,"*Jeffrey Sam-Deekue*", 'Raw data'!$Y:$Y,"*2nd*",'Raw data'!$I:$I,"*Forward Pass*",'Raw data'!$M:$M,"*Pass completed*")</f>
        <v>1</v>
      </c>
      <c r="EH39">
        <f>COUNTIFS('Raw data'!$D:$D,"*Jeffrey Sam-Deekue*", 'Raw data'!$Y:$Y,"*2nd*",'Raw data'!$I:$I,"*Forward Pass*",'Raw data'!$M:$M,"*Pass Uncompleted*")</f>
        <v>2</v>
      </c>
      <c r="EI39" s="54">
        <f t="shared" ref="EI39" si="173">IFERROR(EG39/$EF39,"-")</f>
        <v>0.33333333333333331</v>
      </c>
      <c r="EJ39" s="54">
        <f t="shared" ref="EJ39" si="174">IFERROR(EH39/$EF39,"-")</f>
        <v>0.66666666666666663</v>
      </c>
      <c r="EK39">
        <f t="shared" ref="EK39" si="175">EL39+EM39</f>
        <v>2</v>
      </c>
      <c r="EL39" s="8">
        <f>COUNTIFS('Raw data'!$D:$D,"*Jeffrey Sam-Deekue*", 'Raw data'!$Y:$Y,"*2nd*",'Raw data'!$I:$I,"*Lateral Pass*",'Raw data'!$M:$M,"*Pass completed*")</f>
        <v>0</v>
      </c>
      <c r="EM39" s="8">
        <f>COUNTIFS('Raw data'!$D:$D,"*Jeffrey Sam-Deekue*", 'Raw data'!$Y:$Y,"*2nd*",'Raw data'!$I:$I,"*Lateral Pass*",'Raw data'!$M:$M,"*Pass Uncompleted*")</f>
        <v>2</v>
      </c>
      <c r="EN39" s="54">
        <f t="shared" ref="EN39" si="176">IFERROR(EL39/$EK39,"-")</f>
        <v>0</v>
      </c>
      <c r="EO39" s="54">
        <f t="shared" ref="EO39" si="177">IFERROR(EM39/$EK39,"-")</f>
        <v>1</v>
      </c>
      <c r="EP39">
        <f t="shared" ref="EP39" si="178">EQ39+ER39</f>
        <v>0</v>
      </c>
      <c r="EQ39" s="8">
        <f>COUNTIFS('Raw data'!$D:$D,"*Jeffrey Sam-Deekue*", 'Raw data'!$Y:$Y,"*2nd*",'Raw data'!$I:$I,"*Backward Pass*",'Raw data'!$M:$M,"*Pass completed*")</f>
        <v>0</v>
      </c>
      <c r="ER39" s="8">
        <f>COUNTIFS('Raw data'!$D:$D,"*Jeffrey Sam-Deekue*", 'Raw data'!$Y:$Y,"*2nd*",'Raw data'!$I:$I,"*Backward Pass*",'Raw data'!$M:$M,"*Pass Uncompleted*")</f>
        <v>0</v>
      </c>
      <c r="ES39" s="54" t="str">
        <f t="shared" ref="ES39" si="179">IFERROR(EQ39/$EQ39,"-")</f>
        <v>-</v>
      </c>
      <c r="ET39" s="54" t="str">
        <f t="shared" ref="ET39" si="180">IFERROR(ER39/$EQ39,"-")</f>
        <v>-</v>
      </c>
      <c r="EU39" s="8">
        <f>COUNTIFS('Raw data'!$D:$D,"*Jeffrey Sam-Deekue*", 'Raw data'!$Y:$Y,"*2nd*",'Raw data'!$I:$I,"*Long Kick*")</f>
        <v>1</v>
      </c>
      <c r="EV39" s="8">
        <f>COUNTIFS('Raw data'!$D:$D,"*Jeffrey Sam-Deekue*", 'Raw data'!$Y:$Y,"*2nd*",'Raw data'!$I:$I,"*Long Kick*",'Raw data'!$M:$M,"*Pass completed*")</f>
        <v>0</v>
      </c>
      <c r="EW39" s="8">
        <f>COUNTIFS('Raw data'!$D:$D,"*Jeffrey Sam-Deekue*", 'Raw data'!$Y:$Y,"*2nd*",'Raw data'!$I:$I,"*Long Kick*",'Raw data'!$M:$M,"*Pass Uncompleted*")</f>
        <v>1</v>
      </c>
      <c r="EX39" s="54">
        <f t="shared" ref="EX39" si="181">IFERROR(EV39/$EU39,"-")</f>
        <v>0</v>
      </c>
      <c r="EY39" s="54">
        <f t="shared" ref="EY39" si="182">IFERROR(EW39/$EU39,"-")</f>
        <v>1</v>
      </c>
      <c r="EZ39" s="8">
        <f>COUNTIFS('Raw data'!$D:$D,"*Jeffrey Sam-Deekue*", 'Raw data'!$Y:$Y,"*2nd*",'Raw data'!$I:$I,"*Balls in Behind*")</f>
        <v>2</v>
      </c>
      <c r="FA39" s="8">
        <f>COUNTIFS('Raw data'!$D:$D,"*Jeffrey Sam-Deekue*", 'Raw data'!$Y:$Y,"*2nd*",'Raw data'!$I:$I,"*Balls in Behind*",'Raw data'!$M:$M,"*Pass completed*")</f>
        <v>1</v>
      </c>
      <c r="FB39" s="8">
        <f>COUNTIFS('Raw data'!$D:$D,"*Jeffrey Sam-Deekue*", 'Raw data'!$Y:$Y,"*2nd*",'Raw data'!$I:$I,"*Balls in Behind*",'Raw data'!$M:$M,"*Pass Uncompleted*")</f>
        <v>1</v>
      </c>
      <c r="FC39" s="54">
        <f t="shared" ref="FC39" si="183">IFERROR(FA39/$EZ39,"-")</f>
        <v>0.5</v>
      </c>
      <c r="FD39" s="54">
        <f t="shared" ref="FD39" si="184">IFERROR(FB39/$EZ39,"-")</f>
        <v>0.5</v>
      </c>
      <c r="FE39" s="8">
        <f>COUNTIFS('Raw data'!$D:$D,"*Jeffrey Sam-Deekue*", 'Raw data'!$Y:$Y,"*2nd*",'Raw data'!$I:$I,"*Key/Through pass*")</f>
        <v>0</v>
      </c>
      <c r="FF39" s="8">
        <f>COUNTIFS('Raw data'!$D:$D,"*Jeffrey Sam-Deekue*", 'Raw data'!$Y:$Y,"*2nd*",'Raw data'!$I:$I,"*Diagonal pass*")</f>
        <v>0</v>
      </c>
      <c r="FG39" s="8">
        <f>COUNTIFS('Raw data'!$D:$D,"*Jeffrey Sam-Deekue*", 'Raw data'!$Y:$Y,"*2nd*",'Raw data'!$I:$I,"*Diagonal pass*",'Raw data'!$M:$M,"*Pass completed*")</f>
        <v>0</v>
      </c>
      <c r="FH39" s="8">
        <f>COUNTIFS('Raw data'!$D:$D,"*Jeffrey Sam-Deekue*", 'Raw data'!$Y:$Y,"*2nd*",'Raw data'!$I:$I,"*Diagonal pass*",'Raw data'!$M:$M,"*Pass Uncompleted*")</f>
        <v>0</v>
      </c>
      <c r="FI39" s="54" t="str">
        <f t="shared" ref="FI39" si="185">IFERROR(FG39/$FF39,"-")</f>
        <v>-</v>
      </c>
      <c r="FJ39" s="54" t="str">
        <f t="shared" ref="FJ39" si="186">IFERROR(FH39/$FF39,"-")</f>
        <v>-</v>
      </c>
      <c r="FK39" s="8">
        <f>COUNTIFS('Raw data'!$D:$D,"*Jeffrey Sam-Deekue*", 'Raw data'!$Y:$Y,"*2nd*",'Raw data'!$M:$M,"*Pass Received*")</f>
        <v>5</v>
      </c>
      <c r="FL39" s="8">
        <f>COUNTIFS('Raw data'!$D:$D,"*Jeffrey Sam-Deekue*", 'Raw data'!$Y:$Y,"*2nd*",'Raw data'!$M:$M,"*Pass Completed*",'Raw data'!$M:$M,"*Pass Received*")</f>
        <v>0</v>
      </c>
      <c r="FM39" s="8">
        <f>COUNTIFS('Raw data'!$D:$D,"*Jeffrey Sam-Deekue*", 'Raw data'!$Y:$Y,"*2nd*",'Raw data'!$M:$M,"*Pass Uncompleted*",'Raw data'!$M:$M,"*Pass Received*")</f>
        <v>3</v>
      </c>
      <c r="FN39" s="8">
        <f>COUNTIFS('Raw data'!$D:$D,"*Jeffrey Sam-Deekue*", 'Raw data'!$Y:$Y,"*2nd*",'Raw data'!$M:$M,"*Kept Possession*",'Raw data'!$M:$M,"*Pass Received*")</f>
        <v>0</v>
      </c>
      <c r="FO39" s="8">
        <f>COUNTIFS('Raw data'!$D:$D,"*Jeffrey Sam-Deekue*", 'Raw data'!$Y:$Y,"*2nd*",'Raw data'!$M:$M,"*Lost Possession*")</f>
        <v>2</v>
      </c>
      <c r="FP39" s="8">
        <f>COUNTIFS('Raw data'!$D:$D,"*Jeffrey Sam-Deekue*", 'Raw data'!$Y:$Y,"*2nd*",'Raw data'!$M:$M,"*Lost Possession*",'Raw data'!$M:$M,"*Lost Final 1/3*")</f>
        <v>0</v>
      </c>
      <c r="FQ39" s="8">
        <f>COUNTIFS('Raw data'!$D:$D,"*Jeffrey Sam-Deekue*", 'Raw data'!$Y:$Y,"*2nd*",'Raw data'!$M:$M,"*Lost Possession*",'Raw data'!$M:$M,"*Lost Middle 1/3*")</f>
        <v>2</v>
      </c>
      <c r="FR39" s="8">
        <f>COUNTIFS('Raw data'!$D:$D,"*Jeffrey Sam-Deekue*", 'Raw data'!$Y:$Y,"*2nd*",'Raw data'!$M:$M,"*Lost Possession*",'Raw data'!$M:$M,"*Lost Own 1/3*")</f>
        <v>0</v>
      </c>
      <c r="FS39" s="8">
        <f>COUNTIFS('Raw data'!$D:$D,"*Jeffrey Sam-Deekue*", 'Raw data'!$Y:$Y,"*2nd*",'Raw data'!$H:$H,"*Touches in the Box*")</f>
        <v>1</v>
      </c>
      <c r="FT39" s="8">
        <f>COUNTIFS('Raw data'!$D:$D,"*Jeffrey Sam-Deekue*", 'Raw data'!$Y:$Y,"*2nd*",'Raw data'!$H:$H,"*1v1 Attack*")</f>
        <v>0</v>
      </c>
      <c r="FU39" s="8">
        <f>COUNTIFS('Raw data'!$D:$D,"*Jeffrey Sam-Deekue*", 'Raw data'!$Y:$Y,"*2nd*",'Raw data'!$H:$H,"*1v1 Attack*",'Raw data'!$H:$H,"*1v1 Attack*",'Raw data'!$M:$M,"*Kept Possession*")</f>
        <v>0</v>
      </c>
      <c r="FV39" s="8">
        <f>COUNTIFS('Raw data'!$D:$D,"*Jeffrey Sam-Deekue*", 'Raw data'!$Y:$Y,"*2nd*",'Raw data'!$H:$H,"*1v1 Attack*",'Raw data'!$H:$H,"*1v1 Attack*",'Raw data'!$M:$M,"*Lost Possession*")</f>
        <v>0</v>
      </c>
      <c r="FW39" s="54" t="str">
        <f t="shared" ref="FW39" si="187">IFERROR(FU39/$FT39,"-")</f>
        <v>-</v>
      </c>
      <c r="FX39" s="54" t="str">
        <f t="shared" ref="FX39" si="188">IFERROR(FV39/$FT39,"-")</f>
        <v>-</v>
      </c>
      <c r="FY39" s="8">
        <f>COUNTIFS('Raw data'!$D:$D,"*Jeffrey Sam-Deekue*", 'Raw data'!$Y:$Y,"*2nd*",'Raw data'!$I:$I,"*Cross*")</f>
        <v>0</v>
      </c>
      <c r="FZ39" s="8">
        <f>COUNTIFS('Raw data'!$D:$D,"*Jeffrey Sam-Deekue*", 'Raw data'!$Y:$Y,"*2nd*",'Raw data'!$I:$I,"*Cross*",'Raw data'!$M:$M,"*Pass Completed*")</f>
        <v>0</v>
      </c>
      <c r="GA39" s="8">
        <f>COUNTIFS('Raw data'!$D:$D,"*Jeffrey Sam-Deekue*", 'Raw data'!$Y:$Y,"*2nd*",'Raw data'!$I:$I,"*Cross*",'Raw data'!$M:$M,"*Pass Uncompleted*")</f>
        <v>0</v>
      </c>
      <c r="GB39" s="54" t="str">
        <f t="shared" ref="GB39" si="189">IFERROR(FZ39/$FY39,"-")</f>
        <v>-</v>
      </c>
      <c r="GC39" s="54" t="str">
        <f t="shared" ref="GC39" si="190">IFERROR(GA39/$FY39,"-")</f>
        <v>-</v>
      </c>
      <c r="GD39" s="8">
        <f t="shared" ref="GD39" si="191">SUM(GE39:GG39)</f>
        <v>1</v>
      </c>
      <c r="GE39" s="8">
        <f>COUNTIFS('Raw data'!$D:$D,"*Jeffrey Sam-Deekue*", 'Raw data'!$Y:$Y,"*2nd*",'Raw data'!$L:$L,"*On Target*")</f>
        <v>0</v>
      </c>
      <c r="GF39" s="8">
        <f>COUNTIFS('Raw data'!$D:$D,"*Jeffrey Sam-Deekue*", 'Raw data'!$Y:$Y,"*2nd*",'Raw data'!$L:$L,"*Off Target*")</f>
        <v>1</v>
      </c>
      <c r="GG39" s="8">
        <f>COUNTIFS('Raw data'!$D:$D,"*Jeffrey Sam-Deekue*", 'Raw data'!$Y:$Y,"*2nd*",'Raw data'!$L:$L,"*Blocked*")</f>
        <v>0</v>
      </c>
      <c r="GH39" s="8">
        <f>COUNTIFS('Raw data'!$D:$D,"*Jeffrey Sam-Deekue*", 'Raw data'!$Y:$Y,"*2nd*",'Raw data'!$M:$M,"*Goal*")</f>
        <v>0</v>
      </c>
      <c r="GI39" s="8">
        <f>COUNTIFS('Raw data'!$D:$D,"*Jeffrey Sam-Deekue*", 'Raw data'!$Y:$Y,"*2nd*",'Raw data'!$M:$M,"*Assist*")</f>
        <v>0</v>
      </c>
      <c r="GJ39" s="8">
        <f>COUNTIFS('Raw data'!$D:$D,"*Jeffrey Sam-Deekue*", 'Raw data'!$Y:$Y,"*2nd*",'Raw data'!$H:$H,"*Offensive duel*")</f>
        <v>1</v>
      </c>
      <c r="GK39" s="8">
        <f>COUNTIFS('Raw data'!$D:$D,"*Jeffrey Sam-Deekue*", 'Raw data'!$Y:$Y,"*2nd*",'Raw data'!$H:$H,"*Offensive Duel*",'Raw data'!$H:$H,"*Offensive Duel*",'Raw data'!$M:$M,"*Kept Possession*")</f>
        <v>1</v>
      </c>
      <c r="GL39" s="8">
        <f>COUNTIFS('Raw data'!$D:$D,"*Jeffrey Sam-Deekue*", 'Raw data'!$Y:$Y,"*2nd*",'Raw data'!$H:$H,"*Offensive Duel*",'Raw data'!$H:$H,"*Offensive Duel*",'Raw data'!$M:$M,"*Lost Possession*")</f>
        <v>0</v>
      </c>
      <c r="GM39" s="54">
        <f t="shared" ref="GM39" si="192">IFERROR(GK39/$GJ39,"-")</f>
        <v>1</v>
      </c>
      <c r="GN39" s="54">
        <f t="shared" ref="GN39" si="193">IFERROR(GL39/$GJ39,"-")</f>
        <v>0</v>
      </c>
      <c r="GO39" s="8">
        <f>COUNTIFS('Raw data'!$D:$D,"*Jeffrey Sam-Deekue*", 'Raw data'!$Y:$Y,"*2nd*",'Raw data'!$H:$H,"*Acceleration*")</f>
        <v>0</v>
      </c>
      <c r="GP39" s="8">
        <f>COUNTIFS('Raw data'!$D:$D,"*Jeffrey Sam-Deekue*", 'Raw data'!$Y:$Y,"*2nd*",'Raw data'!$H:$H,"*Move into Pocket*")</f>
        <v>0</v>
      </c>
      <c r="GQ39" s="8">
        <f>COUNTIFS('Raw data'!$D:$D,"*Jeffrey Sam-Deekue*", 'Raw data'!$Y:$Y,"*2nd*",'Raw data'!$H:$H,"*Wide area*")</f>
        <v>4</v>
      </c>
      <c r="GR39" s="8">
        <f>COUNTIFS('Raw data'!$D:$D,"*Jeffrey Sam-Deekue*", 'Raw data'!$Y:$Y,"*2nd*",'Raw data'!$H:$H,"*Back to goal*")</f>
        <v>0</v>
      </c>
      <c r="GS39" s="8">
        <f>COUNTIFS('Raw data'!$D:$D,"*Jeffrey Sam-Deekue*", 'Raw data'!$Y:$Y,"*2nd*",'Raw data'!$H:$H,"*Over/Underlaps*")</f>
        <v>0</v>
      </c>
      <c r="GT39" s="8">
        <f>COUNTIFS('Raw data'!$D:$D,"*Jeffrey Sam-Deekue*", 'Raw data'!$Y:$Y,"*2nd*",'Raw data'!$H:$H,"*Runs in Behind*")</f>
        <v>0</v>
      </c>
      <c r="GU39" s="8">
        <f>COUNTIFS('Raw data'!$D:$D,"*Jeffrey Sam-Deekue*", 'Raw data'!$Y:$Y,"*2nd*",'Raw data'!$H:$H,"*Half-space Runs*")</f>
        <v>0</v>
      </c>
      <c r="GV39" s="8">
        <f t="shared" ref="GV39" si="194">SUM(GJ39,HA39,HF39)</f>
        <v>4</v>
      </c>
      <c r="GW39" s="8">
        <f t="shared" ref="GW39" si="195">SUM(GK39,HB39,HG39)</f>
        <v>2</v>
      </c>
      <c r="GX39" s="8">
        <f t="shared" ref="GX39" si="196">SUM(GL39,HC39,HH39)</f>
        <v>2</v>
      </c>
      <c r="GY39" s="54">
        <f t="shared" ref="GY39" si="197">IFERROR(GW39/$GV39,"-")</f>
        <v>0.5</v>
      </c>
      <c r="GZ39" s="54">
        <f t="shared" ref="GZ39" si="198">IFERROR(GX39/$GV39,"-")</f>
        <v>0.5</v>
      </c>
      <c r="HA39" s="8">
        <f>COUNTIFS('Raw data'!$D:$D,"*Jeffrey Sam-Deekue*", 'Raw data'!$Y:$Y,"*2nd*",'Raw data'!$K:$K,"*Ground duel*")</f>
        <v>3</v>
      </c>
      <c r="HB39" s="8">
        <f>COUNTIFS('Raw data'!$D:$D,"*Jeffrey Sam-Deekue*", 'Raw data'!$Y:$Y,"*2nd*",'Raw data'!$K:$K,"*Ground duel*",'Raw data'!$M:$M,"*Duel Succeeded*")</f>
        <v>1</v>
      </c>
      <c r="HC39" s="8">
        <f>COUNTIFS('Raw data'!$D:$D,"*Jeffrey Sam-Deekue*", 'Raw data'!$Y:$Y,"*2nd*",'Raw data'!$K:$K,"*Ground duel*",'Raw data'!$M:$M,"*Duel Unsucceeded*")</f>
        <v>2</v>
      </c>
      <c r="HD39" s="54">
        <f t="shared" ref="HD39" si="199">IFERROR(HB39/$HA39,"-")</f>
        <v>0.33333333333333331</v>
      </c>
      <c r="HE39" s="54">
        <f t="shared" ref="HE39" si="200">IFERROR(HC39/$HA39,"-")</f>
        <v>0.66666666666666663</v>
      </c>
      <c r="HF39" s="8">
        <f>COUNTIFS('Raw data'!$D:$D,"*Jeffrey Sam-Deekue*", 'Raw data'!$Y:$Y,"*2nd*",'Raw data'!$K:$K,"*Aerial duel*")</f>
        <v>0</v>
      </c>
      <c r="HG39" s="8">
        <f>COUNTIFS('Raw data'!$D:$D,"*Jeffrey Sam-Deekue*", 'Raw data'!$Y:$Y,"*2nd*",'Raw data'!$K:$K,"*Aerial duel*",'Raw data'!$M:$M,"*Duel Succeeded*")</f>
        <v>0</v>
      </c>
      <c r="HH39" s="8">
        <f>COUNTIFS('Raw data'!$D:$D,"*Jeffrey Sam-Deekue*", 'Raw data'!$Y:$Y,"*2nd*",'Raw data'!$K:$K,"*Aerial duel*",'Raw data'!$M:$M,"*Duel Unsucceeded*")</f>
        <v>0</v>
      </c>
      <c r="HI39" s="54" t="str">
        <f t="shared" ref="HI39" si="201">IFERROR(HG39/$HG39,"-")</f>
        <v>-</v>
      </c>
      <c r="HJ39" s="54" t="str">
        <f t="shared" ref="HJ39" si="202">IFERROR(HH39/$HG39,"-")</f>
        <v>-</v>
      </c>
      <c r="HK39" s="8">
        <f>COUNTIFS('Raw data'!$D:$D,"*Jeffrey Sam-Deekue*", 'Raw data'!$Y:$Y,"*2nd*",'Raw data'!$K:$K,"*1v1 defense*")</f>
        <v>0</v>
      </c>
      <c r="HL39" s="8">
        <f>COUNTIFS('Raw data'!$D:$D,"*Jeffrey Sam-Deekue*", 'Raw data'!$Y:$Y,"*2nd*",'Raw data'!$K:$K,"*1v1 defense*",'Raw data'!$M:$M,"*Duel Succeeded*")</f>
        <v>0</v>
      </c>
      <c r="HM39" s="8">
        <f>COUNTIFS('Raw data'!$D:$D,"*Jeffrey Sam-Deekue*", 'Raw data'!$Y:$Y,"*2nd*",'Raw data'!$K:$K,"*1v1 defense*",'Raw data'!$M:$M,"*Duel Unsucceeded*")</f>
        <v>0</v>
      </c>
      <c r="HN39" s="54" t="str">
        <f t="shared" ref="HN39" si="203">IFERROR(HL39/$HK39,"-")</f>
        <v>-</v>
      </c>
      <c r="HO39" s="54" t="str">
        <f t="shared" ref="HO39" si="204">IFERROR(HM39/$HK39,"-")</f>
        <v>-</v>
      </c>
      <c r="HP39" s="8">
        <f>COUNTIFS('Raw data'!$D:$D,"*Jeffrey Sam-Deekue*", 'Raw data'!$Y:$Y,"*2nd*",'Raw data'!$J:$J,"*Tackles*")</f>
        <v>0</v>
      </c>
      <c r="HQ39" s="8">
        <f>COUNTIFS('Raw data'!$D:$D,"*Jeffrey Sam-Deekue*", 'Raw data'!$Y:$Y,"*2nd*",'Raw data'!$J:$J,"*Tackles*", 'Raw data'!$M:$M,"*Duel Succeeded*")</f>
        <v>0</v>
      </c>
      <c r="HR39" s="8">
        <f>COUNTIFS('Raw data'!$D:$D,"*Jeffrey Sam-Deekue*", 'Raw data'!$Y:$Y,"*2nd*",'Raw data'!$J:$J,"*Tackles*", 'Raw data'!$M:$M,"*Duel Unsucceeded*")</f>
        <v>0</v>
      </c>
      <c r="HS39" s="54" t="str">
        <f t="shared" ref="HS39" si="205">IFERROR(HQ39/$HP39,"-")</f>
        <v>-</v>
      </c>
      <c r="HT39" s="54" t="str">
        <f t="shared" ref="HT39" si="206">IFERROR(HR39/$HP39,"-")</f>
        <v>-</v>
      </c>
      <c r="HU39" s="8">
        <f>COUNTIFS('Raw data'!$D:$D,"*Jeffrey Sam-Deekue*", 'Raw data'!$Y:$Y,"*2nd*",'Raw data'!$K:$K,"*2nd Balls*")</f>
        <v>0</v>
      </c>
      <c r="HV39" s="8">
        <f>COUNTIFS('Raw data'!$D:$D,"*Jeffrey Sam-Deekue*", 'Raw data'!$Y:$Y,"*2nd*",'Raw data'!$K:$K,"*2nd Balls*", 'Raw data'!$M:$M,"*Duel Succeeded*")</f>
        <v>0</v>
      </c>
      <c r="HW39" s="8">
        <f>COUNTIFS('Raw data'!$D:$D,"*Jeffrey Sam-Deekue*", 'Raw data'!$Y:$Y,"*2nd*",'Raw data'!$K:$K,"*2nd Balls*", 'Raw data'!$M:$M,"*Duel Unsucceeded*")</f>
        <v>0</v>
      </c>
      <c r="HX39" s="54" t="str">
        <f t="shared" ref="HX39" si="207">IFERROR(HV39/$HU39,"-")</f>
        <v>-</v>
      </c>
      <c r="HY39" s="54" t="str">
        <f t="shared" ref="HY39" si="208">IFERROR(HW39/$HU39,"-")</f>
        <v>-</v>
      </c>
      <c r="HZ39" s="8">
        <f>COUNTIFS('Raw data'!$D:$D,"*Jeffrey Sam-Deekue*", 'Raw data'!$Y:$Y,"*2nd*",'Raw data'!$J:$J,"*Clearance*")</f>
        <v>0</v>
      </c>
      <c r="IA39" s="8">
        <f>COUNTIFS('Raw data'!$D:$D,"*Jeffrey Sam-Deekue*", 'Raw data'!$Y:$Y,"*2nd*",'Raw data'!$J:$J,"*Interception*")</f>
        <v>0</v>
      </c>
      <c r="IB39" s="8">
        <f>COUNTIFS('Raw data'!$D:$D,"*Jeffrey Sam-Deekue*", 'Raw data'!$Y:$Y,"*2nd*",'Raw data'!$J:$J,"*Turnover Won*")</f>
        <v>0</v>
      </c>
      <c r="IC39" s="8">
        <f>COUNTIFS('Raw data'!$D:$D,"*Jeffrey Sam-Deekue*", 'Raw data'!$Y:$Y,"*2nd*",'Raw data'!$J:$J,"*Recovery*")</f>
        <v>0</v>
      </c>
      <c r="ID39" s="8">
        <f>COUNTIFS('Raw data'!$D:$D,"*Jeffrey Sam-Deekue*", 'Raw data'!$Y:$Y,"*2nd*",'Raw data'!$J:$J,"*Blocked Shots*")</f>
        <v>0</v>
      </c>
      <c r="IE39" s="8">
        <f>COUNTIFS('Raw data'!$D:$D,"*Jeffrey Sam-Deekue*", 'Raw data'!$Y:$Y,"*2nd*",'Raw data'!$J:$J,"*Man-marking*")</f>
        <v>0</v>
      </c>
      <c r="IF39" s="8">
        <f>COUNTIFS('Raw data'!$D:$D,"*Jeffrey Sam-Deekue*", 'Raw data'!$Y:$Y,"*2nd*",'Raw data'!$J:$J,"*Fouls*")</f>
        <v>1</v>
      </c>
      <c r="IG39" s="8">
        <f>COUNTIFS('Raw data'!$D:$D,"*Jeffrey Sam-Deekue*", 'Raw data'!$Y:$Y,"*2nd*",'Raw data'!$J:$J,"*Won F*")</f>
        <v>0</v>
      </c>
      <c r="IH39" s="8">
        <f>COUNTIFS('Raw data'!$D:$D,"*Jeffrey Sam-Deekue*", 'Raw data'!$Y:$Y,"*2nd*",'Raw data'!$G:$G,"*1v1*")</f>
        <v>0</v>
      </c>
      <c r="II39" s="8">
        <f>COUNTIFS('Raw data'!$D:$D,"*Jeffrey Sam-Deekue*", 'Raw data'!$Y:$Y,"*2nd*",'Raw data'!$G:$G,"*On Target*")</f>
        <v>0</v>
      </c>
      <c r="IJ39" s="8">
        <f>COUNTIFS('Raw data'!$D:$D,"*Jeffrey Sam-Deekue*", 'Raw data'!$Y:$Y,"*2nd*",'Raw data'!$G:$G,"*Off Target*")</f>
        <v>0</v>
      </c>
      <c r="IK39" s="8">
        <f>COUNTIFS('Raw data'!$D:$D,"*Jeffrey Sam-Deekue*", 'Raw data'!$Y:$Y,"*2nd*",'Raw data'!$G:$G,"*Defend the Space*")</f>
        <v>0</v>
      </c>
      <c r="IL39" s="8">
        <f>COUNTIFS('Raw data'!$D:$D,"*Jeffrey Sam-Deekue*", 'Raw data'!$Y:$Y,"*2nd*",'Raw data'!$G:$G,"*Conceded*")</f>
        <v>0</v>
      </c>
      <c r="IM39" s="8">
        <f>COUNTIFS('Raw data'!$D:$D,"*Jeffrey Sam-Deekue*", 'Raw data'!$Y:$Y,"*2nd*",'Raw data'!$G:$G,"*Save*")</f>
        <v>0</v>
      </c>
      <c r="IN39" s="8">
        <f>COUNTIFS('Raw data'!$D:$D,"*Jeffrey Sam-Deekue*", 'Raw data'!$Y:$Y,"*2nd*",'Raw data'!$G:$G,"*Defend the line (Cross)*")</f>
        <v>0</v>
      </c>
      <c r="IO39" s="8">
        <f>COUNTIFS('Raw data'!$D:$D,"*Jeffrey Sam-Deekue*", 'Raw data'!$Y:$Y,"*2nd*",'Raw data'!$G:$G,"*Counter Kick*")</f>
        <v>0</v>
      </c>
      <c r="IP39" t="s">
        <v>795</v>
      </c>
    </row>
    <row r="40" spans="3:250">
      <c r="ED40" s="54"/>
      <c r="EE40" s="54"/>
      <c r="EI40" s="54"/>
      <c r="EJ40" s="54"/>
      <c r="EK40" s="8"/>
      <c r="EL40" s="8"/>
      <c r="EM40" s="8"/>
      <c r="EN40" s="54"/>
      <c r="EO40" s="54"/>
      <c r="EP40" s="8"/>
      <c r="EQ40" s="8"/>
      <c r="ER40" s="8"/>
      <c r="ES40" s="54"/>
      <c r="ET40" s="54"/>
      <c r="EU40" s="8"/>
      <c r="EV40" s="8"/>
      <c r="EW40" s="8"/>
      <c r="EX40" s="54"/>
      <c r="EY40" s="54"/>
      <c r="EZ40" s="8"/>
      <c r="FA40" s="8"/>
      <c r="FB40" s="8"/>
      <c r="FC40" s="54"/>
      <c r="FD40" s="54"/>
      <c r="FE40" s="8"/>
      <c r="FF40" s="8"/>
      <c r="FG40" s="8"/>
      <c r="FH40" s="8"/>
      <c r="FI40" s="54"/>
      <c r="FJ40" s="54"/>
      <c r="FK40" s="54"/>
      <c r="FL40" s="54"/>
      <c r="FM40" s="54"/>
      <c r="FN40" s="8"/>
      <c r="FO40" s="8"/>
      <c r="FP40" s="8"/>
      <c r="FQ40" s="8"/>
      <c r="FR40" s="8"/>
      <c r="FS40" s="8"/>
      <c r="FT40" s="8"/>
      <c r="FU40" s="8"/>
      <c r="FV40" s="8"/>
      <c r="FW40" s="54"/>
      <c r="FX40" s="54"/>
      <c r="FY40" s="8"/>
      <c r="FZ40" s="8"/>
      <c r="GA40" s="8"/>
      <c r="GB40" s="54"/>
      <c r="GC40" s="54"/>
      <c r="GD40" s="8"/>
      <c r="GE40" s="8"/>
      <c r="GF40" s="8"/>
      <c r="GG40" s="8"/>
      <c r="GH40" s="8"/>
      <c r="GI40" s="8"/>
      <c r="GJ40" s="8"/>
      <c r="GK40" s="8"/>
      <c r="GL40" s="8"/>
      <c r="GM40" s="54"/>
      <c r="GN40" s="54"/>
      <c r="GO40" s="8"/>
      <c r="GP40" s="54"/>
      <c r="GQ40" s="54"/>
      <c r="GR40" s="54"/>
      <c r="GS40" s="54"/>
      <c r="GT40" s="54"/>
      <c r="GU40" s="54"/>
      <c r="GV40" s="8"/>
      <c r="GW40" s="8"/>
      <c r="GX40" s="8"/>
      <c r="GY40" s="54"/>
      <c r="GZ40" s="54"/>
      <c r="HA40" s="8"/>
      <c r="HB40" s="8"/>
      <c r="HC40" s="8"/>
      <c r="HD40" s="54"/>
      <c r="HE40" s="54"/>
      <c r="HF40" s="8"/>
      <c r="HG40" s="8"/>
      <c r="HH40" s="8"/>
      <c r="HI40" s="54"/>
      <c r="HJ40" s="54"/>
      <c r="HK40" s="8"/>
      <c r="HL40" s="8"/>
      <c r="HM40" s="8"/>
      <c r="HN40" s="54"/>
      <c r="HO40" s="54"/>
      <c r="HP40" s="8"/>
      <c r="HQ40" s="8"/>
      <c r="HR40" s="8"/>
      <c r="HS40" s="54"/>
      <c r="HT40" s="54"/>
      <c r="HU40" s="8"/>
      <c r="HV40" s="8"/>
      <c r="HW40" s="8"/>
      <c r="HX40" s="54"/>
      <c r="HY40" s="54"/>
      <c r="HZ40" s="8"/>
      <c r="IA40" s="8"/>
      <c r="IB40" s="8"/>
      <c r="IC40" s="8"/>
      <c r="ID40" s="8"/>
      <c r="IE40" s="8"/>
      <c r="IF40" s="8"/>
      <c r="IG40" s="8"/>
      <c r="IH40" s="8"/>
      <c r="II40" s="8"/>
      <c r="IJ40" s="8"/>
      <c r="IK40" s="8"/>
      <c r="IL40" s="8"/>
      <c r="IM40" s="8"/>
    </row>
    <row r="41" spans="3:250">
      <c r="DW41" t="s">
        <v>464</v>
      </c>
      <c r="DX41" t="s">
        <v>140</v>
      </c>
      <c r="DY41" t="s">
        <v>541</v>
      </c>
      <c r="DZ41" t="s">
        <v>151</v>
      </c>
      <c r="EA41" s="2" t="s">
        <v>233</v>
      </c>
      <c r="EB41" s="2" t="s">
        <v>234</v>
      </c>
      <c r="EC41" s="2" t="s">
        <v>235</v>
      </c>
      <c r="ED41" s="2" t="s">
        <v>501</v>
      </c>
      <c r="EE41" s="2" t="s">
        <v>502</v>
      </c>
      <c r="EF41" s="2" t="s">
        <v>236</v>
      </c>
      <c r="EG41" s="2" t="s">
        <v>237</v>
      </c>
      <c r="EH41" s="2" t="s">
        <v>238</v>
      </c>
      <c r="EI41" s="2" t="s">
        <v>503</v>
      </c>
      <c r="EJ41" s="2" t="s">
        <v>504</v>
      </c>
      <c r="EK41" s="2" t="s">
        <v>239</v>
      </c>
      <c r="EL41" s="35" t="s">
        <v>240</v>
      </c>
      <c r="EM41" s="2" t="s">
        <v>241</v>
      </c>
      <c r="EN41" s="35" t="s">
        <v>505</v>
      </c>
      <c r="EO41" s="2" t="s">
        <v>506</v>
      </c>
      <c r="EP41" s="2" t="s">
        <v>242</v>
      </c>
      <c r="EQ41" s="2" t="s">
        <v>243</v>
      </c>
      <c r="ER41" s="2" t="s">
        <v>244</v>
      </c>
      <c r="ES41" s="2" t="s">
        <v>507</v>
      </c>
      <c r="ET41" s="2" t="s">
        <v>508</v>
      </c>
      <c r="EU41" s="2" t="s">
        <v>251</v>
      </c>
      <c r="EV41" s="2" t="s">
        <v>252</v>
      </c>
      <c r="EW41" s="2" t="s">
        <v>253</v>
      </c>
      <c r="EX41" s="2" t="s">
        <v>509</v>
      </c>
      <c r="EY41" s="2" t="s">
        <v>510</v>
      </c>
      <c r="EZ41" s="2" t="s">
        <v>257</v>
      </c>
      <c r="FA41" s="2" t="s">
        <v>258</v>
      </c>
      <c r="FB41" s="2" t="s">
        <v>259</v>
      </c>
      <c r="FC41" s="2" t="s">
        <v>511</v>
      </c>
      <c r="FD41" s="2" t="s">
        <v>512</v>
      </c>
      <c r="FE41" s="2" t="s">
        <v>260</v>
      </c>
      <c r="FF41" s="2" t="s">
        <v>261</v>
      </c>
      <c r="FG41" s="2" t="s">
        <v>262</v>
      </c>
      <c r="FH41" s="2" t="s">
        <v>263</v>
      </c>
      <c r="FI41" s="2" t="s">
        <v>513</v>
      </c>
      <c r="FJ41" s="2" t="s">
        <v>514</v>
      </c>
      <c r="FK41" s="2" t="s">
        <v>546</v>
      </c>
      <c r="FL41" s="2" t="s">
        <v>645</v>
      </c>
      <c r="FM41" s="2" t="s">
        <v>647</v>
      </c>
      <c r="FN41" s="2" t="s">
        <v>245</v>
      </c>
      <c r="FO41" s="2" t="s">
        <v>246</v>
      </c>
      <c r="FP41" s="2" t="s">
        <v>247</v>
      </c>
      <c r="FQ41" s="2" t="s">
        <v>248</v>
      </c>
      <c r="FR41" s="2" t="s">
        <v>249</v>
      </c>
      <c r="FS41" s="2" t="s">
        <v>177</v>
      </c>
      <c r="FT41" s="2" t="s">
        <v>250</v>
      </c>
      <c r="FU41" s="2" t="s">
        <v>547</v>
      </c>
      <c r="FV41" s="2" t="s">
        <v>548</v>
      </c>
      <c r="FW41" s="2" t="s">
        <v>515</v>
      </c>
      <c r="FX41" s="2" t="s">
        <v>516</v>
      </c>
      <c r="FY41" s="2" t="s">
        <v>254</v>
      </c>
      <c r="FZ41" s="2" t="s">
        <v>255</v>
      </c>
      <c r="GA41" s="2" t="s">
        <v>256</v>
      </c>
      <c r="GB41" s="2" t="s">
        <v>517</v>
      </c>
      <c r="GC41" s="2" t="s">
        <v>518</v>
      </c>
      <c r="GD41" s="2" t="s">
        <v>150</v>
      </c>
      <c r="GE41" s="2" t="s">
        <v>38</v>
      </c>
      <c r="GF41" s="2" t="s">
        <v>39</v>
      </c>
      <c r="GG41" s="2" t="s">
        <v>37</v>
      </c>
      <c r="GH41" s="2" t="s">
        <v>52</v>
      </c>
      <c r="GI41" s="2" t="s">
        <v>54</v>
      </c>
      <c r="GJ41" s="2" t="s">
        <v>581</v>
      </c>
      <c r="GK41" s="2" t="s">
        <v>339</v>
      </c>
      <c r="GL41" s="2" t="s">
        <v>340</v>
      </c>
      <c r="GM41" s="2" t="s">
        <v>519</v>
      </c>
      <c r="GN41" s="2" t="s">
        <v>520</v>
      </c>
      <c r="GO41" s="2" t="s">
        <v>451</v>
      </c>
      <c r="GP41" s="2" t="s">
        <v>552</v>
      </c>
      <c r="GQ41" s="2" t="s">
        <v>553</v>
      </c>
      <c r="GR41" s="2" t="s">
        <v>554</v>
      </c>
      <c r="GS41" s="2" t="s">
        <v>555</v>
      </c>
      <c r="GT41" s="2" t="s">
        <v>556</v>
      </c>
      <c r="GU41" s="2" t="s">
        <v>649</v>
      </c>
      <c r="GV41" s="1" t="s">
        <v>351</v>
      </c>
      <c r="GW41" s="1" t="s">
        <v>521</v>
      </c>
      <c r="GX41" s="1" t="s">
        <v>522</v>
      </c>
      <c r="GY41" s="1" t="s">
        <v>523</v>
      </c>
      <c r="GZ41" s="1" t="s">
        <v>524</v>
      </c>
      <c r="HA41" s="1" t="s">
        <v>487</v>
      </c>
      <c r="HB41" s="1" t="s">
        <v>525</v>
      </c>
      <c r="HC41" s="1" t="s">
        <v>526</v>
      </c>
      <c r="HD41" s="1" t="s">
        <v>527</v>
      </c>
      <c r="HE41" s="1" t="s">
        <v>528</v>
      </c>
      <c r="HF41" s="1" t="s">
        <v>264</v>
      </c>
      <c r="HG41" s="1" t="s">
        <v>266</v>
      </c>
      <c r="HH41" s="1" t="s">
        <v>265</v>
      </c>
      <c r="HI41" s="1" t="s">
        <v>529</v>
      </c>
      <c r="HJ41" s="1" t="s">
        <v>530</v>
      </c>
      <c r="HK41" s="1" t="s">
        <v>267</v>
      </c>
      <c r="HL41" s="1" t="s">
        <v>268</v>
      </c>
      <c r="HM41" s="1" t="s">
        <v>269</v>
      </c>
      <c r="HN41" s="1" t="s">
        <v>531</v>
      </c>
      <c r="HO41" s="1" t="s">
        <v>532</v>
      </c>
      <c r="HP41" s="1" t="s">
        <v>270</v>
      </c>
      <c r="HQ41" s="1" t="s">
        <v>271</v>
      </c>
      <c r="HR41" s="1" t="s">
        <v>272</v>
      </c>
      <c r="HS41" s="116" t="s">
        <v>533</v>
      </c>
      <c r="HT41" s="116" t="s">
        <v>534</v>
      </c>
      <c r="HU41" s="1" t="s">
        <v>650</v>
      </c>
      <c r="HV41" s="1" t="s">
        <v>274</v>
      </c>
      <c r="HW41" s="1" t="s">
        <v>275</v>
      </c>
      <c r="HX41" s="1" t="s">
        <v>535</v>
      </c>
      <c r="HY41" s="1" t="s">
        <v>536</v>
      </c>
      <c r="HZ41" s="1" t="s">
        <v>47</v>
      </c>
      <c r="IA41" s="1" t="s">
        <v>49</v>
      </c>
      <c r="IB41" s="1" t="s">
        <v>608</v>
      </c>
      <c r="IC41" s="1" t="s">
        <v>50</v>
      </c>
      <c r="ID41" s="1" t="s">
        <v>55</v>
      </c>
      <c r="IE41" s="1" t="s">
        <v>276</v>
      </c>
      <c r="IF41" s="1" t="s">
        <v>223</v>
      </c>
      <c r="IG41" s="1" t="s">
        <v>222</v>
      </c>
      <c r="IH41" s="36" t="s">
        <v>277</v>
      </c>
      <c r="II41" s="36" t="s">
        <v>278</v>
      </c>
      <c r="IJ41" s="36" t="s">
        <v>279</v>
      </c>
      <c r="IK41" s="36" t="s">
        <v>280</v>
      </c>
      <c r="IL41" s="36" t="s">
        <v>57</v>
      </c>
      <c r="IM41" s="36" t="s">
        <v>281</v>
      </c>
      <c r="IN41" s="36" t="s">
        <v>458</v>
      </c>
      <c r="IO41" s="83" t="s">
        <v>459</v>
      </c>
      <c r="IP41" t="s">
        <v>414</v>
      </c>
    </row>
    <row r="42" spans="3:250">
      <c r="DW42" t="s">
        <v>500</v>
      </c>
      <c r="DX42" t="s">
        <v>638</v>
      </c>
      <c r="DY42">
        <v>20</v>
      </c>
      <c r="DZ42" t="s">
        <v>152</v>
      </c>
      <c r="EA42">
        <f t="shared" ref="EA42" si="209">EB42+EC42</f>
        <v>73</v>
      </c>
      <c r="EB42" s="8">
        <f t="shared" ref="EB42" si="210">EG42+EL42+EQ42</f>
        <v>51</v>
      </c>
      <c r="EC42" s="8">
        <f t="shared" ref="EC42" si="211">EH42+EM42+ER42</f>
        <v>22</v>
      </c>
      <c r="ED42" s="54">
        <f t="shared" ref="ED42" si="212">IFERROR(EB42/$EA42,"-")</f>
        <v>0.69863013698630139</v>
      </c>
      <c r="EE42" s="54">
        <f t="shared" ref="EE42" si="213">IFERROR(EC42/$EA42,"-")</f>
        <v>0.30136986301369861</v>
      </c>
      <c r="EF42">
        <f t="shared" ref="EF42" si="214">EG42+EH42</f>
        <v>62</v>
      </c>
      <c r="EG42">
        <f>COUNTIFS('Raw data'!$D:$D,"*Joshua Harrup*", 'Raw data'!$I:$I,"*Forward Pass*",'Raw data'!$M:$M,"*Pass completed*")</f>
        <v>42</v>
      </c>
      <c r="EH42">
        <f>COUNTIFS('Raw data'!$D:$D,"*Joshua Harrup*", 'Raw data'!$I:$I,"*Forward Pass*",'Raw data'!$M:$M,"*Pass Uncompleted*")</f>
        <v>20</v>
      </c>
      <c r="EI42" s="54">
        <f t="shared" ref="EI42" si="215">IFERROR(EG42/$EF42,"-")</f>
        <v>0.67741935483870963</v>
      </c>
      <c r="EJ42" s="54">
        <f t="shared" ref="EJ42" si="216">IFERROR(EH42/$EF42,"-")</f>
        <v>0.32258064516129031</v>
      </c>
      <c r="EK42">
        <f t="shared" ref="EK42" si="217">EL42+EM42</f>
        <v>11</v>
      </c>
      <c r="EL42" s="8">
        <f>COUNTIFS('Raw data'!$D:$D,"*Joshua Harrup*", 'Raw data'!$I:$I,"*Lateral Pass*",'Raw data'!$M:$M,"*Pass completed*")</f>
        <v>9</v>
      </c>
      <c r="EM42" s="8">
        <f>COUNTIFS('Raw data'!$D:$D,"*Joshua Harrup*", 'Raw data'!$I:$I,"*Lateral Pass*",'Raw data'!$M:$M,"*Pass Uncompleted*")</f>
        <v>2</v>
      </c>
      <c r="EN42" s="54">
        <f t="shared" ref="EN42" si="218">IFERROR(EL42/$EK42,"-")</f>
        <v>0.81818181818181823</v>
      </c>
      <c r="EO42" s="54">
        <f t="shared" ref="EO42" si="219">IFERROR(EM42/$EK42,"-")</f>
        <v>0.18181818181818182</v>
      </c>
      <c r="EP42">
        <f t="shared" ref="EP42" si="220">EQ42+ER42</f>
        <v>0</v>
      </c>
      <c r="EQ42" s="8">
        <f>COUNTIFS('Raw data'!$D:$D,"*Joshua Harrup*", 'Raw data'!$I:$I,"*Backward Pass*",'Raw data'!$M:$M,"*Pass completed*")</f>
        <v>0</v>
      </c>
      <c r="ER42" s="8">
        <f>COUNTIFS('Raw data'!$D:$D,"*Joshua Harrup*", 'Raw data'!$I:$I,"*Backward Pass*",'Raw data'!$M:$M,"*Pass Uncompleted*")</f>
        <v>0</v>
      </c>
      <c r="ES42" s="54" t="str">
        <f t="shared" ref="ES42" si="221">IFERROR(EQ42/$EQ42,"-")</f>
        <v>-</v>
      </c>
      <c r="ET42" s="54" t="str">
        <f t="shared" ref="ET42" si="222">IFERROR(ER42/$EQ42,"-")</f>
        <v>-</v>
      </c>
      <c r="EU42" s="8">
        <f>COUNTIFS('Raw data'!$D:$D,"*Joshua Harrup*", 'Raw data'!$I:$I,"*Long Kick*")</f>
        <v>24</v>
      </c>
      <c r="EV42" s="8">
        <f>COUNTIFS('Raw data'!$D:$D,"*Joshua Harrup*", 'Raw data'!$I:$I,"*Long Kick*",'Raw data'!$M:$M,"*Pass completed*")</f>
        <v>12</v>
      </c>
      <c r="EW42" s="8">
        <f>COUNTIFS('Raw data'!$D:$D,"*Joshua Harrup*", 'Raw data'!$I:$I,"*Long Kick*",'Raw data'!$M:$M,"*Pass Uncompleted*")</f>
        <v>12</v>
      </c>
      <c r="EX42" s="54">
        <f t="shared" ref="EX42" si="223">IFERROR(EV42/$EU42,"-")</f>
        <v>0.5</v>
      </c>
      <c r="EY42" s="54">
        <f t="shared" ref="EY42" si="224">IFERROR(EW42/$EU42,"-")</f>
        <v>0.5</v>
      </c>
      <c r="EZ42" s="8">
        <f>COUNTIFS('Raw data'!$D:$D,"*Joshua Harrup*", 'Raw data'!$I:$I,"*Balls in Behind*")</f>
        <v>2</v>
      </c>
      <c r="FA42" s="8">
        <f>COUNTIFS('Raw data'!$D:$D,"*Joshua Harrup*", 'Raw data'!$I:$I,"*Balls in Behind*",'Raw data'!$M:$M,"*Pass completed*")</f>
        <v>1</v>
      </c>
      <c r="FB42" s="8">
        <f>COUNTIFS('Raw data'!$D:$D,"*Joshua Harrup*", 'Raw data'!$I:$I,"*Balls in Behind*",'Raw data'!$M:$M,"*Pass Uncompleted*")</f>
        <v>2</v>
      </c>
      <c r="FC42" s="54">
        <f t="shared" ref="FC42" si="225">IFERROR(FA42/$EZ42,"-")</f>
        <v>0.5</v>
      </c>
      <c r="FD42" s="54">
        <f t="shared" ref="FD42" si="226">IFERROR(FB42/$EZ42,"-")</f>
        <v>1</v>
      </c>
      <c r="FE42" s="8">
        <f>COUNTIFS('Raw data'!$D:$D,"*Joshua Harrup*", 'Raw data'!$I:$I,"*Key/Through pass*")</f>
        <v>0</v>
      </c>
      <c r="FF42" s="8">
        <f>COUNTIFS('Raw data'!$D:$D,"*Joshua Harrup*", 'Raw data'!$I:$I,"*Diagonal pass*")</f>
        <v>0</v>
      </c>
      <c r="FG42" s="8">
        <f>COUNTIFS('Raw data'!$D:$D,"*Joshua Harrup*", 'Raw data'!$I:$I,"*Diagonal pass*",'Raw data'!$M:$M,"*Pass completed*")</f>
        <v>0</v>
      </c>
      <c r="FH42" s="8">
        <f>COUNTIFS('Raw data'!$D:$D,"*Joshua Harrup*", 'Raw data'!$I:$I,"*Diagonal pass*",'Raw data'!$M:$M,"*Pass Uncompleted*")</f>
        <v>0</v>
      </c>
      <c r="FI42" s="54" t="str">
        <f t="shared" ref="FI42" si="227">IFERROR(FG42/$FF42,"-")</f>
        <v>-</v>
      </c>
      <c r="FJ42" s="54" t="str">
        <f t="shared" ref="FJ42" si="228">IFERROR(FH42/$FF42,"-")</f>
        <v>-</v>
      </c>
      <c r="FK42" s="8">
        <f>COUNTIFS('Raw data'!$D:$D,"*Joshua Harrup*", 'Raw data'!$M:$M,"*Pass Received*")</f>
        <v>53</v>
      </c>
      <c r="FL42" s="8">
        <f>COUNTIFS('Raw data'!$D:$D,"*Joshua Harrup*", 'Raw data'!$M:$M,"*Pass Completed*",'Raw data'!$M:$M,"*Pass Received*")</f>
        <v>37</v>
      </c>
      <c r="FM42" s="8">
        <f>COUNTIFS('Raw data'!$D:$D,"*Joshua Harrup*", 'Raw data'!$M:$M,"*Pass Uncompleted*",'Raw data'!$M:$M,"*Pass Received*")</f>
        <v>15</v>
      </c>
      <c r="FN42" s="8">
        <f>COUNTIFS('Raw data'!$D:$D,"*Joshua Harrup*", 'Raw data'!$M:$M,"*Kept Possession*",'Raw data'!$M:$M,"*Pass Received*")</f>
        <v>0</v>
      </c>
      <c r="FO42" s="8">
        <f>COUNTIFS('Raw data'!$D:$D,"*Joshua Harrup*", 'Raw data'!$M:$M,"*Lost Possession*")</f>
        <v>1</v>
      </c>
      <c r="FP42" s="8">
        <f>COUNTIFS('Raw data'!$D:$D,"*Joshua Harrup*", 'Raw data'!$M:$M,"*Lost Possession*",'Raw data'!$M:$M,"*Lost Final 1/3*")</f>
        <v>0</v>
      </c>
      <c r="FQ42" s="8">
        <f>COUNTIFS('Raw data'!$D:$D,"*Joshua Harrup*", 'Raw data'!$M:$M,"*Lost Possession*",'Raw data'!$M:$M,"*Lost Middle 1/3*")</f>
        <v>0</v>
      </c>
      <c r="FR42" s="8">
        <f>COUNTIFS('Raw data'!$D:$D,"*Joshua Harrup*", 'Raw data'!$M:$M,"*Lost Possession*",'Raw data'!$M:$M,"*Lost Own 1/3*")</f>
        <v>1</v>
      </c>
      <c r="FS42" s="8">
        <f>COUNTIFS('Raw data'!$D:$D,"*Joshua Harrup*", 'Raw data'!$H:$H,"*Touches in the Box*")</f>
        <v>0</v>
      </c>
      <c r="FT42" s="8">
        <f>COUNTIFS('Raw data'!$D:$D,"*Joshua Harrup*", 'Raw data'!$H:$H,"*1v1 Attack*")</f>
        <v>0</v>
      </c>
      <c r="FU42" s="8">
        <f>COUNTIFS('Raw data'!$D:$D,"*Joshua Harrup*", 'Raw data'!$H:$H,"*1v1 Attack*",'Raw data'!$H:$H,"*1v1 Attack*",'Raw data'!$M:$M,"*Kept Possession*")</f>
        <v>0</v>
      </c>
      <c r="FV42" s="8">
        <f>COUNTIFS('Raw data'!$D:$D,"*Joshua Harrup*", 'Raw data'!$H:$H,"*1v1 Attack*",'Raw data'!$H:$H,"*1v1 Attack*",'Raw data'!$M:$M,"*Lost Possession*")</f>
        <v>0</v>
      </c>
      <c r="FW42" s="54" t="str">
        <f t="shared" ref="FW42" si="229">IFERROR(FU42/$FT42,"-")</f>
        <v>-</v>
      </c>
      <c r="FX42" s="54" t="str">
        <f t="shared" ref="FX42" si="230">IFERROR(FV42/$FT42,"-")</f>
        <v>-</v>
      </c>
      <c r="FY42" s="8">
        <f>COUNTIFS('Raw data'!$D:$D,"*Joshua Harrup*", 'Raw data'!$I:$I,"*Cross*")</f>
        <v>0</v>
      </c>
      <c r="FZ42" s="8">
        <f>COUNTIFS('Raw data'!$D:$D,"*Joshua Harrup*", 'Raw data'!$I:$I,"*Cross*",'Raw data'!$M:$M,"*Pass Completed*")</f>
        <v>0</v>
      </c>
      <c r="GA42" s="8">
        <f>COUNTIFS('Raw data'!$D:$D,"*Joshua Harrup*", 'Raw data'!$I:$I,"*Cross*",'Raw data'!$M:$M,"*Pass Uncompleted*")</f>
        <v>0</v>
      </c>
      <c r="GB42" s="54" t="str">
        <f t="shared" ref="GB42" si="231">IFERROR(FZ42/$FY42,"-")</f>
        <v>-</v>
      </c>
      <c r="GC42" s="54" t="str">
        <f t="shared" ref="GC42" si="232">IFERROR(GA42/$FY42,"-")</f>
        <v>-</v>
      </c>
      <c r="GD42" s="8">
        <f t="shared" ref="GD42" si="233">SUM(GE42:GG42)</f>
        <v>0</v>
      </c>
      <c r="GE42" s="8">
        <f>COUNTIFS('Raw data'!$D:$D,"*Joshua Harrup*", 'Raw data'!$L:$L,"*On Target*")</f>
        <v>0</v>
      </c>
      <c r="GF42" s="8">
        <f>COUNTIFS('Raw data'!$D:$D,"*Joshua Harrup*", 'Raw data'!$L:$L,"*Off Target*")</f>
        <v>0</v>
      </c>
      <c r="GG42" s="8">
        <f>COUNTIFS('Raw data'!$D:$D,"*Joshua Harrup*", 'Raw data'!$L:$L,"*Blocked*")</f>
        <v>0</v>
      </c>
      <c r="GH42" s="8">
        <f>COUNTIFS('Raw data'!$D:$D,"*Joshua Harrup*", 'Raw data'!$M:$M,"*Goal*")</f>
        <v>0</v>
      </c>
      <c r="GI42" s="8">
        <f>COUNTIFS('Raw data'!$D:$D,"*Joshua Harrup*", 'Raw data'!$M:$M,"*Assist*")</f>
        <v>1</v>
      </c>
      <c r="GJ42" s="8">
        <f>COUNTIFS('Raw data'!$D:$D,"*Joshua Harrup*", 'Raw data'!$H:$H,"*Offensive duel*")</f>
        <v>0</v>
      </c>
      <c r="GK42" s="8">
        <f>COUNTIFS('Raw data'!$D:$D,"*Joshua Harrup*", 'Raw data'!$H:$H,"*Offensive Duel*",'Raw data'!$H:$H,"*Offensive Duel*",'Raw data'!$M:$M,"*Kept Possession*")</f>
        <v>0</v>
      </c>
      <c r="GL42" s="8">
        <f>COUNTIFS('Raw data'!$D:$D,"*Joshua Harrup*", 'Raw data'!$H:$H,"*Offensive Duel*",'Raw data'!$H:$H,"*Offensive Duel*",'Raw data'!$M:$M,"*Lost Possession*")</f>
        <v>0</v>
      </c>
      <c r="GM42" s="54" t="str">
        <f t="shared" ref="GM42" si="234">IFERROR(GK42/$GJ42,"-")</f>
        <v>-</v>
      </c>
      <c r="GN42" s="54" t="str">
        <f t="shared" ref="GN42" si="235">IFERROR(GL42/$GJ42,"-")</f>
        <v>-</v>
      </c>
      <c r="GO42" s="8">
        <f>COUNTIFS('Raw data'!$D:$D,"*Joshua Harrup*", 'Raw data'!$H:$H,"*Acceleration*")</f>
        <v>1</v>
      </c>
      <c r="GP42" s="8">
        <f>COUNTIFS('Raw data'!$D:$D,"*Joshua Harrup*", 'Raw data'!$H:$H,"*Move into Pocket*")</f>
        <v>0</v>
      </c>
      <c r="GQ42" s="8">
        <f>COUNTIFS('Raw data'!$D:$D,"*Joshua Harrup*", 'Raw data'!$H:$H,"*Wide area*")</f>
        <v>0</v>
      </c>
      <c r="GR42" s="8">
        <f>COUNTIFS('Raw data'!$D:$D,"*Joshua Harrup*", 'Raw data'!$H:$H,"*Back to goal*")</f>
        <v>0</v>
      </c>
      <c r="GS42" s="8">
        <f>COUNTIFS('Raw data'!$D:$D,"*Joshua Harrup*", 'Raw data'!$H:$H,"*Over/Underlaps*")</f>
        <v>0</v>
      </c>
      <c r="GT42" s="8">
        <f>COUNTIFS('Raw data'!$D:$D,"*Joshua Harrup*", 'Raw data'!$H:$H,"*Runs in Behind*")</f>
        <v>0</v>
      </c>
      <c r="GU42" s="8">
        <f>COUNTIFS('Raw data'!$D:$D,"*Joshua Harrup*", 'Raw data'!$H:$H,"*Half-space Runs*")</f>
        <v>0</v>
      </c>
      <c r="GV42" s="8">
        <f t="shared" ref="GV42" si="236">SUM(GJ42,HA42,HF42)</f>
        <v>0</v>
      </c>
      <c r="GW42" s="8">
        <f t="shared" ref="GW42" si="237">SUM(GK42,HB42,HG42)</f>
        <v>0</v>
      </c>
      <c r="GX42" s="8">
        <f t="shared" ref="GX42" si="238">SUM(GL42,HC42,HH42)</f>
        <v>0</v>
      </c>
      <c r="GY42" s="54" t="str">
        <f t="shared" ref="GY42" si="239">IFERROR(GW42/$GV42,"-")</f>
        <v>-</v>
      </c>
      <c r="GZ42" s="54" t="str">
        <f t="shared" ref="GZ42" si="240">IFERROR(GX42/$GV42,"-")</f>
        <v>-</v>
      </c>
      <c r="HA42" s="8">
        <f>COUNTIFS('Raw data'!$D:$D,"*Joshua Harrup*", 'Raw data'!$K:$K,"*Ground duel*")</f>
        <v>0</v>
      </c>
      <c r="HB42" s="8">
        <f>COUNTIFS('Raw data'!$D:$D,"*Joshua Harrup*", 'Raw data'!$K:$K,"*Ground duel*",'Raw data'!$M:$M,"*Duel Succeeded*")</f>
        <v>0</v>
      </c>
      <c r="HC42" s="8">
        <f>COUNTIFS('Raw data'!$D:$D,"*Joshua Harrup*", 'Raw data'!$K:$K,"*Ground duel*",'Raw data'!$M:$M,"*Duel Unsucceeded*")</f>
        <v>0</v>
      </c>
      <c r="HD42" s="54" t="str">
        <f t="shared" ref="HD42" si="241">IFERROR(HB42/$HA42,"-")</f>
        <v>-</v>
      </c>
      <c r="HE42" s="54" t="str">
        <f t="shared" ref="HE42" si="242">IFERROR(HC42/$HA42,"-")</f>
        <v>-</v>
      </c>
      <c r="HF42" s="8">
        <f>COUNTIFS('Raw data'!$D:$D,"*Joshua Harrup*", 'Raw data'!$K:$K,"*Aerial duel*")</f>
        <v>0</v>
      </c>
      <c r="HG42" s="8">
        <f>COUNTIFS('Raw data'!$D:$D,"*Joshua Harrup*", 'Raw data'!$K:$K,"*Aerial duel*",'Raw data'!$M:$M,"*Duel Succeeded*")</f>
        <v>0</v>
      </c>
      <c r="HH42" s="8">
        <f>COUNTIFS('Raw data'!$D:$D,"*Joshua Harrup*", 'Raw data'!$K:$K,"*Aerial duel*",'Raw data'!$M:$M,"*Duel Unsucceeded*")</f>
        <v>0</v>
      </c>
      <c r="HI42" s="54" t="str">
        <f t="shared" ref="HI42" si="243">IFERROR(HG42/$HG42,"-")</f>
        <v>-</v>
      </c>
      <c r="HJ42" s="54" t="str">
        <f t="shared" ref="HJ42" si="244">IFERROR(HH42/$HG42,"-")</f>
        <v>-</v>
      </c>
      <c r="HK42" s="8">
        <f>COUNTIFS('Raw data'!$D:$D,"*Joshua Harrup*", 'Raw data'!$K:$K,"*1v1 defense*")</f>
        <v>0</v>
      </c>
      <c r="HL42" s="8">
        <f>COUNTIFS('Raw data'!$D:$D,"*Joshua Harrup*", 'Raw data'!$K:$K,"*1v1 defense*",'Raw data'!$M:$M,"*Duel Succeeded*")</f>
        <v>0</v>
      </c>
      <c r="HM42" s="8">
        <f>COUNTIFS('Raw data'!$D:$D,"*Joshua Harrup*", 'Raw data'!$K:$K,"*1v1 defense*",'Raw data'!$M:$M,"*Duel Unsucceeded*")</f>
        <v>0</v>
      </c>
      <c r="HN42" s="54" t="str">
        <f t="shared" ref="HN42" si="245">IFERROR(HL42/$HK42,"-")</f>
        <v>-</v>
      </c>
      <c r="HO42" s="54" t="str">
        <f t="shared" ref="HO42" si="246">IFERROR(HM42/$HK42,"-")</f>
        <v>-</v>
      </c>
      <c r="HP42" s="8">
        <f>COUNTIFS('Raw data'!$D:$D,"*Joshua Harrup*", 'Raw data'!$J:$J,"*Tackles*")</f>
        <v>0</v>
      </c>
      <c r="HQ42" s="8">
        <f>COUNTIFS('Raw data'!$D:$D,"*Joshua Harrup*", 'Raw data'!$J:$J,"*Tackles*", 'Raw data'!$M:$M,"*Duel Succeeded*")</f>
        <v>0</v>
      </c>
      <c r="HR42" s="8">
        <f>COUNTIFS('Raw data'!$D:$D,"*Joshua Harrup*", 'Raw data'!$J:$J,"*Tackles*", 'Raw data'!$M:$M,"*Duel Unsucceeded*")</f>
        <v>0</v>
      </c>
      <c r="HS42" s="54" t="str">
        <f t="shared" ref="HS42" si="247">IFERROR(HQ42/$HP42,"-")</f>
        <v>-</v>
      </c>
      <c r="HT42" s="54" t="str">
        <f t="shared" ref="HT42" si="248">IFERROR(HR42/$HP42,"-")</f>
        <v>-</v>
      </c>
      <c r="HU42" s="8">
        <f>COUNTIFS('Raw data'!$D:$D,"*Joshua Harrup*", 'Raw data'!$K:$K,"*2nd Balls*")</f>
        <v>0</v>
      </c>
      <c r="HV42" s="8">
        <f>COUNTIFS('Raw data'!$D:$D,"*Joshua Harrup*", 'Raw data'!$K:$K,"*2nd Balls*", 'Raw data'!$M:$M,"*Duel Succeeded*")</f>
        <v>0</v>
      </c>
      <c r="HW42" s="8">
        <f>COUNTIFS('Raw data'!$D:$D,"*Joshua Harrup*", 'Raw data'!$K:$K,"*2nd Balls*", 'Raw data'!$M:$M,"*Duel Unsucceeded*")</f>
        <v>0</v>
      </c>
      <c r="HX42" s="54" t="str">
        <f t="shared" ref="HX42" si="249">IFERROR(HV42/$HU42,"-")</f>
        <v>-</v>
      </c>
      <c r="HY42" s="54" t="str">
        <f t="shared" ref="HY42" si="250">IFERROR(HW42/$HU42,"-")</f>
        <v>-</v>
      </c>
      <c r="HZ42" s="8">
        <f>COUNTIFS('Raw data'!$D:$D,"*Joshua Harrup*", 'Raw data'!$J:$J,"*Clearance*")</f>
        <v>0</v>
      </c>
      <c r="IA42" s="8">
        <f>COUNTIFS('Raw data'!$D:$D,"*Joshua Harrup*", 'Raw data'!$J:$J,"*Interception*")</f>
        <v>0</v>
      </c>
      <c r="IB42" s="8">
        <f>COUNTIFS('Raw data'!$D:$D,"*Joshua Harrup*", 'Raw data'!$J:$J,"*Turnover Won*")</f>
        <v>0</v>
      </c>
      <c r="IC42" s="8">
        <f>COUNTIFS('Raw data'!$D:$D,"*Joshua Harrup*", 'Raw data'!$J:$J,"*Recovery*")</f>
        <v>0</v>
      </c>
      <c r="ID42" s="8">
        <f>COUNTIFS('Raw data'!$D:$D,"*Joshua Harrup*", 'Raw data'!$J:$J,"*Blocked Shots*")</f>
        <v>0</v>
      </c>
      <c r="IE42" s="8">
        <f>COUNTIFS('Raw data'!$D:$D,"*Joshua Harrup*", 'Raw data'!$J:$J,"*Man-marking*")</f>
        <v>0</v>
      </c>
      <c r="IF42" s="8">
        <f>COUNTIFS('Raw data'!$D:$D,"*Joshua Harrup*", 'Raw data'!$J:$J,"*Fouls*")</f>
        <v>0</v>
      </c>
      <c r="IG42" s="8">
        <f>COUNTIFS('Raw data'!$D:$D,"*Joshua Harrup*", 'Raw data'!$J:$J,"*Won F*")</f>
        <v>0</v>
      </c>
      <c r="IH42" s="8">
        <f>COUNTIFS('Raw data'!$D:$D,"*Joshua Harrup*", 'Raw data'!$G:$G,"*1v1*")</f>
        <v>2</v>
      </c>
      <c r="II42" s="8">
        <f>COUNTIFS('Raw data'!$D:$D,"*Joshua Harrup*", 'Raw data'!$G:$G,"*On Target*")</f>
        <v>10</v>
      </c>
      <c r="IJ42" s="8">
        <f>COUNTIFS('Raw data'!$D:$D,"*Joshua Harrup*", 'Raw data'!$G:$G,"*Off Target*")</f>
        <v>7</v>
      </c>
      <c r="IK42" s="8">
        <f>COUNTIFS('Raw data'!$D:$D,"*Joshua Harrup*", 'Raw data'!$G:$G,"*Defend the Space*")</f>
        <v>4</v>
      </c>
      <c r="IL42" s="8">
        <f>COUNTIFS('Raw data'!$D:$D,"*Joshua Harrup*", 'Raw data'!$G:$G,"*Conceded*")</f>
        <v>4</v>
      </c>
      <c r="IM42" s="8">
        <f>COUNTIFS('Raw data'!$D:$D,"*Joshua Harrup*", 'Raw data'!$G:$G,"*Save*")</f>
        <v>3</v>
      </c>
      <c r="IN42" s="8">
        <f>COUNTIFS('Raw data'!$D:$D,"*Joshua Harrup*", 'Raw data'!$G:$G,"*Defend the line (Cross)*")</f>
        <v>3</v>
      </c>
      <c r="IO42" s="8">
        <f>COUNTIFS('Raw data'!$D:$D,"*Joshua Harrup*", 'Raw data'!$G:$G,"*Counter Kick*")</f>
        <v>2</v>
      </c>
      <c r="IP42" t="s">
        <v>638</v>
      </c>
    </row>
    <row r="43" spans="3:250">
      <c r="DW43" t="s">
        <v>500</v>
      </c>
      <c r="DX43" t="s">
        <v>636</v>
      </c>
      <c r="DY43">
        <v>80</v>
      </c>
      <c r="DZ43" t="s">
        <v>153</v>
      </c>
      <c r="EA43">
        <f t="shared" ref="EA43" si="251">EB43+EC43</f>
        <v>39</v>
      </c>
      <c r="EB43" s="8">
        <f t="shared" ref="EB43" si="252">EG43+EL43+EQ43</f>
        <v>35</v>
      </c>
      <c r="EC43" s="8">
        <f t="shared" ref="EC43" si="253">EH43+EM43+ER43</f>
        <v>4</v>
      </c>
      <c r="ED43" s="54">
        <f t="shared" ref="ED43" si="254">IFERROR(EB43/$EA43,"-")</f>
        <v>0.89743589743589747</v>
      </c>
      <c r="EE43" s="54">
        <f t="shared" ref="EE43" si="255">IFERROR(EC43/$EA43,"-")</f>
        <v>0.10256410256410256</v>
      </c>
      <c r="EF43">
        <f t="shared" ref="EF43" si="256">EG43+EH43</f>
        <v>18</v>
      </c>
      <c r="EG43">
        <f>COUNTIFS('Raw data'!$D:$D,"*Joshua Laotan*", 'Raw data'!$I:$I,"*Forward Pass*",'Raw data'!$M:$M,"*Pass completed*")</f>
        <v>14</v>
      </c>
      <c r="EH43">
        <f>COUNTIFS('Raw data'!$D:$D,"*Joshua Laotan*", 'Raw data'!$I:$I,"*Forward Pass*",'Raw data'!$M:$M,"*Pass Uncompleted*")</f>
        <v>4</v>
      </c>
      <c r="EI43" s="54">
        <f t="shared" ref="EI43" si="257">IFERROR(EG43/$EF43,"-")</f>
        <v>0.77777777777777779</v>
      </c>
      <c r="EJ43" s="54">
        <f t="shared" ref="EJ43" si="258">IFERROR(EH43/$EF43,"-")</f>
        <v>0.22222222222222221</v>
      </c>
      <c r="EK43">
        <f t="shared" ref="EK43" si="259">EL43+EM43</f>
        <v>10</v>
      </c>
      <c r="EL43" s="8">
        <f>COUNTIFS('Raw data'!$D:$D,"*Joshua Laotan*", 'Raw data'!$I:$I,"*Lateral Pass*",'Raw data'!$M:$M,"*Pass completed*")</f>
        <v>10</v>
      </c>
      <c r="EM43" s="8">
        <f>COUNTIFS('Raw data'!$D:$D,"*Joshua Laotan*", 'Raw data'!$I:$I,"*Lateral Pass*",'Raw data'!$M:$M,"*Pass Uncompleted*")</f>
        <v>0</v>
      </c>
      <c r="EN43" s="54">
        <f t="shared" ref="EN43" si="260">IFERROR(EL43/$EK43,"-")</f>
        <v>1</v>
      </c>
      <c r="EO43" s="54">
        <f t="shared" ref="EO43" si="261">IFERROR(EM43/$EK43,"-")</f>
        <v>0</v>
      </c>
      <c r="EP43">
        <f t="shared" ref="EP43" si="262">EQ43+ER43</f>
        <v>11</v>
      </c>
      <c r="EQ43" s="8">
        <f>COUNTIFS('Raw data'!$D:$D,"*Joshua Laotan*", 'Raw data'!$I:$I,"*Backward Pass*",'Raw data'!$M:$M,"*Pass completed*")</f>
        <v>11</v>
      </c>
      <c r="ER43" s="8">
        <f>COUNTIFS('Raw data'!$D:$D,"*Joshua Laotan*", 'Raw data'!$I:$I,"*Backward Pass*",'Raw data'!$M:$M,"*Pass Uncompleted*")</f>
        <v>0</v>
      </c>
      <c r="ES43" s="54">
        <f t="shared" ref="ES43" si="263">IFERROR(EQ43/$EQ43,"-")</f>
        <v>1</v>
      </c>
      <c r="ET43" s="54">
        <f t="shared" ref="ET43" si="264">IFERROR(ER43/$EQ43,"-")</f>
        <v>0</v>
      </c>
      <c r="EU43" s="8">
        <f>COUNTIFS('Raw data'!$D:$D,"*Joshua Laotan*", 'Raw data'!$I:$I,"*Long Kick*")</f>
        <v>3</v>
      </c>
      <c r="EV43" s="8">
        <f>COUNTIFS('Raw data'!$D:$D,"*Joshua Laotan*", 'Raw data'!$I:$I,"*Long Kick*",'Raw data'!$M:$M,"*Pass completed*")</f>
        <v>2</v>
      </c>
      <c r="EW43" s="8">
        <f>COUNTIFS('Raw data'!$D:$D,"*Joshua Laotan*", 'Raw data'!$I:$I,"*Long Kick*",'Raw data'!$M:$M,"*Pass Uncompleted*")</f>
        <v>1</v>
      </c>
      <c r="EX43" s="54">
        <f t="shared" ref="EX43" si="265">IFERROR(EV43/$EU43,"-")</f>
        <v>0.66666666666666663</v>
      </c>
      <c r="EY43" s="54">
        <f t="shared" ref="EY43" si="266">IFERROR(EW43/$EU43,"-")</f>
        <v>0.33333333333333331</v>
      </c>
      <c r="EZ43" s="8">
        <f>COUNTIFS('Raw data'!$D:$D,"*Joshua Laotan*", 'Raw data'!$I:$I,"*Balls in Behind*")</f>
        <v>2</v>
      </c>
      <c r="FA43" s="8">
        <f>COUNTIFS('Raw data'!$D:$D,"*Joshua Laotan*", 'Raw data'!$I:$I,"*Balls in Behind*",'Raw data'!$M:$M,"*Pass completed*")</f>
        <v>1</v>
      </c>
      <c r="FB43" s="8">
        <f>COUNTIFS('Raw data'!$D:$D,"*Joshua Laotan*", 'Raw data'!$I:$I,"*Balls in Behind*",'Raw data'!$M:$M,"*Pass Uncompleted*")</f>
        <v>1</v>
      </c>
      <c r="FC43" s="54">
        <f t="shared" ref="FC43" si="267">IFERROR(FA43/$EZ43,"-")</f>
        <v>0.5</v>
      </c>
      <c r="FD43" s="54">
        <f t="shared" ref="FD43" si="268">IFERROR(FB43/$EZ43,"-")</f>
        <v>0.5</v>
      </c>
      <c r="FE43" s="8">
        <f>COUNTIFS('Raw data'!$D:$D,"*Joshua Laotan*", 'Raw data'!$I:$I,"*Key/Through pass*")</f>
        <v>1</v>
      </c>
      <c r="FF43" s="8">
        <f>COUNTIFS('Raw data'!$D:$D,"*Joshua Laotan*", 'Raw data'!$I:$I,"*Diagonal pass*")</f>
        <v>0</v>
      </c>
      <c r="FG43" s="8">
        <f>COUNTIFS('Raw data'!$D:$D,"*Joshua Laotan*", 'Raw data'!$I:$I,"*Diagonal pass*",'Raw data'!$M:$M,"*Pass completed*")</f>
        <v>0</v>
      </c>
      <c r="FH43" s="8">
        <f>COUNTIFS('Raw data'!$D:$D,"*Joshua Laotan*", 'Raw data'!$I:$I,"*Diagonal pass*",'Raw data'!$M:$M,"*Pass Uncompleted*")</f>
        <v>0</v>
      </c>
      <c r="FI43" s="54" t="str">
        <f t="shared" ref="FI43" si="269">IFERROR(FG43/$FF43,"-")</f>
        <v>-</v>
      </c>
      <c r="FJ43" s="54" t="str">
        <f t="shared" ref="FJ43" si="270">IFERROR(FH43/$FF43,"-")</f>
        <v>-</v>
      </c>
      <c r="FK43" s="8">
        <f>COUNTIFS('Raw data'!$D:$D,"*Joshua Laotan*", 'Raw data'!$M:$M,"*Pass Received*")</f>
        <v>24</v>
      </c>
      <c r="FL43" s="8">
        <f>COUNTIFS('Raw data'!$D:$D,"*Joshua Laotan*", 'Raw data'!$M:$M,"*Pass Completed*",'Raw data'!$M:$M,"*Pass Received*")</f>
        <v>20</v>
      </c>
      <c r="FM43" s="8">
        <f>COUNTIFS('Raw data'!$D:$D,"*Joshua Laotan*", 'Raw data'!$M:$M,"*Pass Uncompleted*",'Raw data'!$M:$M,"*Pass Received*")</f>
        <v>3</v>
      </c>
      <c r="FN43" s="8">
        <f>COUNTIFS('Raw data'!$D:$D,"*Joshua Laotan*", 'Raw data'!$M:$M,"*Kept Possession*",'Raw data'!$M:$M,"*Pass Received*")</f>
        <v>2</v>
      </c>
      <c r="FO43" s="8">
        <f>COUNTIFS('Raw data'!$D:$D,"*Joshua Laotan*", 'Raw data'!$M:$M,"*Lost Possession*")</f>
        <v>1</v>
      </c>
      <c r="FP43" s="8">
        <f>COUNTIFS('Raw data'!$D:$D,"*Joshua Laotan*", 'Raw data'!$M:$M,"*Lost Possession*",'Raw data'!$M:$M,"*Lost Final 1/3*")</f>
        <v>0</v>
      </c>
      <c r="FQ43" s="8">
        <f>COUNTIFS('Raw data'!$D:$D,"*Joshua Laotan*", 'Raw data'!$M:$M,"*Lost Possession*",'Raw data'!$M:$M,"*Lost Middle 1/3*")</f>
        <v>1</v>
      </c>
      <c r="FR43" s="8">
        <f>COUNTIFS('Raw data'!$D:$D,"*Joshua Laotan*", 'Raw data'!$M:$M,"*Lost Possession*",'Raw data'!$M:$M,"*Lost Own 1/3*")</f>
        <v>0</v>
      </c>
      <c r="FS43" s="8">
        <f>COUNTIFS('Raw data'!$D:$D,"*Joshua Laotan*", 'Raw data'!$H:$H,"*Touches in the Box*")</f>
        <v>0</v>
      </c>
      <c r="FT43" s="8">
        <f>COUNTIFS('Raw data'!$D:$D,"*Joshua Laotan*", 'Raw data'!$H:$H,"*1v1 Attack*")</f>
        <v>2</v>
      </c>
      <c r="FU43" s="8">
        <f>COUNTIFS('Raw data'!$D:$D,"*Joshua Laotan*", 'Raw data'!$H:$H,"*1v1 Attack*",'Raw data'!$H:$H,"*1v1 Attack*",'Raw data'!$M:$M,"*Kept Possession*")</f>
        <v>2</v>
      </c>
      <c r="FV43" s="8">
        <f>COUNTIFS('Raw data'!$D:$D,"*Joshua Laotan*", 'Raw data'!$H:$H,"*1v1 Attack*",'Raw data'!$H:$H,"*1v1 Attack*",'Raw data'!$M:$M,"*Lost Possession*")</f>
        <v>0</v>
      </c>
      <c r="FW43" s="54">
        <f t="shared" ref="FW43" si="271">IFERROR(FU43/$FT43,"-")</f>
        <v>1</v>
      </c>
      <c r="FX43" s="54">
        <f t="shared" ref="FX43" si="272">IFERROR(FV43/$FT43,"-")</f>
        <v>0</v>
      </c>
      <c r="FY43" s="8">
        <f>COUNTIFS('Raw data'!$D:$D,"*Joshua Laotan*", 'Raw data'!$I:$I,"*Cross*")</f>
        <v>0</v>
      </c>
      <c r="FZ43" s="8">
        <f>COUNTIFS('Raw data'!$D:$D,"*Joshua Laotan*", 'Raw data'!$I:$I,"*Cross*",'Raw data'!$M:$M,"*Pass Completed*")</f>
        <v>0</v>
      </c>
      <c r="GA43" s="8">
        <f>COUNTIFS('Raw data'!$D:$D,"*Joshua Laotan*", 'Raw data'!$I:$I,"*Cross*",'Raw data'!$M:$M,"*Pass Uncompleted*")</f>
        <v>0</v>
      </c>
      <c r="GB43" s="54" t="str">
        <f t="shared" ref="GB43" si="273">IFERROR(FZ43/$FY43,"-")</f>
        <v>-</v>
      </c>
      <c r="GC43" s="54" t="str">
        <f t="shared" ref="GC43" si="274">IFERROR(GA43/$FY43,"-")</f>
        <v>-</v>
      </c>
      <c r="GD43" s="8">
        <f t="shared" ref="GD43" si="275">SUM(GE43:GG43)</f>
        <v>0</v>
      </c>
      <c r="GE43" s="8">
        <f>COUNTIFS('Raw data'!$D:$D,"*Joshua Laotan*", 'Raw data'!$L:$L,"*On Target*")</f>
        <v>0</v>
      </c>
      <c r="GF43" s="8">
        <f>COUNTIFS('Raw data'!$D:$D,"*Joshua Laotan*", 'Raw data'!$L:$L,"*Off Target*")</f>
        <v>0</v>
      </c>
      <c r="GG43" s="8">
        <f>COUNTIFS('Raw data'!$D:$D,"*Joshua Laotan*", 'Raw data'!$L:$L,"*Blocked*")</f>
        <v>0</v>
      </c>
      <c r="GH43" s="8">
        <f>COUNTIFS('Raw data'!$D:$D,"*Joshua Laotan*", 'Raw data'!$M:$M,"*Goal*")</f>
        <v>0</v>
      </c>
      <c r="GI43" s="8">
        <f>COUNTIFS('Raw data'!$D:$D,"*Joshua Laotan*", 'Raw data'!$M:$M,"*Assist*")</f>
        <v>0</v>
      </c>
      <c r="GJ43" s="8">
        <f>COUNTIFS('Raw data'!$D:$D,"*Joshua Laotan*", 'Raw data'!$H:$H,"*Offensive duel*")</f>
        <v>1</v>
      </c>
      <c r="GK43" s="8">
        <f>COUNTIFS('Raw data'!$D:$D,"*Joshua Laotan*", 'Raw data'!$H:$H,"*Offensive Duel*",'Raw data'!$H:$H,"*Offensive Duel*",'Raw data'!$M:$M,"*Kept Possession*")</f>
        <v>1</v>
      </c>
      <c r="GL43" s="8">
        <f>COUNTIFS('Raw data'!$D:$D,"*Joshua Laotan*", 'Raw data'!$H:$H,"*Offensive Duel*",'Raw data'!$H:$H,"*Offensive Duel*",'Raw data'!$M:$M,"*Lost Possession*")</f>
        <v>0</v>
      </c>
      <c r="GM43" s="54">
        <f t="shared" ref="GM43" si="276">IFERROR(GK43/$GJ43,"-")</f>
        <v>1</v>
      </c>
      <c r="GN43" s="54">
        <f t="shared" ref="GN43" si="277">IFERROR(GL43/$GJ43,"-")</f>
        <v>0</v>
      </c>
      <c r="GO43" s="8">
        <f>COUNTIFS('Raw data'!$D:$D,"*Joshua Laotan*", 'Raw data'!$H:$H,"*Acceleration*")</f>
        <v>7</v>
      </c>
      <c r="GP43" s="8">
        <f>COUNTIFS('Raw data'!$D:$D,"*Joshua Laotan*", 'Raw data'!$H:$H,"*Move into Pocket*")</f>
        <v>1</v>
      </c>
      <c r="GQ43" s="8">
        <f>COUNTIFS('Raw data'!$D:$D,"*Joshua Laotan*", 'Raw data'!$H:$H,"*Wide area*")</f>
        <v>5</v>
      </c>
      <c r="GR43" s="8">
        <f>COUNTIFS('Raw data'!$D:$D,"*Joshua Laotan*", 'Raw data'!$H:$H,"*Back to goal*")</f>
        <v>0</v>
      </c>
      <c r="GS43" s="8">
        <f>COUNTIFS('Raw data'!$D:$D,"*Joshua Laotan*", 'Raw data'!$H:$H,"*Over/Underlaps*")</f>
        <v>0</v>
      </c>
      <c r="GT43" s="8">
        <f>COUNTIFS('Raw data'!$D:$D,"*Joshua Laotan*", 'Raw data'!$H:$H,"*Runs in Behind*")</f>
        <v>0</v>
      </c>
      <c r="GU43" s="8">
        <f>COUNTIFS('Raw data'!$D:$D,"*Joshua Laotan*", 'Raw data'!$H:$H,"*Half-space Runs*")</f>
        <v>0</v>
      </c>
      <c r="GV43" s="8">
        <f t="shared" ref="GV43" si="278">SUM(GJ43,HA43,HF43)</f>
        <v>5</v>
      </c>
      <c r="GW43" s="8">
        <f t="shared" ref="GW43" si="279">SUM(GK43,HB43,HG43)</f>
        <v>5</v>
      </c>
      <c r="GX43" s="8">
        <f t="shared" ref="GX43" si="280">SUM(GL43,HC43,HH43)</f>
        <v>0</v>
      </c>
      <c r="GY43" s="54">
        <f t="shared" ref="GY43" si="281">IFERROR(GW43/$GV43,"-")</f>
        <v>1</v>
      </c>
      <c r="GZ43" s="54">
        <f t="shared" ref="GZ43" si="282">IFERROR(GX43/$GV43,"-")</f>
        <v>0</v>
      </c>
      <c r="HA43" s="8">
        <f>COUNTIFS('Raw data'!$D:$D,"*Joshua Laotan*", 'Raw data'!$K:$K,"*Ground duel*")</f>
        <v>1</v>
      </c>
      <c r="HB43" s="8">
        <f>COUNTIFS('Raw data'!$D:$D,"*Joshua Laotan*", 'Raw data'!$K:$K,"*Ground duel*",'Raw data'!$M:$M,"*Duel Succeeded*")</f>
        <v>1</v>
      </c>
      <c r="HC43" s="8">
        <f>COUNTIFS('Raw data'!$D:$D,"*Joshua Laotan*", 'Raw data'!$K:$K,"*Ground duel*",'Raw data'!$M:$M,"*Duel Unsucceeded*")</f>
        <v>0</v>
      </c>
      <c r="HD43" s="54">
        <f t="shared" ref="HD43" si="283">IFERROR(HB43/$HA43,"-")</f>
        <v>1</v>
      </c>
      <c r="HE43" s="54">
        <f t="shared" ref="HE43" si="284">IFERROR(HC43/$HA43,"-")</f>
        <v>0</v>
      </c>
      <c r="HF43" s="8">
        <f>COUNTIFS('Raw data'!$D:$D,"*Joshua Laotan*", 'Raw data'!$K:$K,"*Aerial duel*")</f>
        <v>3</v>
      </c>
      <c r="HG43" s="8">
        <f>COUNTIFS('Raw data'!$D:$D,"*Joshua Laotan*", 'Raw data'!$K:$K,"*Aerial duel*",'Raw data'!$M:$M,"*Duel Succeeded*")</f>
        <v>3</v>
      </c>
      <c r="HH43" s="8">
        <f>COUNTIFS('Raw data'!$D:$D,"*Joshua Laotan*", 'Raw data'!$K:$K,"*Aerial duel*",'Raw data'!$M:$M,"*Duel Unsucceeded*")</f>
        <v>0</v>
      </c>
      <c r="HI43" s="54">
        <f t="shared" ref="HI43" si="285">IFERROR(HG43/$HG43,"-")</f>
        <v>1</v>
      </c>
      <c r="HJ43" s="54">
        <f t="shared" ref="HJ43" si="286">IFERROR(HH43/$HG43,"-")</f>
        <v>0</v>
      </c>
      <c r="HK43" s="8">
        <f>COUNTIFS('Raw data'!$D:$D,"*Joshua Laotan*", 'Raw data'!$K:$K,"*1v1 defense*")</f>
        <v>1</v>
      </c>
      <c r="HL43" s="8">
        <f>COUNTIFS('Raw data'!$D:$D,"*Joshua Laotan*", 'Raw data'!$K:$K,"*1v1 defense*",'Raw data'!$M:$M,"*Duel Succeeded*")</f>
        <v>1</v>
      </c>
      <c r="HM43" s="8">
        <f>COUNTIFS('Raw data'!$D:$D,"*Joshua Laotan*", 'Raw data'!$K:$K,"*1v1 defense*",'Raw data'!$M:$M,"*Duel Unsucceeded*")</f>
        <v>0</v>
      </c>
      <c r="HN43" s="54">
        <f t="shared" ref="HN43" si="287">IFERROR(HL43/$HK43,"-")</f>
        <v>1</v>
      </c>
      <c r="HO43" s="54">
        <f t="shared" ref="HO43" si="288">IFERROR(HM43/$HK43,"-")</f>
        <v>0</v>
      </c>
      <c r="HP43" s="8">
        <f>COUNTIFS('Raw data'!$D:$D,"*Joshua Laotan*", 'Raw data'!$J:$J,"*Tackles*")</f>
        <v>1</v>
      </c>
      <c r="HQ43" s="8">
        <f>COUNTIFS('Raw data'!$D:$D,"*Joshua Laotan*", 'Raw data'!$J:$J,"*Tackles*", 'Raw data'!$M:$M,"*Duel Succeeded*")</f>
        <v>1</v>
      </c>
      <c r="HR43" s="8">
        <f>COUNTIFS('Raw data'!$D:$D,"*Joshua Laotan*", 'Raw data'!$J:$J,"*Tackles*", 'Raw data'!$M:$M,"*Duel Unsucceeded*")</f>
        <v>0</v>
      </c>
      <c r="HS43" s="54">
        <f t="shared" ref="HS43" si="289">IFERROR(HQ43/$HP43,"-")</f>
        <v>1</v>
      </c>
      <c r="HT43" s="54">
        <f t="shared" ref="HT43" si="290">IFERROR(HR43/$HP43,"-")</f>
        <v>0</v>
      </c>
      <c r="HU43" s="8">
        <f>COUNTIFS('Raw data'!$D:$D,"*Joshua Laotan*", 'Raw data'!$K:$K,"*2nd Balls*")</f>
        <v>0</v>
      </c>
      <c r="HV43" s="8">
        <f>COUNTIFS('Raw data'!$D:$D,"*Joshua Laotan*", 'Raw data'!$K:$K,"*2nd Balls*", 'Raw data'!$M:$M,"*Duel Succeeded*")</f>
        <v>0</v>
      </c>
      <c r="HW43" s="8">
        <f>COUNTIFS('Raw data'!$D:$D,"*Joshua Laotan*", 'Raw data'!$K:$K,"*2nd Balls*", 'Raw data'!$M:$M,"*Duel Unsucceeded*")</f>
        <v>0</v>
      </c>
      <c r="HX43" s="54" t="str">
        <f t="shared" ref="HX43" si="291">IFERROR(HV43/$HU43,"-")</f>
        <v>-</v>
      </c>
      <c r="HY43" s="54" t="str">
        <f t="shared" ref="HY43" si="292">IFERROR(HW43/$HU43,"-")</f>
        <v>-</v>
      </c>
      <c r="HZ43" s="8">
        <f>COUNTIFS('Raw data'!$D:$D,"*Joshua Laotan*", 'Raw data'!$J:$J,"*Clearance*")</f>
        <v>4</v>
      </c>
      <c r="IA43" s="8">
        <f>COUNTIFS('Raw data'!$D:$D,"*Joshua Laotan*", 'Raw data'!$J:$J,"*Interception*")</f>
        <v>1</v>
      </c>
      <c r="IB43" s="8">
        <f>COUNTIFS('Raw data'!$D:$D,"*Joshua Laotan*", 'Raw data'!$J:$J,"*Turnover Won*")</f>
        <v>4</v>
      </c>
      <c r="IC43" s="8">
        <f>COUNTIFS('Raw data'!$D:$D,"*Joshua Laotan*", 'Raw data'!$J:$J,"*Recovery*")</f>
        <v>2</v>
      </c>
      <c r="ID43" s="8">
        <f>COUNTIFS('Raw data'!$D:$D,"*Joshua Laotan*", 'Raw data'!$J:$J,"*Blocked Shots*")</f>
        <v>1</v>
      </c>
      <c r="IE43" s="8">
        <f>COUNTIFS('Raw data'!$D:$D,"*Joshua Laotan*", 'Raw data'!$J:$J,"*Man-marking*")</f>
        <v>1</v>
      </c>
      <c r="IF43" s="8">
        <f>COUNTIFS('Raw data'!$D:$D,"*Joshua Laotan*", 'Raw data'!$J:$J,"*Fouls*")</f>
        <v>0</v>
      </c>
      <c r="IG43" s="8">
        <f>COUNTIFS('Raw data'!$D:$D,"*Joshua Laotan*", 'Raw data'!$J:$J,"*Won F*")</f>
        <v>0</v>
      </c>
      <c r="IH43" s="8">
        <f>COUNTIFS('Raw data'!$D:$D,"*Joshua Laotan*", 'Raw data'!$G:$G,"*1v1*")</f>
        <v>0</v>
      </c>
      <c r="II43" s="8">
        <f>COUNTIFS('Raw data'!$D:$D,"*Joshua Laotan*", 'Raw data'!$G:$G,"*On Target*")</f>
        <v>0</v>
      </c>
      <c r="IJ43" s="8">
        <f>COUNTIFS('Raw data'!$D:$D,"*Joshua Laotan*", 'Raw data'!$G:$G,"*Off Target*")</f>
        <v>0</v>
      </c>
      <c r="IK43" s="8">
        <f>COUNTIFS('Raw data'!$D:$D,"*Joshua Laotan*", 'Raw data'!$G:$G,"*Defend the Space*")</f>
        <v>0</v>
      </c>
      <c r="IL43" s="8">
        <f>COUNTIFS('Raw data'!$D:$D,"*Joshua Laotan*", 'Raw data'!$G:$G,"*Conceded*")</f>
        <v>0</v>
      </c>
      <c r="IM43" s="8">
        <f>COUNTIFS('Raw data'!$D:$D,"*Joshua Laotan*", 'Raw data'!$G:$G,"*Save*")</f>
        <v>0</v>
      </c>
      <c r="IN43" s="8">
        <f>COUNTIFS('Raw data'!$D:$D,"*Joshua Laotan*", 'Raw data'!$G:$G,"*Defend the line (Cross)*")</f>
        <v>0</v>
      </c>
      <c r="IO43" s="8">
        <f>COUNTIFS('Raw data'!$D:$D,"*Joshua Laotan*", 'Raw data'!$G:$G,"*Counter Kick*")</f>
        <v>0</v>
      </c>
      <c r="IP43" t="s">
        <v>636</v>
      </c>
    </row>
    <row r="44" spans="3:250">
      <c r="DW44" t="s">
        <v>500</v>
      </c>
      <c r="DX44" t="s">
        <v>642</v>
      </c>
      <c r="DY44">
        <v>40</v>
      </c>
      <c r="DZ44" t="s">
        <v>153</v>
      </c>
      <c r="EA44">
        <f t="shared" ref="EA44:EA56" si="293">EB44+EC44</f>
        <v>20</v>
      </c>
      <c r="EB44" s="8">
        <f t="shared" ref="EB44:EB56" si="294">EG44+EL44+EQ44</f>
        <v>16</v>
      </c>
      <c r="EC44" s="8">
        <f t="shared" ref="EC44:EC56" si="295">EH44+EM44+ER44</f>
        <v>4</v>
      </c>
      <c r="ED44" s="54">
        <f t="shared" ref="ED44:ED56" si="296">IFERROR(EB44/$EA44,"-")</f>
        <v>0.8</v>
      </c>
      <c r="EE44" s="54">
        <f t="shared" ref="EE44:EE56" si="297">IFERROR(EC44/$EA44,"-")</f>
        <v>0.2</v>
      </c>
      <c r="EF44">
        <f t="shared" ref="EF44:EF56" si="298">EG44+EH44</f>
        <v>7</v>
      </c>
      <c r="EG44">
        <f>COUNTIFS('Raw data'!$D:$D,"*Melvin Brandford*", 'Raw data'!$I:$I,"*Forward Pass*",'Raw data'!$M:$M,"*Pass completed*")</f>
        <v>3</v>
      </c>
      <c r="EH44">
        <f>COUNTIFS('Raw data'!$D:$D,"*Melvin Brandford*", 'Raw data'!$I:$I,"*Forward Pass*",'Raw data'!$M:$M,"*Pass Uncompleted*")</f>
        <v>4</v>
      </c>
      <c r="EI44" s="54">
        <f t="shared" ref="EI44:EI56" si="299">IFERROR(EG44/$EF44,"-")</f>
        <v>0.42857142857142855</v>
      </c>
      <c r="EJ44" s="54">
        <f t="shared" ref="EJ44:EJ56" si="300">IFERROR(EH44/$EF44,"-")</f>
        <v>0.5714285714285714</v>
      </c>
      <c r="EK44">
        <f t="shared" ref="EK44:EK56" si="301">EL44+EM44</f>
        <v>5</v>
      </c>
      <c r="EL44" s="8">
        <f>COUNTIFS('Raw data'!$D:$D,"*Melvin Brandford*", 'Raw data'!$I:$I,"*Lateral Pass*",'Raw data'!$M:$M,"*Pass completed*")</f>
        <v>5</v>
      </c>
      <c r="EM44" s="8">
        <f>COUNTIFS('Raw data'!$D:$D,"*Melvin Brandford*", 'Raw data'!$I:$I,"*Lateral Pass*",'Raw data'!$M:$M,"*Pass Uncompleted*")</f>
        <v>0</v>
      </c>
      <c r="EN44" s="54">
        <f t="shared" ref="EN44:EN56" si="302">IFERROR(EL44/$EK44,"-")</f>
        <v>1</v>
      </c>
      <c r="EO44" s="54">
        <f t="shared" ref="EO44:EO56" si="303">IFERROR(EM44/$EK44,"-")</f>
        <v>0</v>
      </c>
      <c r="EP44">
        <f t="shared" ref="EP44:EP56" si="304">EQ44+ER44</f>
        <v>8</v>
      </c>
      <c r="EQ44" s="8">
        <f>COUNTIFS('Raw data'!$D:$D,"*Melvin Brandford*", 'Raw data'!$I:$I,"*Backward Pass*",'Raw data'!$M:$M,"*Pass completed*")</f>
        <v>8</v>
      </c>
      <c r="ER44" s="8">
        <f>COUNTIFS('Raw data'!$D:$D,"*Melvin Brandford*", 'Raw data'!$I:$I,"*Backward Pass*",'Raw data'!$M:$M,"*Pass Uncompleted*")</f>
        <v>0</v>
      </c>
      <c r="ES44" s="54">
        <f t="shared" ref="ES44:ES56" si="305">IFERROR(EQ44/$EQ44,"-")</f>
        <v>1</v>
      </c>
      <c r="ET44" s="54">
        <f t="shared" ref="ET44:ET56" si="306">IFERROR(ER44/$EQ44,"-")</f>
        <v>0</v>
      </c>
      <c r="EU44" s="8">
        <f>COUNTIFS('Raw data'!$D:$D,"*Melvin Brandford*", 'Raw data'!$I:$I,"*Long Kick*")</f>
        <v>0</v>
      </c>
      <c r="EV44" s="8">
        <f>COUNTIFS('Raw data'!$D:$D,"*Melvin Brandford*", 'Raw data'!$I:$I,"*Long Kick*",'Raw data'!$M:$M,"*Pass completed*")</f>
        <v>0</v>
      </c>
      <c r="EW44" s="8">
        <f>COUNTIFS('Raw data'!$D:$D,"*Melvin Brandford*", 'Raw data'!$I:$I,"*Long Kick*",'Raw data'!$M:$M,"*Pass Uncompleted*")</f>
        <v>0</v>
      </c>
      <c r="EX44" s="54" t="str">
        <f t="shared" ref="EX44:EX56" si="307">IFERROR(EV44/$EU44,"-")</f>
        <v>-</v>
      </c>
      <c r="EY44" s="54" t="str">
        <f t="shared" ref="EY44:EY56" si="308">IFERROR(EW44/$EU44,"-")</f>
        <v>-</v>
      </c>
      <c r="EZ44" s="8">
        <f>COUNTIFS('Raw data'!$D:$D,"*Melvin Brandford*", 'Raw data'!$I:$I,"*Balls in Behind*")</f>
        <v>0</v>
      </c>
      <c r="FA44" s="8">
        <f>COUNTIFS('Raw data'!$D:$D,"*Melvin Brandford*", 'Raw data'!$I:$I,"*Balls in Behind*",'Raw data'!$M:$M,"*Pass completed*")</f>
        <v>0</v>
      </c>
      <c r="FB44" s="8">
        <f>COUNTIFS('Raw data'!$D:$D,"*Melvin Brandford*", 'Raw data'!$I:$I,"*Balls in Behind*",'Raw data'!$M:$M,"*Pass Uncompleted*")</f>
        <v>0</v>
      </c>
      <c r="FC44" s="54" t="str">
        <f t="shared" ref="FC44:FC56" si="309">IFERROR(FA44/$EZ44,"-")</f>
        <v>-</v>
      </c>
      <c r="FD44" s="54" t="str">
        <f t="shared" ref="FD44:FD56" si="310">IFERROR(FB44/$EZ44,"-")</f>
        <v>-</v>
      </c>
      <c r="FE44" s="8">
        <f>COUNTIFS('Raw data'!$D:$D,"*Melvin Brandford*", 'Raw data'!$I:$I,"*Key/Through pass*")</f>
        <v>0</v>
      </c>
      <c r="FF44" s="8">
        <f>COUNTIFS('Raw data'!$D:$D,"*Melvin Brandford*", 'Raw data'!$I:$I,"*Diagonal pass*")</f>
        <v>0</v>
      </c>
      <c r="FG44" s="8">
        <f>COUNTIFS('Raw data'!$D:$D,"*Melvin Brandford*", 'Raw data'!$I:$I,"*Diagonal pass*",'Raw data'!$M:$M,"*Pass completed*")</f>
        <v>0</v>
      </c>
      <c r="FH44" s="8">
        <f>COUNTIFS('Raw data'!$D:$D,"*Melvin Brandford*", 'Raw data'!$I:$I,"*Diagonal pass*",'Raw data'!$M:$M,"*Pass Uncompleted*")</f>
        <v>0</v>
      </c>
      <c r="FI44" s="54" t="str">
        <f t="shared" ref="FI44:FI56" si="311">IFERROR(FG44/$FF44,"-")</f>
        <v>-</v>
      </c>
      <c r="FJ44" s="54" t="str">
        <f t="shared" ref="FJ44:FJ56" si="312">IFERROR(FH44/$FF44,"-")</f>
        <v>-</v>
      </c>
      <c r="FK44" s="8">
        <f>COUNTIFS('Raw data'!$D:$D,"*Melvin Brandford*", 'Raw data'!$M:$M,"*Pass Received*")</f>
        <v>12</v>
      </c>
      <c r="FL44" s="8">
        <f>COUNTIFS('Raw data'!$D:$D,"*Melvin Brandford*", 'Raw data'!$M:$M,"*Pass Completed*",'Raw data'!$M:$M,"*Pass Received*")</f>
        <v>9</v>
      </c>
      <c r="FM44" s="8">
        <f>COUNTIFS('Raw data'!$D:$D,"*Melvin Brandford*", 'Raw data'!$M:$M,"*Pass Uncompleted*",'Raw data'!$M:$M,"*Pass Received*")</f>
        <v>3</v>
      </c>
      <c r="FN44" s="8">
        <f>COUNTIFS('Raw data'!$D:$D,"*Melvin Brandford*", 'Raw data'!$M:$M,"*Kept Possession*",'Raw data'!$M:$M,"*Pass Received*")</f>
        <v>1</v>
      </c>
      <c r="FO44" s="8">
        <f>COUNTIFS('Raw data'!$D:$D,"*Melvin Brandford*", 'Raw data'!$M:$M,"*Lost Possession*")</f>
        <v>0</v>
      </c>
      <c r="FP44" s="8">
        <f>COUNTIFS('Raw data'!$D:$D,"*Melvin Brandford*", 'Raw data'!$M:$M,"*Lost Possession*",'Raw data'!$M:$M,"*Lost Final 1/3*")</f>
        <v>0</v>
      </c>
      <c r="FQ44" s="8">
        <f>COUNTIFS('Raw data'!$D:$D,"*Melvin Brandford*", 'Raw data'!$M:$M,"*Lost Possession*",'Raw data'!$M:$M,"*Lost Middle 1/3*")</f>
        <v>0</v>
      </c>
      <c r="FR44" s="8">
        <f>COUNTIFS('Raw data'!$D:$D,"*Melvin Brandford*", 'Raw data'!$M:$M,"*Lost Possession*",'Raw data'!$M:$M,"*Lost Own 1/3*")</f>
        <v>0</v>
      </c>
      <c r="FS44" s="8">
        <f>COUNTIFS('Raw data'!$D:$D,"*Melvin Brandford*", 'Raw data'!$H:$H,"*Touches in the Box*")</f>
        <v>0</v>
      </c>
      <c r="FT44" s="8">
        <f>COUNTIFS('Raw data'!$D:$D,"*Melvin Brandford*", 'Raw data'!$H:$H,"*1v1 Attack*")</f>
        <v>1</v>
      </c>
      <c r="FU44" s="8">
        <f>COUNTIFS('Raw data'!$D:$D,"*Melvin Brandford*", 'Raw data'!$H:$H,"*1v1 Attack*",'Raw data'!$H:$H,"*1v1 Attack*",'Raw data'!$M:$M,"*Kept Possession*")</f>
        <v>1</v>
      </c>
      <c r="FV44" s="8">
        <f>COUNTIFS('Raw data'!$D:$D,"*Melvin Brandford*", 'Raw data'!$H:$H,"*1v1 Attack*",'Raw data'!$H:$H,"*1v1 Attack*",'Raw data'!$M:$M,"*Lost Possession*")</f>
        <v>0</v>
      </c>
      <c r="FW44" s="54">
        <f t="shared" ref="FW44:FW56" si="313">IFERROR(FU44/$FT44,"-")</f>
        <v>1</v>
      </c>
      <c r="FX44" s="54">
        <f t="shared" ref="FX44:FX56" si="314">IFERROR(FV44/$FT44,"-")</f>
        <v>0</v>
      </c>
      <c r="FY44" s="8">
        <f>COUNTIFS('Raw data'!$D:$D,"*Melvin Brandford*", 'Raw data'!$I:$I,"*Cross*")</f>
        <v>0</v>
      </c>
      <c r="FZ44" s="8">
        <f>COUNTIFS('Raw data'!$D:$D,"*Melvin Brandford*", 'Raw data'!$I:$I,"*Cross*",'Raw data'!$M:$M,"*Pass Completed*")</f>
        <v>0</v>
      </c>
      <c r="GA44" s="8">
        <f>COUNTIFS('Raw data'!$D:$D,"*Melvin Brandford*", 'Raw data'!$I:$I,"*Cross*",'Raw data'!$M:$M,"*Pass Uncompleted*")</f>
        <v>0</v>
      </c>
      <c r="GB44" s="54" t="str">
        <f t="shared" ref="GB44:GB56" si="315">IFERROR(FZ44/$FY44,"-")</f>
        <v>-</v>
      </c>
      <c r="GC44" s="54" t="str">
        <f t="shared" ref="GC44:GC56" si="316">IFERROR(GA44/$FY44,"-")</f>
        <v>-</v>
      </c>
      <c r="GD44" s="8">
        <f t="shared" ref="GD44:GD56" si="317">SUM(GE44:GG44)</f>
        <v>0</v>
      </c>
      <c r="GE44" s="8">
        <f>COUNTIFS('Raw data'!$D:$D,"*Melvin Brandford*", 'Raw data'!$L:$L,"*On Target*")</f>
        <v>0</v>
      </c>
      <c r="GF44" s="8">
        <f>COUNTIFS('Raw data'!$D:$D,"*Melvin Brandford*", 'Raw data'!$L:$L,"*Off Target*")</f>
        <v>0</v>
      </c>
      <c r="GG44" s="8">
        <f>COUNTIFS('Raw data'!$D:$D,"*Melvin Brandford*", 'Raw data'!$L:$L,"*Blocked*")</f>
        <v>0</v>
      </c>
      <c r="GH44" s="8">
        <f>COUNTIFS('Raw data'!$D:$D,"*Melvin Brandford*", 'Raw data'!$M:$M,"*Goal*")</f>
        <v>0</v>
      </c>
      <c r="GI44" s="8">
        <f>COUNTIFS('Raw data'!$D:$D,"*Melvin Brandford*", 'Raw data'!$M:$M,"*Assist*")</f>
        <v>0</v>
      </c>
      <c r="GJ44" s="8">
        <f>COUNTIFS('Raw data'!$D:$D,"*Melvin Brandford*", 'Raw data'!$H:$H,"*Offensive duel*")</f>
        <v>0</v>
      </c>
      <c r="GK44" s="8">
        <f>COUNTIFS('Raw data'!$D:$D,"*Melvin Brandford*", 'Raw data'!$H:$H,"*Offensive Duel*",'Raw data'!$H:$H,"*Offensive Duel*",'Raw data'!$M:$M,"*Kept Possession*")</f>
        <v>0</v>
      </c>
      <c r="GL44" s="8">
        <f>COUNTIFS('Raw data'!$D:$D,"*Melvin Brandford*", 'Raw data'!$H:$H,"*Offensive Duel*",'Raw data'!$H:$H,"*Offensive Duel*",'Raw data'!$M:$M,"*Lost Possession*")</f>
        <v>0</v>
      </c>
      <c r="GM44" s="54" t="str">
        <f t="shared" ref="GM44:GM56" si="318">IFERROR(GK44/$GJ44,"-")</f>
        <v>-</v>
      </c>
      <c r="GN44" s="54" t="str">
        <f t="shared" ref="GN44:GN56" si="319">IFERROR(GL44/$GJ44,"-")</f>
        <v>-</v>
      </c>
      <c r="GO44" s="8">
        <f>COUNTIFS('Raw data'!$D:$D,"*Melvin Brandford*", 'Raw data'!$H:$H,"*Acceleration*")</f>
        <v>1</v>
      </c>
      <c r="GP44" s="8">
        <f>COUNTIFS('Raw data'!$D:$D,"*Melvin Brandford*", 'Raw data'!$H:$H,"*Move into Pocket*")</f>
        <v>0</v>
      </c>
      <c r="GQ44" s="8">
        <f>COUNTIFS('Raw data'!$D:$D,"*Melvin Brandford*", 'Raw data'!$H:$H,"*Wide area*")</f>
        <v>1</v>
      </c>
      <c r="GR44" s="8">
        <f>COUNTIFS('Raw data'!$D:$D,"*Melvin Brandford*", 'Raw data'!$H:$H,"*Back to goal*")</f>
        <v>0</v>
      </c>
      <c r="GS44" s="8">
        <f>COUNTIFS('Raw data'!$D:$D,"*Melvin Brandford*", 'Raw data'!$H:$H,"*Over/Underlaps*")</f>
        <v>0</v>
      </c>
      <c r="GT44" s="8">
        <f>COUNTIFS('Raw data'!$D:$D,"*Melvin Brandford*", 'Raw data'!$H:$H,"*Runs in Behind*")</f>
        <v>0</v>
      </c>
      <c r="GU44" s="8">
        <f>COUNTIFS('Raw data'!$D:$D,"*Melvin Brandford*", 'Raw data'!$H:$H,"*Half-space Runs*")</f>
        <v>0</v>
      </c>
      <c r="GV44" s="8">
        <f t="shared" ref="GV44:GV56" si="320">SUM(GJ44,HA44,HF44)</f>
        <v>5</v>
      </c>
      <c r="GW44" s="8">
        <f t="shared" ref="GW44:GW56" si="321">SUM(GK44,HB44,HG44)</f>
        <v>2</v>
      </c>
      <c r="GX44" s="8">
        <f t="shared" ref="GX44:GX56" si="322">SUM(GL44,HC44,HH44)</f>
        <v>3</v>
      </c>
      <c r="GY44" s="54">
        <f t="shared" ref="GY44:GY56" si="323">IFERROR(GW44/$GV44,"-")</f>
        <v>0.4</v>
      </c>
      <c r="GZ44" s="54">
        <f t="shared" ref="GZ44:GZ56" si="324">IFERROR(GX44/$GV44,"-")</f>
        <v>0.6</v>
      </c>
      <c r="HA44" s="8">
        <f>COUNTIFS('Raw data'!$D:$D,"*Melvin Brandford*", 'Raw data'!$K:$K,"*Ground duel*")</f>
        <v>2</v>
      </c>
      <c r="HB44" s="8">
        <f>COUNTIFS('Raw data'!$D:$D,"*Melvin Brandford*", 'Raw data'!$K:$K,"*Ground duel*",'Raw data'!$M:$M,"*Duel Succeeded*")</f>
        <v>0</v>
      </c>
      <c r="HC44" s="8">
        <f>COUNTIFS('Raw data'!$D:$D,"*Melvin Brandford*", 'Raw data'!$K:$K,"*Ground duel*",'Raw data'!$M:$M,"*Duel Unsucceeded*")</f>
        <v>2</v>
      </c>
      <c r="HD44" s="54">
        <f t="shared" ref="HD44:HD56" si="325">IFERROR(HB44/$HA44,"-")</f>
        <v>0</v>
      </c>
      <c r="HE44" s="54">
        <f t="shared" ref="HE44:HE56" si="326">IFERROR(HC44/$HA44,"-")</f>
        <v>1</v>
      </c>
      <c r="HF44" s="8">
        <f>COUNTIFS('Raw data'!$D:$D,"*Melvin Brandford*", 'Raw data'!$K:$K,"*Aerial duel*")</f>
        <v>3</v>
      </c>
      <c r="HG44" s="8">
        <f>COUNTIFS('Raw data'!$D:$D,"*Melvin Brandford*", 'Raw data'!$K:$K,"*Aerial duel*",'Raw data'!$M:$M,"*Duel Succeeded*")</f>
        <v>2</v>
      </c>
      <c r="HH44" s="8">
        <f>COUNTIFS('Raw data'!$D:$D,"*Melvin Brandford*", 'Raw data'!$K:$K,"*Aerial duel*",'Raw data'!$M:$M,"*Duel Unsucceeded*")</f>
        <v>1</v>
      </c>
      <c r="HI44" s="54">
        <f t="shared" ref="HI44:HI56" si="327">IFERROR(HG44/$HG44,"-")</f>
        <v>1</v>
      </c>
      <c r="HJ44" s="54">
        <f t="shared" ref="HJ44:HJ56" si="328">IFERROR(HH44/$HG44,"-")</f>
        <v>0.5</v>
      </c>
      <c r="HK44" s="8">
        <f>COUNTIFS('Raw data'!$D:$D,"*Melvin Brandford*", 'Raw data'!$K:$K,"*1v1 defense*")</f>
        <v>0</v>
      </c>
      <c r="HL44" s="8">
        <f>COUNTIFS('Raw data'!$D:$D,"*Melvin Brandford*", 'Raw data'!$K:$K,"*1v1 defense*",'Raw data'!$M:$M,"*Duel Succeeded*")</f>
        <v>0</v>
      </c>
      <c r="HM44" s="8">
        <f>COUNTIFS('Raw data'!$D:$D,"*Melvin Brandford*", 'Raw data'!$K:$K,"*1v1 defense*",'Raw data'!$M:$M,"*Duel Unsucceeded*")</f>
        <v>0</v>
      </c>
      <c r="HN44" s="54" t="str">
        <f t="shared" ref="HN44:HN56" si="329">IFERROR(HL44/$HK44,"-")</f>
        <v>-</v>
      </c>
      <c r="HO44" s="54" t="str">
        <f t="shared" ref="HO44:HO56" si="330">IFERROR(HM44/$HK44,"-")</f>
        <v>-</v>
      </c>
      <c r="HP44" s="8">
        <f>COUNTIFS('Raw data'!$D:$D,"*Melvin Brandford*", 'Raw data'!$J:$J,"*Tackles*")</f>
        <v>0</v>
      </c>
      <c r="HQ44" s="8">
        <f>COUNTIFS('Raw data'!$D:$D,"*Melvin Brandford*", 'Raw data'!$J:$J,"*Tackles*", 'Raw data'!$M:$M,"*Duel Succeeded*")</f>
        <v>0</v>
      </c>
      <c r="HR44" s="8">
        <f>COUNTIFS('Raw data'!$D:$D,"*Melvin Brandford*", 'Raw data'!$J:$J,"*Tackles*", 'Raw data'!$M:$M,"*Duel Unsucceeded*")</f>
        <v>0</v>
      </c>
      <c r="HS44" s="54" t="str">
        <f t="shared" ref="HS44:HS56" si="331">IFERROR(HQ44/$HP44,"-")</f>
        <v>-</v>
      </c>
      <c r="HT44" s="54" t="str">
        <f t="shared" ref="HT44:HT56" si="332">IFERROR(HR44/$HP44,"-")</f>
        <v>-</v>
      </c>
      <c r="HU44" s="8">
        <f>COUNTIFS('Raw data'!$D:$D,"*Melvin Brandford*", 'Raw data'!$K:$K,"*2nd Balls*")</f>
        <v>0</v>
      </c>
      <c r="HV44" s="8">
        <f>COUNTIFS('Raw data'!$D:$D,"*Melvin Brandford*", 'Raw data'!$K:$K,"*2nd Balls*", 'Raw data'!$M:$M,"*Duel Succeeded*")</f>
        <v>0</v>
      </c>
      <c r="HW44" s="8">
        <f>COUNTIFS('Raw data'!$D:$D,"*Melvin Brandford*", 'Raw data'!$K:$K,"*2nd Balls*", 'Raw data'!$M:$M,"*Duel Unsucceeded*")</f>
        <v>0</v>
      </c>
      <c r="HX44" s="54" t="str">
        <f t="shared" ref="HX44:HX56" si="333">IFERROR(HV44/$HU44,"-")</f>
        <v>-</v>
      </c>
      <c r="HY44" s="54" t="str">
        <f t="shared" ref="HY44:HY56" si="334">IFERROR(HW44/$HU44,"-")</f>
        <v>-</v>
      </c>
      <c r="HZ44" s="8">
        <f>COUNTIFS('Raw data'!$D:$D,"*Melvin Brandford*", 'Raw data'!$J:$J,"*Clearance*")</f>
        <v>3</v>
      </c>
      <c r="IA44" s="8">
        <f>COUNTIFS('Raw data'!$D:$D,"*Melvin Brandford*", 'Raw data'!$J:$J,"*Interception*")</f>
        <v>1</v>
      </c>
      <c r="IB44" s="8">
        <f>COUNTIFS('Raw data'!$D:$D,"*Melvin Brandford*", 'Raw data'!$J:$J,"*Turnover Won*")</f>
        <v>0</v>
      </c>
      <c r="IC44" s="8">
        <f>COUNTIFS('Raw data'!$D:$D,"*Melvin Brandford*", 'Raw data'!$J:$J,"*Recovery*")</f>
        <v>1</v>
      </c>
      <c r="ID44" s="8">
        <f>COUNTIFS('Raw data'!$D:$D,"*Melvin Brandford*", 'Raw data'!$J:$J,"*Blocked Shots*")</f>
        <v>2</v>
      </c>
      <c r="IE44" s="8">
        <f>COUNTIFS('Raw data'!$D:$D,"*Melvin Brandford*", 'Raw data'!$J:$J,"*Man-marking*")</f>
        <v>1</v>
      </c>
      <c r="IF44" s="8">
        <f>COUNTIFS('Raw data'!$D:$D,"*Melvin Brandford*", 'Raw data'!$J:$J,"*Fouls*")</f>
        <v>1</v>
      </c>
      <c r="IG44" s="8">
        <f>COUNTIFS('Raw data'!$D:$D,"*Melvin Brandford*", 'Raw data'!$J:$J,"*Won F*")</f>
        <v>0</v>
      </c>
      <c r="IH44" s="8">
        <f>COUNTIFS('Raw data'!$D:$D,"*Melvin Brandford*", 'Raw data'!$G:$G,"*1v1*")</f>
        <v>0</v>
      </c>
      <c r="II44" s="8">
        <f>COUNTIFS('Raw data'!$D:$D,"*Melvin Brandford*", 'Raw data'!$G:$G,"*On Target*")</f>
        <v>0</v>
      </c>
      <c r="IJ44" s="8">
        <f>COUNTIFS('Raw data'!$D:$D,"*Melvin Brandford*", 'Raw data'!$G:$G,"*Off Target*")</f>
        <v>0</v>
      </c>
      <c r="IK44" s="8">
        <f>COUNTIFS('Raw data'!$D:$D,"*Melvin Brandford*", 'Raw data'!$G:$G,"*Defend the Space*")</f>
        <v>0</v>
      </c>
      <c r="IL44" s="8">
        <f>COUNTIFS('Raw data'!$D:$D,"*Melvin Brandford*", 'Raw data'!$G:$G,"*Conceded*")</f>
        <v>0</v>
      </c>
      <c r="IM44" s="8">
        <f>COUNTIFS('Raw data'!$D:$D,"*Melvin Brandford*", 'Raw data'!$G:$G,"*Save*")</f>
        <v>0</v>
      </c>
      <c r="IN44" s="8">
        <f>COUNTIFS('Raw data'!$D:$D,"*Melvin Brandford*", 'Raw data'!$G:$G,"*Defend the line (Cross)*")</f>
        <v>0</v>
      </c>
      <c r="IO44" s="8">
        <f>COUNTIFS('Raw data'!$D:$D,"*Melvin Brandford*", 'Raw data'!$G:$G,"*Counter Kick*")</f>
        <v>0</v>
      </c>
      <c r="IP44" t="s">
        <v>642</v>
      </c>
    </row>
    <row r="45" spans="3:250">
      <c r="DW45" t="s">
        <v>500</v>
      </c>
      <c r="DX45" t="s">
        <v>743</v>
      </c>
      <c r="DY45">
        <v>40</v>
      </c>
      <c r="DZ45" t="s">
        <v>153</v>
      </c>
      <c r="EA45">
        <f t="shared" si="293"/>
        <v>56</v>
      </c>
      <c r="EB45" s="8">
        <f t="shared" si="294"/>
        <v>44</v>
      </c>
      <c r="EC45" s="8">
        <f t="shared" si="295"/>
        <v>12</v>
      </c>
      <c r="ED45" s="54">
        <f t="shared" si="296"/>
        <v>0.7857142857142857</v>
      </c>
      <c r="EE45" s="54">
        <f t="shared" si="297"/>
        <v>0.21428571428571427</v>
      </c>
      <c r="EF45">
        <f t="shared" si="298"/>
        <v>23</v>
      </c>
      <c r="EG45">
        <f>COUNTIFS('Raw data'!$D:$D,"*Harry Meadwell-Ludlow*", 'Raw data'!$I:$I,"*Forward Pass*",'Raw data'!$M:$M,"*Pass completed*")</f>
        <v>13</v>
      </c>
      <c r="EH45">
        <f>COUNTIFS('Raw data'!$D:$D,"*Harry Meadwell-Ludlow*", 'Raw data'!$I:$I,"*Forward Pass*",'Raw data'!$M:$M,"*Pass Uncompleted*")</f>
        <v>10</v>
      </c>
      <c r="EI45" s="54">
        <f t="shared" si="299"/>
        <v>0.56521739130434778</v>
      </c>
      <c r="EJ45" s="54">
        <f t="shared" si="300"/>
        <v>0.43478260869565216</v>
      </c>
      <c r="EK45">
        <f t="shared" si="301"/>
        <v>19</v>
      </c>
      <c r="EL45" s="8">
        <f>COUNTIFS('Raw data'!$D:$D,"*Harry Meadwell-Ludlow*", 'Raw data'!$I:$I,"*Lateral Pass*",'Raw data'!$M:$M,"*Pass completed*")</f>
        <v>18</v>
      </c>
      <c r="EM45" s="8">
        <f>COUNTIFS('Raw data'!$D:$D,"*Harry Meadwell-Ludlow*", 'Raw data'!$I:$I,"*Lateral Pass*",'Raw data'!$M:$M,"*Pass Uncompleted*")</f>
        <v>1</v>
      </c>
      <c r="EN45" s="54">
        <f t="shared" si="302"/>
        <v>0.94736842105263153</v>
      </c>
      <c r="EO45" s="54">
        <f t="shared" si="303"/>
        <v>5.2631578947368418E-2</v>
      </c>
      <c r="EP45">
        <f t="shared" si="304"/>
        <v>14</v>
      </c>
      <c r="EQ45" s="8">
        <f>COUNTIFS('Raw data'!$D:$D,"*Harry Meadwell-Ludlow*", 'Raw data'!$I:$I,"*Backward Pass*",'Raw data'!$M:$M,"*Pass completed*")</f>
        <v>13</v>
      </c>
      <c r="ER45" s="8">
        <f>COUNTIFS('Raw data'!$D:$D,"*Harry Meadwell-Ludlow*", 'Raw data'!$I:$I,"*Backward Pass*",'Raw data'!$M:$M,"*Pass Uncompleted*")</f>
        <v>1</v>
      </c>
      <c r="ES45" s="54">
        <f t="shared" si="305"/>
        <v>1</v>
      </c>
      <c r="ET45" s="54">
        <f t="shared" si="306"/>
        <v>7.6923076923076927E-2</v>
      </c>
      <c r="EU45" s="8">
        <f>COUNTIFS('Raw data'!$D:$D,"*Harry Meadwell-Ludlow*", 'Raw data'!$I:$I,"*Long Kick*")</f>
        <v>4</v>
      </c>
      <c r="EV45" s="8">
        <f>COUNTIFS('Raw data'!$D:$D,"*Harry Meadwell-Ludlow*", 'Raw data'!$I:$I,"*Long Kick*",'Raw data'!$M:$M,"*Pass completed*")</f>
        <v>1</v>
      </c>
      <c r="EW45" s="8">
        <f>COUNTIFS('Raw data'!$D:$D,"*Harry Meadwell-Ludlow*", 'Raw data'!$I:$I,"*Long Kick*",'Raw data'!$M:$M,"*Pass Uncompleted*")</f>
        <v>3</v>
      </c>
      <c r="EX45" s="54">
        <f t="shared" si="307"/>
        <v>0.25</v>
      </c>
      <c r="EY45" s="54">
        <f t="shared" si="308"/>
        <v>0.75</v>
      </c>
      <c r="EZ45" s="8">
        <f>COUNTIFS('Raw data'!$D:$D,"*Harry Meadwell-Ludlow*", 'Raw data'!$I:$I,"*Balls in Behind*")</f>
        <v>0</v>
      </c>
      <c r="FA45" s="8">
        <f>COUNTIFS('Raw data'!$D:$D,"*Harry Meadwell-Ludlow*", 'Raw data'!$I:$I,"*Balls in Behind*",'Raw data'!$M:$M,"*Pass completed*")</f>
        <v>0</v>
      </c>
      <c r="FB45" s="8">
        <f>COUNTIFS('Raw data'!$D:$D,"*Harry Meadwell-Ludlow*", 'Raw data'!$I:$I,"*Balls in Behind*",'Raw data'!$M:$M,"*Pass Uncompleted*")</f>
        <v>0</v>
      </c>
      <c r="FC45" s="54" t="str">
        <f t="shared" si="309"/>
        <v>-</v>
      </c>
      <c r="FD45" s="54" t="str">
        <f t="shared" si="310"/>
        <v>-</v>
      </c>
      <c r="FE45" s="8">
        <f>COUNTIFS('Raw data'!$D:$D,"*Harry Meadwell-Ludlow*", 'Raw data'!$I:$I,"*Key/Through pass*")</f>
        <v>0</v>
      </c>
      <c r="FF45" s="8">
        <f>COUNTIFS('Raw data'!$D:$D,"*Harry Meadwell-Ludlow*", 'Raw data'!$I:$I,"*Diagonal pass*")</f>
        <v>0</v>
      </c>
      <c r="FG45" s="8">
        <f>COUNTIFS('Raw data'!$D:$D,"*Harry Meadwell-Ludlow*", 'Raw data'!$I:$I,"*Diagonal pass*",'Raw data'!$M:$M,"*Pass completed*")</f>
        <v>0</v>
      </c>
      <c r="FH45" s="8">
        <f>COUNTIFS('Raw data'!$D:$D,"*Harry Meadwell-Ludlow*", 'Raw data'!$I:$I,"*Diagonal pass*",'Raw data'!$M:$M,"*Pass Uncompleted*")</f>
        <v>0</v>
      </c>
      <c r="FI45" s="54" t="str">
        <f t="shared" si="311"/>
        <v>-</v>
      </c>
      <c r="FJ45" s="54" t="str">
        <f t="shared" si="312"/>
        <v>-</v>
      </c>
      <c r="FK45" s="8">
        <f>COUNTIFS('Raw data'!$D:$D,"*Harry Meadwell-Ludlow*", 'Raw data'!$M:$M,"*Pass Received*")</f>
        <v>24</v>
      </c>
      <c r="FL45" s="8">
        <f>COUNTIFS('Raw data'!$D:$D,"*Harry Meadwell-Ludlow*", 'Raw data'!$M:$M,"*Pass Completed*",'Raw data'!$M:$M,"*Pass Received*" )</f>
        <v>20</v>
      </c>
      <c r="FM45" s="8">
        <f>COUNTIFS('Raw data'!$D:$D,"*Harry Meadwell-Ludlow*", 'Raw data'!$M:$M,"*Pass Uncompleted*",'Raw data'!$M:$M,"*Pass Received*" )</f>
        <v>5</v>
      </c>
      <c r="FN45" s="8">
        <f>COUNTIFS('Raw data'!$D:$D,"*Harry Meadwell-Ludlow*", 'Raw data'!$M:$M,"*Kept Possession*",'Raw data'!$M:$M,"*Pass Received*")</f>
        <v>2</v>
      </c>
      <c r="FO45" s="8">
        <f>COUNTIFS('Raw data'!$D:$D,"*Harry Meadwell-Ludlow*", 'Raw data'!$M:$M,"*Lost Possession*" )</f>
        <v>0</v>
      </c>
      <c r="FP45" s="8">
        <f>COUNTIFS('Raw data'!$D:$D,"*Harry Meadwell-Ludlow*", 'Raw data'!$M:$M,"*Lost Possession*",'Raw data'!$M:$M,"*Lost Final 1/3*")</f>
        <v>0</v>
      </c>
      <c r="FQ45" s="8">
        <f>COUNTIFS('Raw data'!$D:$D,"*Harry Meadwell-Ludlow*", 'Raw data'!$M:$M,"*Lost Possession*",'Raw data'!$M:$M,"*Lost Middle 1/3*")</f>
        <v>0</v>
      </c>
      <c r="FR45" s="8">
        <f>COUNTIFS('Raw data'!$D:$D,"*Harry Meadwell-Ludlow*", 'Raw data'!$M:$M,"*Lost Possession*",'Raw data'!$M:$M,"*Lost Own 1/3*")</f>
        <v>0</v>
      </c>
      <c r="FS45" s="8">
        <f>COUNTIFS('Raw data'!$D:$D,"*Harry Meadwell-Ludlow*", 'Raw data'!$H:$H,"*Touches in the Box*")</f>
        <v>0</v>
      </c>
      <c r="FT45" s="8">
        <f>COUNTIFS('Raw data'!$D:$D,"*Harry Meadwell-Ludlow*", 'Raw data'!$H:$H,"*1v1 Attack*")</f>
        <v>1</v>
      </c>
      <c r="FU45" s="8">
        <f>COUNTIFS('Raw data'!$D:$D,"*Harry Meadwell-Ludlow*", 'Raw data'!$H:$H,"*1v1 Attack*",'Raw data'!$H:$H,"*1v1 Attack*",'Raw data'!$M:$M,"*Kept Possession*")</f>
        <v>1</v>
      </c>
      <c r="FV45" s="8">
        <f>COUNTIFS('Raw data'!$D:$D,"*Harry Meadwell-Ludlow*", 'Raw data'!$H:$H,"*1v1 Attack*",'Raw data'!$H:$H,"*1v1 Attack*",'Raw data'!$M:$M,"*Lost Possession*")</f>
        <v>0</v>
      </c>
      <c r="FW45" s="54">
        <f t="shared" si="313"/>
        <v>1</v>
      </c>
      <c r="FX45" s="54">
        <f t="shared" si="314"/>
        <v>0</v>
      </c>
      <c r="FY45" s="8">
        <f>COUNTIFS('Raw data'!$D:$D,"*Harry Meadwell-Ludlow*", 'Raw data'!$I:$I,"*Cross*")</f>
        <v>0</v>
      </c>
      <c r="FZ45" s="8">
        <f>COUNTIFS('Raw data'!$D:$D,"*Harry Meadwell-Ludlow*", 'Raw data'!$I:$I,"*Cross*",'Raw data'!$M:$M,"*Pass Completed*")</f>
        <v>0</v>
      </c>
      <c r="GA45" s="8">
        <f>COUNTIFS('Raw data'!$D:$D,"*Harry Meadwell-Ludlow*", 'Raw data'!$I:$I,"*Cross*",'Raw data'!$M:$M,"*Pass Uncompleted*")</f>
        <v>0</v>
      </c>
      <c r="GB45" s="54" t="str">
        <f t="shared" si="315"/>
        <v>-</v>
      </c>
      <c r="GC45" s="54" t="str">
        <f t="shared" si="316"/>
        <v>-</v>
      </c>
      <c r="GD45" s="8">
        <f t="shared" si="317"/>
        <v>0</v>
      </c>
      <c r="GE45" s="8">
        <f>COUNTIFS('Raw data'!$D:$D,"*Harry Meadwell-Ludlow*", 'Raw data'!$L:$L,"*On Target*")</f>
        <v>0</v>
      </c>
      <c r="GF45" s="8">
        <f>COUNTIFS('Raw data'!$D:$D,"*Harry Meadwell-Ludlow*", 'Raw data'!$L:$L,"*Off Target*")</f>
        <v>0</v>
      </c>
      <c r="GG45" s="8">
        <f>COUNTIFS('Raw data'!$D:$D,"*Harry Meadwell-Ludlow*", 'Raw data'!$L:$L,"*Blocked*")</f>
        <v>0</v>
      </c>
      <c r="GH45" s="8">
        <f>COUNTIFS('Raw data'!$D:$D,"*Harry Meadwell-Ludlow*", 'Raw data'!$M:$M,"*Goal*")</f>
        <v>0</v>
      </c>
      <c r="GI45" s="8">
        <f>COUNTIFS('Raw data'!$D:$D,"*Harry Meadwell-Ludlow*", 'Raw data'!$M:$M,"*Assist*")</f>
        <v>0</v>
      </c>
      <c r="GJ45" s="8">
        <f>COUNTIFS('Raw data'!$D:$D,"*Harry Meadwell-Ludlow*", 'Raw data'!$H:$H,"*Offensive duel*")</f>
        <v>1</v>
      </c>
      <c r="GK45" s="8">
        <f>COUNTIFS('Raw data'!$D:$D,"*Harry Meadwell-Ludlow*", 'Raw data'!$H:$H,"*Offensive Duel*",'Raw data'!$H:$H,"*Offensive Duel*",'Raw data'!$M:$M,"*Kept Possession*")</f>
        <v>1</v>
      </c>
      <c r="GL45" s="8">
        <f>COUNTIFS('Raw data'!$D:$D,"*Harry Meadwell-Ludlow*", 'Raw data'!$H:$H,"*Offensive Duel*",'Raw data'!$H:$H,"*Offensive Duel*",'Raw data'!$M:$M,"*Lost Possession*")</f>
        <v>0</v>
      </c>
      <c r="GM45" s="54">
        <f t="shared" si="318"/>
        <v>1</v>
      </c>
      <c r="GN45" s="54">
        <f t="shared" si="319"/>
        <v>0</v>
      </c>
      <c r="GO45" s="8">
        <f>COUNTIFS('Raw data'!$D:$D,"*Harry Meadwell-Ludlow*", 'Raw data'!$H:$H,"*Acceleration*")</f>
        <v>1</v>
      </c>
      <c r="GP45" s="8">
        <f>COUNTIFS('Raw data'!$D:$D,"*Harry Meadwell-Ludlow*", 'Raw data'!$H:$H,"*Move into Pocket*")</f>
        <v>0</v>
      </c>
      <c r="GQ45" s="8">
        <f>COUNTIFS('Raw data'!$D:$D,"*Harry Meadwell-Ludlow*", 'Raw data'!$H:$H,"*Wide area*")</f>
        <v>2</v>
      </c>
      <c r="GR45" s="8">
        <f>COUNTIFS('Raw data'!$D:$D,"*Harry Meadwell-Ludlow*", 'Raw data'!$H:$H,"*Back to goal*")</f>
        <v>0</v>
      </c>
      <c r="GS45" s="8">
        <f>COUNTIFS('Raw data'!$D:$D,"*Harry Meadwell-Ludlow*", 'Raw data'!$H:$H,"*Over/Underlaps*")</f>
        <v>0</v>
      </c>
      <c r="GT45" s="8">
        <f>COUNTIFS('Raw data'!$D:$D,"*Harry Meadwell-Ludlow*", 'Raw data'!$H:$H,"*Runs in Behind*")</f>
        <v>0</v>
      </c>
      <c r="GU45" s="8">
        <f>COUNTIFS('Raw data'!$D:$D,"*Harry Meadwell-Ludlow*", 'Raw data'!$H:$H,"*Half-space Runs*")</f>
        <v>0</v>
      </c>
      <c r="GV45" s="8">
        <f t="shared" si="320"/>
        <v>5</v>
      </c>
      <c r="GW45" s="8">
        <f t="shared" si="321"/>
        <v>5</v>
      </c>
      <c r="GX45" s="8">
        <f t="shared" si="322"/>
        <v>0</v>
      </c>
      <c r="GY45" s="54">
        <f t="shared" si="323"/>
        <v>1</v>
      </c>
      <c r="GZ45" s="54">
        <f t="shared" si="324"/>
        <v>0</v>
      </c>
      <c r="HA45" s="8">
        <f>COUNTIFS('Raw data'!$D:$D,"*Harry Meadwell-Ludlow*", 'Raw data'!$K:$K,"*Ground duel*")</f>
        <v>2</v>
      </c>
      <c r="HB45" s="8">
        <f>COUNTIFS('Raw data'!$D:$D,"*Harry Meadwell-Ludlow*", 'Raw data'!$K:$K,"*Ground duel*",'Raw data'!$M:$M,"*Duel Succeeded*")</f>
        <v>2</v>
      </c>
      <c r="HC45" s="8">
        <f>COUNTIFS('Raw data'!$D:$D,"*Harry Meadwell-Ludlow*", 'Raw data'!$K:$K,"*Ground duel*",'Raw data'!$M:$M,"*Duel Unsucceeded*")</f>
        <v>0</v>
      </c>
      <c r="HD45" s="54">
        <f t="shared" si="325"/>
        <v>1</v>
      </c>
      <c r="HE45" s="54">
        <f t="shared" si="326"/>
        <v>0</v>
      </c>
      <c r="HF45" s="8">
        <f>COUNTIFS('Raw data'!$D:$D,"*Harry Meadwell-Ludlow*", 'Raw data'!$K:$K,"*Aerial duel*")</f>
        <v>2</v>
      </c>
      <c r="HG45" s="8">
        <f>COUNTIFS('Raw data'!$D:$D,"*Harry Meadwell-Ludlow*", 'Raw data'!$K:$K,"*Aerial duel*",'Raw data'!$M:$M,"*Duel Succeeded*")</f>
        <v>2</v>
      </c>
      <c r="HH45" s="8">
        <f>COUNTIFS('Raw data'!$D:$D,"*Harry Meadwell-Ludlow*", 'Raw data'!$K:$K,"*Aerial duel*",'Raw data'!$M:$M,"*Duel Unsucceeded*")</f>
        <v>0</v>
      </c>
      <c r="HI45" s="54">
        <f t="shared" si="327"/>
        <v>1</v>
      </c>
      <c r="HJ45" s="54">
        <f t="shared" si="328"/>
        <v>0</v>
      </c>
      <c r="HK45" s="8">
        <f>COUNTIFS('Raw data'!$D:$D,"*Harry Meadwell-Ludlow*", 'Raw data'!$K:$K,"*1v1 defense*")</f>
        <v>1</v>
      </c>
      <c r="HL45" s="8">
        <f>COUNTIFS('Raw data'!$D:$D,"*Harry Meadwell-Ludlow*", 'Raw data'!$K:$K,"*1v1 defense*",'Raw data'!$M:$M,"*Duel Succeeded*")</f>
        <v>1</v>
      </c>
      <c r="HM45" s="8">
        <f>COUNTIFS('Raw data'!$D:$D,"*Harry Meadwell-Ludlow*", 'Raw data'!$K:$K,"*1v1 defense*",'Raw data'!$M:$M,"*Duel Unsucceeded*")</f>
        <v>0</v>
      </c>
      <c r="HN45" s="54">
        <f t="shared" si="329"/>
        <v>1</v>
      </c>
      <c r="HO45" s="54">
        <f t="shared" si="330"/>
        <v>0</v>
      </c>
      <c r="HP45" s="8">
        <f>COUNTIFS('Raw data'!$D:$D,"*Harry Meadwell-Ludlow*", 'Raw data'!$J:$J,"*Tackles*")</f>
        <v>0</v>
      </c>
      <c r="HQ45" s="8">
        <f>COUNTIFS('Raw data'!$D:$D,"*Harry Meadwell-Ludlow*", 'Raw data'!$J:$J,"*Tackles*", 'Raw data'!$M:$M,"*Duel Succeeded*")</f>
        <v>0</v>
      </c>
      <c r="HR45" s="8">
        <f>COUNTIFS('Raw data'!$D:$D,"*Harry Meadwell-Ludlow*", 'Raw data'!$J:$J,"*Tackles*", 'Raw data'!$M:$M,"*Duel Unsucceeded*")</f>
        <v>0</v>
      </c>
      <c r="HS45" s="54" t="str">
        <f t="shared" si="331"/>
        <v>-</v>
      </c>
      <c r="HT45" s="54" t="str">
        <f t="shared" si="332"/>
        <v>-</v>
      </c>
      <c r="HU45" s="8">
        <f>COUNTIFS('Raw data'!$D:$D,"*Harry Meadwell-Ludlow*", 'Raw data'!$K:$K,"*2nd Balls*")</f>
        <v>0</v>
      </c>
      <c r="HV45" s="8">
        <f>COUNTIFS('Raw data'!$D:$D,"*Harry Meadwell-Ludlow*", 'Raw data'!$K:$K,"*2nd Balls*", 'Raw data'!$M:$M,"*Duel Succeeded*")</f>
        <v>0</v>
      </c>
      <c r="HW45" s="8">
        <f>COUNTIFS('Raw data'!$D:$D,"*Harry Meadwell-Ludlow*", 'Raw data'!$K:$K,"*2nd Balls*", 'Raw data'!$M:$M,"*Duel Unsucceeded*")</f>
        <v>0</v>
      </c>
      <c r="HX45" s="54" t="str">
        <f t="shared" si="333"/>
        <v>-</v>
      </c>
      <c r="HY45" s="54" t="str">
        <f t="shared" si="334"/>
        <v>-</v>
      </c>
      <c r="HZ45" s="8">
        <f>COUNTIFS('Raw data'!$D:$D,"*Harry Meadwell-Ludlow*", 'Raw data'!$J:$J,"*Clearance*")</f>
        <v>0</v>
      </c>
      <c r="IA45" s="8">
        <f>COUNTIFS('Raw data'!$D:$D,"*Harry Meadwell-Ludlow*", 'Raw data'!$J:$J,"*Interception*")</f>
        <v>2</v>
      </c>
      <c r="IB45" s="8">
        <f>COUNTIFS('Raw data'!$D:$D,"*Harry Meadwell-Ludlow*", 'Raw data'!$J:$J,"*Turnover Won*")</f>
        <v>2</v>
      </c>
      <c r="IC45" s="8">
        <f>COUNTIFS('Raw data'!$D:$D,"*Harry Meadwell-Ludlow*", 'Raw data'!$J:$J,"*Recovery*")</f>
        <v>2</v>
      </c>
      <c r="ID45" s="8">
        <f>COUNTIFS('Raw data'!$D:$D,"*Harry Meadwell-Ludlow*", 'Raw data'!$J:$J,"*Blocked Shots*")</f>
        <v>0</v>
      </c>
      <c r="IE45" s="8">
        <f>COUNTIFS('Raw data'!$D:$D,"*Harry Meadwell-Ludlow*", 'Raw data'!$J:$J,"*Man-marking*")</f>
        <v>0</v>
      </c>
      <c r="IF45" s="8">
        <f>COUNTIFS('Raw data'!$D:$D,"*Harry Meadwell-Ludlow*", 'Raw data'!$J:$J,"*Fouls*")</f>
        <v>0</v>
      </c>
      <c r="IG45" s="8">
        <f>COUNTIFS('Raw data'!$D:$D,"*Harry Meadwell-Ludlow*", 'Raw data'!$J:$J,"*Won F*")</f>
        <v>0</v>
      </c>
      <c r="IH45" s="8">
        <f>COUNTIFS('Raw data'!$D:$D,"*Harry Meadwell-Ludlow*", 'Raw data'!$G:$G,"*1v1*")</f>
        <v>0</v>
      </c>
      <c r="II45" s="8">
        <f>COUNTIFS('Raw data'!$D:$D,"*Harry Meadwell-Ludlow*", 'Raw data'!$G:$G,"*On Target*")</f>
        <v>0</v>
      </c>
      <c r="IJ45" s="8">
        <f>COUNTIFS('Raw data'!$D:$D,"*Harry Meadwell-Ludlow*", 'Raw data'!$G:$G,"*Off Target*")</f>
        <v>0</v>
      </c>
      <c r="IK45" s="8">
        <f>COUNTIFS('Raw data'!$D:$D,"*Harry Meadwell-Ludlow*", 'Raw data'!$G:$G,"*Defend the Space*")</f>
        <v>0</v>
      </c>
      <c r="IL45" s="8">
        <f>COUNTIFS('Raw data'!$D:$D,"*Harry Meadwell-Ludlow*", 'Raw data'!$G:$G,"*Conceded*")</f>
        <v>0</v>
      </c>
      <c r="IM45" s="8">
        <f>COUNTIFS('Raw data'!$D:$D,"*Harry Meadwell-Ludlow*", 'Raw data'!$G:$G,"*Save*")</f>
        <v>0</v>
      </c>
      <c r="IN45" s="8">
        <f>COUNTIFS('Raw data'!$D:$D,"*Harry Meadwell-Ludlow*", 'Raw data'!$G:$G,"*Defend the line (Cross)*")</f>
        <v>0</v>
      </c>
      <c r="IO45" s="8">
        <f>COUNTIFS('Raw data'!$D:$D,"*Harry Meadwell-Ludlow*", 'Raw data'!$G:$G,"*Counter Kick*")</f>
        <v>0</v>
      </c>
      <c r="IP45" t="s">
        <v>743</v>
      </c>
    </row>
    <row r="46" spans="3:250">
      <c r="DW46" t="s">
        <v>500</v>
      </c>
      <c r="DX46" t="s">
        <v>637</v>
      </c>
      <c r="DY46">
        <v>40</v>
      </c>
      <c r="DZ46" t="s">
        <v>452</v>
      </c>
      <c r="EA46">
        <f t="shared" si="293"/>
        <v>35</v>
      </c>
      <c r="EB46" s="8">
        <f t="shared" si="294"/>
        <v>27</v>
      </c>
      <c r="EC46" s="8">
        <f t="shared" si="295"/>
        <v>8</v>
      </c>
      <c r="ED46" s="54">
        <f t="shared" si="296"/>
        <v>0.77142857142857146</v>
      </c>
      <c r="EE46" s="54">
        <f t="shared" si="297"/>
        <v>0.22857142857142856</v>
      </c>
      <c r="EF46">
        <f t="shared" si="298"/>
        <v>18</v>
      </c>
      <c r="EG46">
        <f>COUNTIFS('Raw data'!$D:$D,"*Levi Ampofo*", 'Raw data'!$I:$I,"*Forward Pass*",'Raw data'!$M:$M,"*Pass completed*")</f>
        <v>10</v>
      </c>
      <c r="EH46">
        <f>COUNTIFS('Raw data'!$D:$D,"*Levi Ampofo*", 'Raw data'!$I:$I,"*Forward Pass*",'Raw data'!$M:$M,"*Pass Uncompleted*")</f>
        <v>8</v>
      </c>
      <c r="EI46" s="54">
        <f t="shared" si="299"/>
        <v>0.55555555555555558</v>
      </c>
      <c r="EJ46" s="54">
        <f t="shared" si="300"/>
        <v>0.44444444444444442</v>
      </c>
      <c r="EK46">
        <f t="shared" si="301"/>
        <v>3</v>
      </c>
      <c r="EL46" s="8">
        <f>COUNTIFS('Raw data'!$D:$D,"*Levi Ampofo*", 'Raw data'!$I:$I,"*Lateral Pass*",'Raw data'!$M:$M,"*Pass completed*")</f>
        <v>3</v>
      </c>
      <c r="EM46" s="8">
        <f>COUNTIFS('Raw data'!$D:$D,"*Levi Ampofo*", 'Raw data'!$I:$I,"*Lateral Pass*",'Raw data'!$M:$M,"*Pass Uncompleted*")</f>
        <v>0</v>
      </c>
      <c r="EN46" s="54">
        <f t="shared" si="302"/>
        <v>1</v>
      </c>
      <c r="EO46" s="54">
        <f t="shared" si="303"/>
        <v>0</v>
      </c>
      <c r="EP46">
        <f t="shared" si="304"/>
        <v>14</v>
      </c>
      <c r="EQ46" s="8">
        <f>COUNTIFS('Raw data'!$D:$D,"*Levi Ampofo*", 'Raw data'!$I:$I,"*Backward Pass*",'Raw data'!$M:$M,"*Pass completed*")</f>
        <v>14</v>
      </c>
      <c r="ER46" s="8">
        <f>COUNTIFS('Raw data'!$D:$D,"*Levi Ampofo*", 'Raw data'!$I:$I,"*Backward Pass*",'Raw data'!$M:$M,"*Pass Uncompleted*")</f>
        <v>0</v>
      </c>
      <c r="ES46" s="54">
        <f t="shared" si="305"/>
        <v>1</v>
      </c>
      <c r="ET46" s="54">
        <f t="shared" si="306"/>
        <v>0</v>
      </c>
      <c r="EU46" s="8">
        <f>COUNTIFS('Raw data'!$D:$D,"*Levi Ampofo*", 'Raw data'!$I:$I,"*Long Kick*")</f>
        <v>3</v>
      </c>
      <c r="EV46" s="8">
        <f>COUNTIFS('Raw data'!$D:$D,"*Levi Ampofo*", 'Raw data'!$I:$I,"*Long Kick*",'Raw data'!$M:$M,"*Pass completed*")</f>
        <v>2</v>
      </c>
      <c r="EW46" s="8">
        <f>COUNTIFS('Raw data'!$D:$D,"*Levi Ampofo*", 'Raw data'!$I:$I,"*Long Kick*",'Raw data'!$M:$M,"*Pass Uncompleted*")</f>
        <v>1</v>
      </c>
      <c r="EX46" s="54">
        <f t="shared" si="307"/>
        <v>0.66666666666666663</v>
      </c>
      <c r="EY46" s="54">
        <f t="shared" si="308"/>
        <v>0.33333333333333331</v>
      </c>
      <c r="EZ46" s="8">
        <f>COUNTIFS('Raw data'!$D:$D,"*Levi Ampofo*", 'Raw data'!$I:$I,"*Balls in Behind*")</f>
        <v>6</v>
      </c>
      <c r="FA46" s="8">
        <f>COUNTIFS('Raw data'!$D:$D,"*Levi Ampofo*", 'Raw data'!$I:$I,"*Balls in Behind*",'Raw data'!$M:$M,"*Pass completed*")</f>
        <v>3</v>
      </c>
      <c r="FB46" s="8">
        <f>COUNTIFS('Raw data'!$D:$D,"*Levi Ampofo*", 'Raw data'!$I:$I,"*Balls in Behind*",'Raw data'!$M:$M,"*Pass Uncompleted*")</f>
        <v>3</v>
      </c>
      <c r="FC46" s="54">
        <f t="shared" si="309"/>
        <v>0.5</v>
      </c>
      <c r="FD46" s="54">
        <f t="shared" si="310"/>
        <v>0.5</v>
      </c>
      <c r="FE46" s="8">
        <f>COUNTIFS('Raw data'!$D:$D,"*Levi Ampofo*", 'Raw data'!$I:$I,"*Key/Through pass*")</f>
        <v>3</v>
      </c>
      <c r="FF46" s="8">
        <f>COUNTIFS('Raw data'!$D:$D,"*Levi Ampofo*", 'Raw data'!$I:$I,"*Diagonal pass*")</f>
        <v>0</v>
      </c>
      <c r="FG46" s="8">
        <f>COUNTIFS('Raw data'!$D:$D,"*Levi Ampofo*", 'Raw data'!$I:$I,"*Diagonal pass*",'Raw data'!$M:$M,"*Pass completed*")</f>
        <v>0</v>
      </c>
      <c r="FH46" s="8">
        <f>COUNTIFS('Raw data'!$D:$D,"*Levi Ampofo*", 'Raw data'!$I:$I,"*Diagonal pass*",'Raw data'!$M:$M,"*Pass Uncompleted*")</f>
        <v>0</v>
      </c>
      <c r="FI46" s="54" t="str">
        <f t="shared" si="311"/>
        <v>-</v>
      </c>
      <c r="FJ46" s="54" t="str">
        <f t="shared" si="312"/>
        <v>-</v>
      </c>
      <c r="FK46" s="8">
        <f>COUNTIFS('Raw data'!$D:$D,"*Levi Ampofo*", 'Raw data'!$M:$M,"*Pass Received*")</f>
        <v>26</v>
      </c>
      <c r="FL46" s="8">
        <f>COUNTIFS('Raw data'!$D:$D,"*Levi Ampofo*", 'Raw data'!$M:$M,"*Pass Completed*",'Raw data'!$M:$M,"*Pass Received*")</f>
        <v>17</v>
      </c>
      <c r="FM46" s="8">
        <f>COUNTIFS('Raw data'!$D:$D,"*Levi Ampofo*", 'Raw data'!$M:$M,"*Pass Uncompleted*",'Raw data'!$M:$M,"*Pass Received*")</f>
        <v>6</v>
      </c>
      <c r="FN46" s="8">
        <f>COUNTIFS('Raw data'!$D:$D,"*Levi Ampofo*", 'Raw data'!$M:$M,"*Kept Possession*",'Raw data'!$M:$M,"*Pass Received*")</f>
        <v>2</v>
      </c>
      <c r="FO46" s="8">
        <f>COUNTIFS('Raw data'!$D:$D,"*Levi Ampofo*", 'Raw data'!$M:$M,"*Lost Possession*")</f>
        <v>2</v>
      </c>
      <c r="FP46" s="8">
        <f>COUNTIFS('Raw data'!$D:$D,"*Levi Ampofo*", 'Raw data'!$M:$M,"*Lost Possession*",'Raw data'!$M:$M,"*Lost Final 1/3*")</f>
        <v>0</v>
      </c>
      <c r="FQ46" s="8">
        <f>COUNTIFS('Raw data'!$D:$D,"*Levi Ampofo*", 'Raw data'!$M:$M,"*Lost Possession*",'Raw data'!$M:$M,"*Lost Middle 1/3*")</f>
        <v>1</v>
      </c>
      <c r="FR46" s="8">
        <f>COUNTIFS('Raw data'!$D:$D,"*Levi Ampofo*", 'Raw data'!$M:$M,"*Lost Possession*",'Raw data'!$M:$M,"*Lost Own 1/3*")</f>
        <v>1</v>
      </c>
      <c r="FS46" s="8">
        <f>COUNTIFS('Raw data'!$D:$D,"*Levi Ampofo*", 'Raw data'!$H:$H,"*Touches in the Box*")</f>
        <v>0</v>
      </c>
      <c r="FT46" s="8">
        <f>COUNTIFS('Raw data'!$D:$D,"*Levi Ampofo*", 'Raw data'!$H:$H,"*1v1 Attack*")</f>
        <v>1</v>
      </c>
      <c r="FU46" s="8">
        <f>COUNTIFS('Raw data'!$D:$D,"*Levi Ampofo*", 'Raw data'!$H:$H,"*1v1 Attack*",'Raw data'!$H:$H,"*1v1 Attack*",'Raw data'!$M:$M,"*Kept Possession*")</f>
        <v>1</v>
      </c>
      <c r="FV46" s="8">
        <f>COUNTIFS('Raw data'!$D:$D,"*Levi Ampofo*", 'Raw data'!$H:$H,"*1v1 Attack*",'Raw data'!$H:$H,"*1v1 Attack*",'Raw data'!$M:$M,"*Lost Possession*")</f>
        <v>0</v>
      </c>
      <c r="FW46" s="54">
        <f t="shared" si="313"/>
        <v>1</v>
      </c>
      <c r="FX46" s="54">
        <f t="shared" si="314"/>
        <v>0</v>
      </c>
      <c r="FY46" s="8">
        <f>COUNTIFS('Raw data'!$D:$D,"*Levi Ampofo*", 'Raw data'!$I:$I,"*Cross*")</f>
        <v>2</v>
      </c>
      <c r="FZ46" s="8">
        <f>COUNTIFS('Raw data'!$D:$D,"*Levi Ampofo*", 'Raw data'!$I:$I,"*Cross*",'Raw data'!$M:$M,"*Pass Completed*")</f>
        <v>0</v>
      </c>
      <c r="GA46" s="8">
        <f>COUNTIFS('Raw data'!$D:$D,"*Levi Ampofo*", 'Raw data'!$I:$I,"*Cross*",'Raw data'!$M:$M,"*Pass Uncompleted*")</f>
        <v>2</v>
      </c>
      <c r="GB46" s="54">
        <f t="shared" si="315"/>
        <v>0</v>
      </c>
      <c r="GC46" s="54">
        <f t="shared" si="316"/>
        <v>1</v>
      </c>
      <c r="GD46" s="8">
        <f t="shared" si="317"/>
        <v>0</v>
      </c>
      <c r="GE46" s="8">
        <f>COUNTIFS('Raw data'!$D:$D,"*Levi Ampofo*", 'Raw data'!$L:$L,"*On Target*")</f>
        <v>0</v>
      </c>
      <c r="GF46" s="8">
        <f>COUNTIFS('Raw data'!$D:$D,"*Levi Ampofo*", 'Raw data'!$L:$L,"*Off Target*")</f>
        <v>0</v>
      </c>
      <c r="GG46" s="8">
        <f>COUNTIFS('Raw data'!$D:$D,"*Levi Ampofo*", 'Raw data'!$L:$L,"*Blocked*")</f>
        <v>0</v>
      </c>
      <c r="GH46" s="8">
        <f>COUNTIFS('Raw data'!$D:$D,"*Levi Ampofo*", 'Raw data'!$M:$M,"*Goal*")</f>
        <v>0</v>
      </c>
      <c r="GI46" s="8">
        <f>COUNTIFS('Raw data'!$D:$D,"*Levi Ampofo*", 'Raw data'!$M:$M,"*Assist*")</f>
        <v>2</v>
      </c>
      <c r="GJ46" s="8">
        <f>COUNTIFS('Raw data'!$D:$D,"*Levi Ampofo*", 'Raw data'!$H:$H,"*Offensive duel*")</f>
        <v>3</v>
      </c>
      <c r="GK46" s="8">
        <f>COUNTIFS('Raw data'!$D:$D,"*Levi Ampofo*", 'Raw data'!$H:$H,"*Offensive Duel*",'Raw data'!$H:$H,"*Offensive Duel*",'Raw data'!$M:$M,"*Kept Possession*")</f>
        <v>3</v>
      </c>
      <c r="GL46" s="8">
        <f>COUNTIFS('Raw data'!$D:$D,"*Levi Ampofo*", 'Raw data'!$H:$H,"*Offensive Duel*",'Raw data'!$H:$H,"*Offensive Duel*",'Raw data'!$M:$M,"*Lost Possession*")</f>
        <v>0</v>
      </c>
      <c r="GM46" s="54">
        <f t="shared" si="318"/>
        <v>1</v>
      </c>
      <c r="GN46" s="54">
        <f t="shared" si="319"/>
        <v>0</v>
      </c>
      <c r="GO46" s="8">
        <f>COUNTIFS('Raw data'!$D:$D,"*Levi Ampofo*", 'Raw data'!$H:$H,"*Acceleration*")</f>
        <v>4</v>
      </c>
      <c r="GP46" s="8">
        <f>COUNTIFS('Raw data'!$D:$D,"*Levi Ampofo*", 'Raw data'!$H:$H,"*Move into Pocket*")</f>
        <v>3</v>
      </c>
      <c r="GQ46" s="8">
        <f>COUNTIFS('Raw data'!$D:$D,"*Levi Ampofo*", 'Raw data'!$H:$H,"*Wide area*")</f>
        <v>9</v>
      </c>
      <c r="GR46" s="8">
        <f>COUNTIFS('Raw data'!$D:$D,"*Levi Ampofo*", 'Raw data'!$H:$H,"*Back to goal*")</f>
        <v>0</v>
      </c>
      <c r="GS46" s="8">
        <f>COUNTIFS('Raw data'!$D:$D,"*Levi Ampofo*", 'Raw data'!$H:$H,"*Over/Underlaps*")</f>
        <v>1</v>
      </c>
      <c r="GT46" s="8">
        <f>COUNTIFS('Raw data'!$D:$D,"*Levi Ampofo*", 'Raw data'!$H:$H,"*Runs in Behind*")</f>
        <v>1</v>
      </c>
      <c r="GU46" s="8">
        <f>COUNTIFS('Raw data'!$D:$D,"*Levi Ampofo*", 'Raw data'!$H:$H,"*Half-space Runs*")</f>
        <v>0</v>
      </c>
      <c r="GV46" s="8">
        <f t="shared" si="320"/>
        <v>8</v>
      </c>
      <c r="GW46" s="8">
        <f t="shared" si="321"/>
        <v>6</v>
      </c>
      <c r="GX46" s="8">
        <f t="shared" si="322"/>
        <v>2</v>
      </c>
      <c r="GY46" s="54">
        <f t="shared" si="323"/>
        <v>0.75</v>
      </c>
      <c r="GZ46" s="54">
        <f t="shared" si="324"/>
        <v>0.25</v>
      </c>
      <c r="HA46" s="8">
        <f>COUNTIFS('Raw data'!$D:$D,"*Levi Ampofo*", 'Raw data'!$K:$K,"*Ground duel*")</f>
        <v>4</v>
      </c>
      <c r="HB46" s="8">
        <f>COUNTIFS('Raw data'!$D:$D,"*Levi Ampofo*", 'Raw data'!$K:$K,"*Ground duel*",'Raw data'!$M:$M,"*Duel Succeeded*")</f>
        <v>3</v>
      </c>
      <c r="HC46" s="8">
        <f>COUNTIFS('Raw data'!$D:$D,"*Levi Ampofo*", 'Raw data'!$K:$K,"*Ground duel*",'Raw data'!$M:$M,"*Duel Unsucceeded*")</f>
        <v>1</v>
      </c>
      <c r="HD46" s="54">
        <f t="shared" si="325"/>
        <v>0.75</v>
      </c>
      <c r="HE46" s="54">
        <f t="shared" si="326"/>
        <v>0.25</v>
      </c>
      <c r="HF46" s="8">
        <f>COUNTIFS('Raw data'!$D:$D,"*Levi Ampofo*", 'Raw data'!$K:$K,"*Aerial duel*")</f>
        <v>1</v>
      </c>
      <c r="HG46" s="8">
        <f>COUNTIFS('Raw data'!$D:$D,"*Levi Ampofo*", 'Raw data'!$K:$K,"*Aerial duel*",'Raw data'!$M:$M,"*Duel Succeeded*")</f>
        <v>0</v>
      </c>
      <c r="HH46" s="8">
        <f>COUNTIFS('Raw data'!$D:$D,"*Levi Ampofo*", 'Raw data'!$K:$K,"*Aerial duel*",'Raw data'!$M:$M,"*Duel Unsucceeded*")</f>
        <v>1</v>
      </c>
      <c r="HI46" s="54" t="str">
        <f t="shared" si="327"/>
        <v>-</v>
      </c>
      <c r="HJ46" s="54" t="str">
        <f t="shared" si="328"/>
        <v>-</v>
      </c>
      <c r="HK46" s="8">
        <f>COUNTIFS('Raw data'!$D:$D,"*Levi Ampofo*", 'Raw data'!$K:$K,"*1v1 defense*")</f>
        <v>3</v>
      </c>
      <c r="HL46" s="8">
        <f>COUNTIFS('Raw data'!$D:$D,"*Levi Ampofo*", 'Raw data'!$K:$K,"*1v1 defense*",'Raw data'!$M:$M,"*Duel Succeeded*")</f>
        <v>2</v>
      </c>
      <c r="HM46" s="8">
        <f>COUNTIFS('Raw data'!$D:$D,"*Levi Ampofo*", 'Raw data'!$K:$K,"*1v1 defense*",'Raw data'!$M:$M,"*Duel Unsucceeded*")</f>
        <v>1</v>
      </c>
      <c r="HN46" s="54">
        <f t="shared" si="329"/>
        <v>0.66666666666666663</v>
      </c>
      <c r="HO46" s="54">
        <f t="shared" si="330"/>
        <v>0.33333333333333331</v>
      </c>
      <c r="HP46" s="8">
        <f>COUNTIFS('Raw data'!$D:$D,"*Levi Ampofo*", 'Raw data'!$J:$J,"*Tackles*")</f>
        <v>1</v>
      </c>
      <c r="HQ46" s="8">
        <f>COUNTIFS('Raw data'!$D:$D,"*Levi Ampofo*", 'Raw data'!$J:$J,"*Tackles*", 'Raw data'!$M:$M,"*Duel Succeeded*")</f>
        <v>1</v>
      </c>
      <c r="HR46" s="8">
        <f>COUNTIFS('Raw data'!$D:$D,"*Levi Ampofo*", 'Raw data'!$J:$J,"*Tackles*", 'Raw data'!$M:$M,"*Duel Unsucceeded*")</f>
        <v>0</v>
      </c>
      <c r="HS46" s="54">
        <f t="shared" si="331"/>
        <v>1</v>
      </c>
      <c r="HT46" s="54">
        <f t="shared" si="332"/>
        <v>0</v>
      </c>
      <c r="HU46" s="8">
        <f>COUNTIFS('Raw data'!$D:$D,"*Levi Ampofo*", 'Raw data'!$K:$K,"*2nd Balls*")</f>
        <v>1</v>
      </c>
      <c r="HV46" s="8">
        <f>COUNTIFS('Raw data'!$D:$D,"*Levi Ampofo*", 'Raw data'!$K:$K,"*2nd Balls*", 'Raw data'!$M:$M,"*Duel Succeeded*")</f>
        <v>0</v>
      </c>
      <c r="HW46" s="8">
        <f>COUNTIFS('Raw data'!$D:$D,"*Levi Ampofo*", 'Raw data'!$K:$K,"*2nd Balls*", 'Raw data'!$M:$M,"*Duel Unsucceeded*")</f>
        <v>1</v>
      </c>
      <c r="HX46" s="54">
        <f t="shared" si="333"/>
        <v>0</v>
      </c>
      <c r="HY46" s="54">
        <f t="shared" si="334"/>
        <v>1</v>
      </c>
      <c r="HZ46" s="8">
        <f>COUNTIFS('Raw data'!$D:$D,"*Levi Ampofo*", 'Raw data'!$J:$J,"*Clearance*")</f>
        <v>1</v>
      </c>
      <c r="IA46" s="8">
        <f>COUNTIFS('Raw data'!$D:$D,"*Levi Ampofo*", 'Raw data'!$J:$J,"*Interception*")</f>
        <v>8</v>
      </c>
      <c r="IB46" s="8">
        <f>COUNTIFS('Raw data'!$D:$D,"*Levi Ampofo*", 'Raw data'!$J:$J,"*Turnover Won*")</f>
        <v>3</v>
      </c>
      <c r="IC46" s="8">
        <f>COUNTIFS('Raw data'!$D:$D,"*Levi Ampofo*", 'Raw data'!$J:$J,"*Recovery*")</f>
        <v>1</v>
      </c>
      <c r="ID46" s="8">
        <f>COUNTIFS('Raw data'!$D:$D,"*Levi Ampofo*", 'Raw data'!$J:$J,"*Blocked Shots*")</f>
        <v>1</v>
      </c>
      <c r="IE46" s="8">
        <f>COUNTIFS('Raw data'!$D:$D,"*Levi Ampofo*", 'Raw data'!$J:$J,"*Man-marking*")</f>
        <v>2</v>
      </c>
      <c r="IF46" s="8">
        <f>COUNTIFS('Raw data'!$D:$D,"*Levi Ampofo*", 'Raw data'!$J:$J,"*Fouls*")</f>
        <v>3</v>
      </c>
      <c r="IG46" s="8">
        <f>COUNTIFS('Raw data'!$D:$D,"*Levi Ampofo*", 'Raw data'!$J:$J,"*Won F*")</f>
        <v>3</v>
      </c>
      <c r="IH46" s="8">
        <f>COUNTIFS('Raw data'!$D:$D,"*Levi Ampofo*", 'Raw data'!$G:$G,"*1v1*")</f>
        <v>0</v>
      </c>
      <c r="II46" s="8">
        <f>COUNTIFS('Raw data'!$D:$D,"*Levi Ampofo*", 'Raw data'!$G:$G,"*On Target*")</f>
        <v>0</v>
      </c>
      <c r="IJ46" s="8">
        <f>COUNTIFS('Raw data'!$D:$D,"*Levi Ampofo*", 'Raw data'!$G:$G,"*Off Target*")</f>
        <v>0</v>
      </c>
      <c r="IK46" s="8">
        <f>COUNTIFS('Raw data'!$D:$D,"*Levi Ampofo*", 'Raw data'!$G:$G,"*Defend the Space*")</f>
        <v>0</v>
      </c>
      <c r="IL46" s="8">
        <f>COUNTIFS('Raw data'!$D:$D,"*Levi Ampofo*", 'Raw data'!$G:$G,"*Conceded*")</f>
        <v>0</v>
      </c>
      <c r="IM46" s="8">
        <f>COUNTIFS('Raw data'!$D:$D,"*Levi Ampofo*", 'Raw data'!$G:$G,"*Save*")</f>
        <v>0</v>
      </c>
      <c r="IN46" s="8">
        <f>COUNTIFS('Raw data'!$D:$D,"*Levi Ampofo*", 'Raw data'!$G:$G,"*Defend the line (Cross)*")</f>
        <v>0</v>
      </c>
      <c r="IO46" s="8">
        <f>COUNTIFS('Raw data'!$D:$D,"*Levi Ampofo*", 'Raw data'!$G:$G,"*Counter Kick*")</f>
        <v>0</v>
      </c>
      <c r="IP46" t="s">
        <v>637</v>
      </c>
    </row>
    <row r="47" spans="3:250">
      <c r="DW47" t="s">
        <v>500</v>
      </c>
      <c r="DX47" t="s">
        <v>777</v>
      </c>
      <c r="DY47">
        <v>80</v>
      </c>
      <c r="DZ47" t="s">
        <v>537</v>
      </c>
      <c r="EA47">
        <f t="shared" si="293"/>
        <v>37</v>
      </c>
      <c r="EB47" s="8">
        <f t="shared" si="294"/>
        <v>26</v>
      </c>
      <c r="EC47" s="8">
        <f t="shared" si="295"/>
        <v>11</v>
      </c>
      <c r="ED47" s="54">
        <f t="shared" si="296"/>
        <v>0.70270270270270274</v>
      </c>
      <c r="EE47" s="54">
        <f t="shared" si="297"/>
        <v>0.29729729729729731</v>
      </c>
      <c r="EF47">
        <f t="shared" si="298"/>
        <v>17</v>
      </c>
      <c r="EG47">
        <f>COUNTIFS('Raw data'!$D:$D,"*Diyar Sonzamanci*", 'Raw data'!$I:$I,"*Forward Pass*",'Raw data'!$M:$M,"*Pass completed*")</f>
        <v>8</v>
      </c>
      <c r="EH47">
        <f>COUNTIFS('Raw data'!$D:$D,"*Diyar Sonzamanci*", 'Raw data'!$I:$I,"*Forward Pass*",'Raw data'!$M:$M,"*Pass Uncompleted*")</f>
        <v>9</v>
      </c>
      <c r="EI47" s="54">
        <f t="shared" si="299"/>
        <v>0.47058823529411764</v>
      </c>
      <c r="EJ47" s="54">
        <f t="shared" si="300"/>
        <v>0.52941176470588236</v>
      </c>
      <c r="EK47">
        <f t="shared" si="301"/>
        <v>6</v>
      </c>
      <c r="EL47" s="8">
        <f>COUNTIFS('Raw data'!$D:$D,"*Diyar Sonzamanci*", 'Raw data'!$I:$I,"*Lateral Pass*",'Raw data'!$M:$M,"*Pass completed*")</f>
        <v>5</v>
      </c>
      <c r="EM47" s="8">
        <f>COUNTIFS('Raw data'!$D:$D,"*Diyar Sonzamanci*", 'Raw data'!$I:$I,"*Lateral Pass*",'Raw data'!$M:$M,"*Pass Uncompleted*")</f>
        <v>1</v>
      </c>
      <c r="EN47" s="54">
        <f t="shared" si="302"/>
        <v>0.83333333333333337</v>
      </c>
      <c r="EO47" s="54">
        <f t="shared" si="303"/>
        <v>0.16666666666666666</v>
      </c>
      <c r="EP47">
        <f t="shared" si="304"/>
        <v>14</v>
      </c>
      <c r="EQ47" s="8">
        <f>COUNTIFS('Raw data'!$D:$D,"*Diyar Sonzamanci*", 'Raw data'!$I:$I,"*Backward Pass*",'Raw data'!$M:$M,"*Pass completed*")</f>
        <v>13</v>
      </c>
      <c r="ER47" s="8">
        <f>COUNTIFS('Raw data'!$D:$D,"*Diyar Sonzamanci*", 'Raw data'!$I:$I,"*Backward Pass*",'Raw data'!$M:$M,"*Pass Uncompleted*")</f>
        <v>1</v>
      </c>
      <c r="ES47" s="54">
        <f t="shared" si="305"/>
        <v>1</v>
      </c>
      <c r="ET47" s="54">
        <f t="shared" si="306"/>
        <v>7.6923076923076927E-2</v>
      </c>
      <c r="EU47" s="8">
        <f>COUNTIFS('Raw data'!$D:$D,"*Diyar Sonzamanci*", 'Raw data'!$I:$I,"*Long Kick*")</f>
        <v>3</v>
      </c>
      <c r="EV47" s="8">
        <f>COUNTIFS('Raw data'!$D:$D,"*Diyar Sonzamanci*", 'Raw data'!$I:$I,"*Long Kick*",'Raw data'!$M:$M,"*Pass completed*")</f>
        <v>2</v>
      </c>
      <c r="EW47" s="8">
        <f>COUNTIFS('Raw data'!$D:$D,"*Diyar Sonzamanci*", 'Raw data'!$I:$I,"*Long Kick*",'Raw data'!$M:$M,"*Pass Uncompleted*")</f>
        <v>2</v>
      </c>
      <c r="EX47" s="54">
        <f t="shared" si="307"/>
        <v>0.66666666666666663</v>
      </c>
      <c r="EY47" s="54">
        <f t="shared" si="308"/>
        <v>0.66666666666666663</v>
      </c>
      <c r="EZ47" s="8">
        <f>COUNTIFS('Raw data'!$D:$D,"*Diyar Sonzamanci*", 'Raw data'!$I:$I,"*Balls in Behind*")</f>
        <v>0</v>
      </c>
      <c r="FA47" s="8">
        <f>COUNTIFS('Raw data'!$D:$D,"*Diyar Sonzamanci*", 'Raw data'!$I:$I,"*Balls in Behind*",'Raw data'!$M:$M,"*Pass completed*")</f>
        <v>0</v>
      </c>
      <c r="FB47" s="8">
        <f>COUNTIFS('Raw data'!$D:$D,"*Diyar Sonzamanci*", 'Raw data'!$I:$I,"*Balls in Behind*",'Raw data'!$M:$M,"*Pass Uncompleted*")</f>
        <v>0</v>
      </c>
      <c r="FC47" s="54" t="str">
        <f t="shared" si="309"/>
        <v>-</v>
      </c>
      <c r="FD47" s="54" t="str">
        <f t="shared" si="310"/>
        <v>-</v>
      </c>
      <c r="FE47" s="8">
        <f>COUNTIFS('Raw data'!$D:$D,"*Diyar Sonzamanci*", 'Raw data'!$I:$I,"*Key/Through pass*")</f>
        <v>0</v>
      </c>
      <c r="FF47" s="8">
        <f>COUNTIFS('Raw data'!$D:$D,"*Diyar Sonzamanci*", 'Raw data'!$I:$I,"*Diagonal pass*")</f>
        <v>0</v>
      </c>
      <c r="FG47" s="8">
        <f>COUNTIFS('Raw data'!$D:$D,"*Diyar Sonzamanci*", 'Raw data'!$I:$I,"*Diagonal pass*",'Raw data'!$M:$M,"*Pass completed*")</f>
        <v>0</v>
      </c>
      <c r="FH47" s="8">
        <f>COUNTIFS('Raw data'!$D:$D,"*Diyar Sonzamanci*", 'Raw data'!$I:$I,"*Diagonal pass*",'Raw data'!$M:$M,"*Pass Uncompleted*")</f>
        <v>0</v>
      </c>
      <c r="FI47" s="54" t="str">
        <f t="shared" si="311"/>
        <v>-</v>
      </c>
      <c r="FJ47" s="54" t="str">
        <f t="shared" si="312"/>
        <v>-</v>
      </c>
      <c r="FK47" s="8">
        <f>COUNTIFS('Raw data'!$D:$D,"*Diyar Sonzamanci*", 'Raw data'!$M:$M,"*Pass Received*")</f>
        <v>21</v>
      </c>
      <c r="FL47" s="8">
        <f>COUNTIFS('Raw data'!$D:$D,"*Diyar Sonzamanci*", 'Raw data'!$M:$M,"*Pass Completed*",'Raw data'!$M:$M,"*Pass Received*")</f>
        <v>16</v>
      </c>
      <c r="FM47" s="8">
        <f>COUNTIFS('Raw data'!$D:$D,"*Diyar Sonzamanci*", 'Raw data'!$M:$M,"*Pass Uncompleted*",'Raw data'!$M:$M,"*Pass Received*")</f>
        <v>3</v>
      </c>
      <c r="FN47" s="8">
        <f>COUNTIFS('Raw data'!$D:$D,"*Diyar Sonzamanci*", 'Raw data'!$M:$M,"*Kept Possession*",'Raw data'!$M:$M,"*Pass Received*")</f>
        <v>2</v>
      </c>
      <c r="FO47" s="8">
        <f>COUNTIFS('Raw data'!$D:$D,"*Diyar Sonzamanci*", 'Raw data'!$M:$M,"*Lost Possession*")</f>
        <v>1</v>
      </c>
      <c r="FP47" s="8">
        <f>COUNTIFS('Raw data'!$D:$D,"*Diyar Sonzamanci*", 'Raw data'!$M:$M,"*Lost Possession*",'Raw data'!$M:$M,"*Lost Final 1/3*")</f>
        <v>0</v>
      </c>
      <c r="FQ47" s="8">
        <f>COUNTIFS('Raw data'!$D:$D,"*Diyar Sonzamanci*", 'Raw data'!$M:$M,"*Lost Possession*",'Raw data'!$M:$M,"*Lost Middle 1/3*")</f>
        <v>1</v>
      </c>
      <c r="FR47" s="8">
        <f>COUNTIFS('Raw data'!$D:$D,"*Diyar Sonzamanci*", 'Raw data'!$M:$M,"*Lost Possession*",'Raw data'!$M:$M,"*Lost Own 1/3*")</f>
        <v>0</v>
      </c>
      <c r="FS47" s="8">
        <f>COUNTIFS('Raw data'!$D:$D,"*Diyar Sonzamanci*", 'Raw data'!$H:$H,"*Touches in the Box*")</f>
        <v>0</v>
      </c>
      <c r="FT47" s="8">
        <f>COUNTIFS('Raw data'!$D:$D,"*Diyar Sonzamanci*", 'Raw data'!$H:$H,"*1v1 Attack*")</f>
        <v>2</v>
      </c>
      <c r="FU47" s="8">
        <f>COUNTIFS('Raw data'!$D:$D,"*Diyar Sonzamanci*", 'Raw data'!$H:$H,"*1v1 Attack*",'Raw data'!$H:$H,"*1v1 Attack*",'Raw data'!$M:$M,"*Kept Possession*")</f>
        <v>2</v>
      </c>
      <c r="FV47" s="8">
        <f>COUNTIFS('Raw data'!$D:$D,"*Diyar Sonzamanci*", 'Raw data'!$H:$H,"*1v1 Attack*",'Raw data'!$H:$H,"*1v1 Attack*",'Raw data'!$M:$M,"*Lost Possession*")</f>
        <v>0</v>
      </c>
      <c r="FW47" s="54">
        <f t="shared" si="313"/>
        <v>1</v>
      </c>
      <c r="FX47" s="54">
        <f t="shared" si="314"/>
        <v>0</v>
      </c>
      <c r="FY47" s="8">
        <f>COUNTIFS('Raw data'!$D:$D,"*Diyar Sonzamanci*", 'Raw data'!$I:$I,"*Cross*")</f>
        <v>1</v>
      </c>
      <c r="FZ47" s="8">
        <f>COUNTIFS('Raw data'!$D:$D,"*Diyar Sonzamanci*", 'Raw data'!$I:$I,"*Cross*",'Raw data'!$M:$M,"*Pass Completed*")</f>
        <v>0</v>
      </c>
      <c r="GA47" s="8">
        <f>COUNTIFS('Raw data'!$D:$D,"*Diyar Sonzamanci*", 'Raw data'!$I:$I,"*Cross*",'Raw data'!$M:$M,"*Pass Uncompleted*")</f>
        <v>1</v>
      </c>
      <c r="GB47" s="54">
        <f t="shared" si="315"/>
        <v>0</v>
      </c>
      <c r="GC47" s="54">
        <f t="shared" si="316"/>
        <v>1</v>
      </c>
      <c r="GD47" s="8">
        <f t="shared" si="317"/>
        <v>0</v>
      </c>
      <c r="GE47" s="8">
        <f>COUNTIFS('Raw data'!$D:$D,"*Diyar Sonzamanci*", 'Raw data'!$L:$L,"*On Target*")</f>
        <v>0</v>
      </c>
      <c r="GF47" s="8">
        <f>COUNTIFS('Raw data'!$D:$D,"*Diyar Sonzamanci*", 'Raw data'!$L:$L,"*Off Target*")</f>
        <v>0</v>
      </c>
      <c r="GG47" s="8">
        <f>COUNTIFS('Raw data'!$D:$D,"*Diyar Sonzamanci*", 'Raw data'!$L:$L,"*Blocked*")</f>
        <v>0</v>
      </c>
      <c r="GH47" s="8">
        <f>COUNTIFS('Raw data'!$D:$D,"*Diyar Sonzamanci*", 'Raw data'!$M:$M,"*Goal*")</f>
        <v>0</v>
      </c>
      <c r="GI47" s="8">
        <f>COUNTIFS('Raw data'!$D:$D,"*Diyar Sonzamanci*", 'Raw data'!$M:$M,"*Assist*")</f>
        <v>0</v>
      </c>
      <c r="GJ47" s="8">
        <f>COUNTIFS('Raw data'!$D:$D,"*Diyar Sonzamanci*", 'Raw data'!$H:$H,"*Offensive duel*")</f>
        <v>0</v>
      </c>
      <c r="GK47" s="8">
        <f>COUNTIFS('Raw data'!$D:$D,"*Diyar Sonzamanci*", 'Raw data'!$H:$H,"*Offensive Duel*",'Raw data'!$H:$H,"*Offensive Duel*",'Raw data'!$M:$M,"*Kept Possession*")</f>
        <v>0</v>
      </c>
      <c r="GL47" s="8">
        <f>COUNTIFS('Raw data'!$D:$D,"*Diyar Sonzamanci*", 'Raw data'!$H:$H,"*Offensive Duel*",'Raw data'!$H:$H,"*Offensive Duel*",'Raw data'!$M:$M,"*Lost Possession*")</f>
        <v>0</v>
      </c>
      <c r="GM47" s="54" t="str">
        <f t="shared" si="318"/>
        <v>-</v>
      </c>
      <c r="GN47" s="54" t="str">
        <f t="shared" si="319"/>
        <v>-</v>
      </c>
      <c r="GO47" s="8">
        <f>COUNTIFS('Raw data'!$D:$D,"*Diyar Sonzamanci*", 'Raw data'!$H:$H,"*Acceleration*")</f>
        <v>3</v>
      </c>
      <c r="GP47" s="8">
        <f>COUNTIFS('Raw data'!$D:$D,"*Diyar Sonzamanci*", 'Raw data'!$H:$H,"*Move into Pocket*")</f>
        <v>0</v>
      </c>
      <c r="GQ47" s="8">
        <f>COUNTIFS('Raw data'!$D:$D,"*Diyar Sonzamanci*", 'Raw data'!$H:$H,"*Wide area*")</f>
        <v>16</v>
      </c>
      <c r="GR47" s="8">
        <f>COUNTIFS('Raw data'!$D:$D,"*Diyar Sonzamanci*", 'Raw data'!$H:$H,"*Back to goal*")</f>
        <v>0</v>
      </c>
      <c r="GS47" s="8">
        <f>COUNTIFS('Raw data'!$D:$D,"*Diyar Sonzamanci*", 'Raw data'!$H:$H,"*Over/Underlaps*")</f>
        <v>0</v>
      </c>
      <c r="GT47" s="8">
        <f>COUNTIFS('Raw data'!$D:$D,"*Diyar Sonzamanci*", 'Raw data'!$H:$H,"*Runs in Behind*")</f>
        <v>0</v>
      </c>
      <c r="GU47" s="8">
        <f>COUNTIFS('Raw data'!$D:$D,"*Diyar Sonzamanci*", 'Raw data'!$H:$H,"*Half-space Runs*")</f>
        <v>0</v>
      </c>
      <c r="GV47" s="8">
        <f t="shared" si="320"/>
        <v>10</v>
      </c>
      <c r="GW47" s="8">
        <f t="shared" si="321"/>
        <v>4</v>
      </c>
      <c r="GX47" s="8">
        <f t="shared" si="322"/>
        <v>6</v>
      </c>
      <c r="GY47" s="54">
        <f t="shared" si="323"/>
        <v>0.4</v>
      </c>
      <c r="GZ47" s="54">
        <f t="shared" si="324"/>
        <v>0.6</v>
      </c>
      <c r="HA47" s="8">
        <f>COUNTIFS('Raw data'!$D:$D,"*Diyar Sonzamanci*", 'Raw data'!$K:$K,"*Ground duel*")</f>
        <v>8</v>
      </c>
      <c r="HB47" s="8">
        <f>COUNTIFS('Raw data'!$D:$D,"*Diyar Sonzamanci*", 'Raw data'!$K:$K,"*Ground duel*",'Raw data'!$M:$M,"*Duel Succeeded*")</f>
        <v>2</v>
      </c>
      <c r="HC47" s="8">
        <f>COUNTIFS('Raw data'!$D:$D,"*Diyar Sonzamanci*", 'Raw data'!$K:$K,"*Ground duel*",'Raw data'!$M:$M,"*Duel Unsucceeded*")</f>
        <v>6</v>
      </c>
      <c r="HD47" s="54">
        <f t="shared" si="325"/>
        <v>0.25</v>
      </c>
      <c r="HE47" s="54">
        <f t="shared" si="326"/>
        <v>0.75</v>
      </c>
      <c r="HF47" s="8">
        <f>COUNTIFS('Raw data'!$D:$D,"*Diyar Sonzamanci*", 'Raw data'!$K:$K,"*Aerial duel*")</f>
        <v>2</v>
      </c>
      <c r="HG47" s="8">
        <f>COUNTIFS('Raw data'!$D:$D,"*Diyar Sonzamanci*", 'Raw data'!$K:$K,"*Aerial duel*",'Raw data'!$M:$M,"*Duel Succeeded*")</f>
        <v>2</v>
      </c>
      <c r="HH47" s="8">
        <f>COUNTIFS('Raw data'!$D:$D,"*Diyar Sonzamanci*", 'Raw data'!$K:$K,"*Aerial duel*",'Raw data'!$M:$M,"*Duel Unsucceeded*")</f>
        <v>0</v>
      </c>
      <c r="HI47" s="54">
        <f t="shared" si="327"/>
        <v>1</v>
      </c>
      <c r="HJ47" s="54">
        <f t="shared" si="328"/>
        <v>0</v>
      </c>
      <c r="HK47" s="8">
        <f>COUNTIFS('Raw data'!$D:$D,"*Diyar Sonzamanci*", 'Raw data'!$K:$K,"*1v1 defense*")</f>
        <v>2</v>
      </c>
      <c r="HL47" s="8">
        <f>COUNTIFS('Raw data'!$D:$D,"*Diyar Sonzamanci*", 'Raw data'!$K:$K,"*1v1 defense*",'Raw data'!$M:$M,"*Duel Succeeded*")</f>
        <v>2</v>
      </c>
      <c r="HM47" s="8">
        <f>COUNTIFS('Raw data'!$D:$D,"*Diyar Sonzamanci*", 'Raw data'!$K:$K,"*1v1 defense*",'Raw data'!$M:$M,"*Duel Unsucceeded*")</f>
        <v>0</v>
      </c>
      <c r="HN47" s="54">
        <f t="shared" si="329"/>
        <v>1</v>
      </c>
      <c r="HO47" s="54">
        <f t="shared" si="330"/>
        <v>0</v>
      </c>
      <c r="HP47" s="8">
        <f>COUNTIFS('Raw data'!$D:$D,"*Diyar Sonzamanci*", 'Raw data'!$J:$J,"*Tackles*")</f>
        <v>2</v>
      </c>
      <c r="HQ47" s="8">
        <f>COUNTIFS('Raw data'!$D:$D,"*Diyar Sonzamanci*", 'Raw data'!$J:$J,"*Tackles*", 'Raw data'!$M:$M,"*Duel Succeeded*")</f>
        <v>2</v>
      </c>
      <c r="HR47" s="8">
        <f>COUNTIFS('Raw data'!$D:$D,"*Diyar Sonzamanci*", 'Raw data'!$J:$J,"*Tackles*", 'Raw data'!$M:$M,"*Duel Unsucceeded*")</f>
        <v>0</v>
      </c>
      <c r="HS47" s="54">
        <f t="shared" si="331"/>
        <v>1</v>
      </c>
      <c r="HT47" s="54">
        <f t="shared" si="332"/>
        <v>0</v>
      </c>
      <c r="HU47" s="8">
        <f>COUNTIFS('Raw data'!$D:$D,"*Diyar Sonzamanci*", 'Raw data'!$K:$K,"*2nd Balls*")</f>
        <v>1</v>
      </c>
      <c r="HV47" s="8">
        <f>COUNTIFS('Raw data'!$D:$D,"*Diyar Sonzamanci*", 'Raw data'!$K:$K,"*2nd Balls*", 'Raw data'!$M:$M,"*Duel Succeeded*")</f>
        <v>1</v>
      </c>
      <c r="HW47" s="8">
        <f>COUNTIFS('Raw data'!$D:$D,"*Diyar Sonzamanci*", 'Raw data'!$K:$K,"*2nd Balls*", 'Raw data'!$M:$M,"*Duel Unsucceeded*")</f>
        <v>0</v>
      </c>
      <c r="HX47" s="54">
        <f t="shared" si="333"/>
        <v>1</v>
      </c>
      <c r="HY47" s="54">
        <f t="shared" si="334"/>
        <v>0</v>
      </c>
      <c r="HZ47" s="8">
        <f>COUNTIFS('Raw data'!$D:$D,"*Diyar Sonzamanci*", 'Raw data'!$J:$J,"*Clearance*")</f>
        <v>2</v>
      </c>
      <c r="IA47" s="8">
        <f>COUNTIFS('Raw data'!$D:$D,"*Diyar Sonzamanci*", 'Raw data'!$J:$J,"*Interception*")</f>
        <v>6</v>
      </c>
      <c r="IB47" s="8">
        <f>COUNTIFS('Raw data'!$D:$D,"*Diyar Sonzamanci*", 'Raw data'!$J:$J,"*Turnover Won*")</f>
        <v>2</v>
      </c>
      <c r="IC47" s="8">
        <f>COUNTIFS('Raw data'!$D:$D,"*Diyar Sonzamanci*", 'Raw data'!$J:$J,"*Recovery*")</f>
        <v>3</v>
      </c>
      <c r="ID47" s="8">
        <f>COUNTIFS('Raw data'!$D:$D,"*Diyar Sonzamanci*", 'Raw data'!$J:$J,"*Blocked Shots*")</f>
        <v>1</v>
      </c>
      <c r="IE47" s="8">
        <f>COUNTIFS('Raw data'!$D:$D,"*Diyar Sonzamanci*", 'Raw data'!$J:$J,"*Man-marking*")</f>
        <v>0</v>
      </c>
      <c r="IF47" s="8">
        <f>COUNTIFS('Raw data'!$D:$D,"*Diyar Sonzamanci*", 'Raw data'!$J:$J,"*Fouls*")</f>
        <v>2</v>
      </c>
      <c r="IG47" s="8">
        <f>COUNTIFS('Raw data'!$D:$D,"*Diyar Sonzamanci*", 'Raw data'!$J:$J,"*Won F*")</f>
        <v>2</v>
      </c>
      <c r="IH47" s="8">
        <f>COUNTIFS('Raw data'!$D:$D,"*Diyar Sonzamanci*", 'Raw data'!$G:$G,"*1v1*")</f>
        <v>0</v>
      </c>
      <c r="II47" s="8">
        <f>COUNTIFS('Raw data'!$D:$D,"*Diyar Sonzamanci*", 'Raw data'!$G:$G,"*On Target*")</f>
        <v>0</v>
      </c>
      <c r="IJ47" s="8">
        <f>COUNTIFS('Raw data'!$D:$D,"*Diyar Sonzamanci*", 'Raw data'!$G:$G,"*Off Target*")</f>
        <v>0</v>
      </c>
      <c r="IK47" s="8">
        <f>COUNTIFS('Raw data'!$D:$D,"*Diyar Sonzamanci*", 'Raw data'!$G:$G,"*Defend the Space*")</f>
        <v>0</v>
      </c>
      <c r="IL47" s="8">
        <f>COUNTIFS('Raw data'!$D:$D,"*Diyar Sonzamanci*", 'Raw data'!$G:$G,"*Conceded*")</f>
        <v>0</v>
      </c>
      <c r="IM47" s="8">
        <f>COUNTIFS('Raw data'!$D:$D,"*Diyar Sonzamanci*", 'Raw data'!$G:$G,"*Save*")</f>
        <v>0</v>
      </c>
      <c r="IN47" s="8">
        <f>COUNTIFS('Raw data'!$D:$D,"*Diyar Sonzamanci*", 'Raw data'!$G:$G,"*Defend the line (Cross)*")</f>
        <v>0</v>
      </c>
      <c r="IO47" s="8">
        <f>COUNTIFS('Raw data'!$D:$D,"*Diyar Sonzamanci*", 'Raw data'!$G:$G,"*Counter Kick*")</f>
        <v>0</v>
      </c>
      <c r="IP47" t="s">
        <v>777</v>
      </c>
    </row>
    <row r="48" spans="3:250">
      <c r="DW48" t="s">
        <v>500</v>
      </c>
      <c r="DX48" t="s">
        <v>774</v>
      </c>
      <c r="DY48">
        <v>40</v>
      </c>
      <c r="DZ48" t="s">
        <v>538</v>
      </c>
      <c r="EA48">
        <f t="shared" si="293"/>
        <v>23</v>
      </c>
      <c r="EB48" s="8">
        <f t="shared" si="294"/>
        <v>22</v>
      </c>
      <c r="EC48" s="8">
        <f t="shared" si="295"/>
        <v>1</v>
      </c>
      <c r="ED48" s="54">
        <f t="shared" si="296"/>
        <v>0.95652173913043481</v>
      </c>
      <c r="EE48" s="54">
        <f t="shared" si="297"/>
        <v>4.3478260869565216E-2</v>
      </c>
      <c r="EF48">
        <f t="shared" si="298"/>
        <v>7</v>
      </c>
      <c r="EG48">
        <f>COUNTIFS('Raw data'!$D:$D,"*Kairo Smith*", 'Raw data'!$I:$I,"*Forward Pass*",'Raw data'!$M:$M,"*Pass completed*")</f>
        <v>6</v>
      </c>
      <c r="EH48">
        <f>COUNTIFS('Raw data'!$D:$D,"*Kairo Smith*", 'Raw data'!$I:$I,"*Forward Pass*",'Raw data'!$M:$M,"*Pass Uncompleted*")</f>
        <v>1</v>
      </c>
      <c r="EI48" s="54">
        <f t="shared" si="299"/>
        <v>0.8571428571428571</v>
      </c>
      <c r="EJ48" s="54">
        <f t="shared" si="300"/>
        <v>0.14285714285714285</v>
      </c>
      <c r="EK48">
        <f t="shared" si="301"/>
        <v>6</v>
      </c>
      <c r="EL48" s="8">
        <f>COUNTIFS('Raw data'!$D:$D,"*Kairo Smith*", 'Raw data'!$I:$I,"*Lateral Pass*",'Raw data'!$M:$M,"*Pass completed*")</f>
        <v>6</v>
      </c>
      <c r="EM48" s="8">
        <f>COUNTIFS('Raw data'!$D:$D,"*Kairo Smith*", 'Raw data'!$I:$I,"*Lateral Pass*",'Raw data'!$M:$M,"*Pass Uncompleted*")</f>
        <v>0</v>
      </c>
      <c r="EN48" s="54">
        <f t="shared" si="302"/>
        <v>1</v>
      </c>
      <c r="EO48" s="54">
        <f t="shared" si="303"/>
        <v>0</v>
      </c>
      <c r="EP48">
        <f t="shared" si="304"/>
        <v>10</v>
      </c>
      <c r="EQ48" s="8">
        <f>COUNTIFS('Raw data'!$D:$D,"*Kairo Smith*", 'Raw data'!$I:$I,"*Backward Pass*",'Raw data'!$M:$M,"*Pass completed*")</f>
        <v>10</v>
      </c>
      <c r="ER48" s="8">
        <f>COUNTIFS('Raw data'!$D:$D,"*Kairo Smith*", 'Raw data'!$I:$I,"*Backward Pass*",'Raw data'!$M:$M,"*Pass Uncompleted*")</f>
        <v>0</v>
      </c>
      <c r="ES48" s="54">
        <f t="shared" si="305"/>
        <v>1</v>
      </c>
      <c r="ET48" s="54">
        <f t="shared" si="306"/>
        <v>0</v>
      </c>
      <c r="EU48" s="8">
        <f>COUNTIFS('Raw data'!$D:$D,"*Kairo Smith*", 'Raw data'!$I:$I,"*Long Kick*")</f>
        <v>1</v>
      </c>
      <c r="EV48" s="8">
        <f>COUNTIFS('Raw data'!$D:$D,"*Kairo Smith*", 'Raw data'!$I:$I,"*Long Kick*",'Raw data'!$M:$M,"*Pass completed*")</f>
        <v>0</v>
      </c>
      <c r="EW48" s="8">
        <f>COUNTIFS('Raw data'!$D:$D,"*Kairo Smith*", 'Raw data'!$I:$I,"*Long Kick*",'Raw data'!$M:$M,"*Pass Uncompleted*")</f>
        <v>1</v>
      </c>
      <c r="EX48" s="54">
        <f t="shared" si="307"/>
        <v>0</v>
      </c>
      <c r="EY48" s="54">
        <f t="shared" si="308"/>
        <v>1</v>
      </c>
      <c r="EZ48" s="8">
        <f>COUNTIFS('Raw data'!$D:$D,"*Kairo Smith*", 'Raw data'!$I:$I,"*Balls in Behind*")</f>
        <v>0</v>
      </c>
      <c r="FA48" s="8">
        <f>COUNTIFS('Raw data'!$D:$D,"*Kairo Smith*", 'Raw data'!$I:$I,"*Balls in Behind*",'Raw data'!$M:$M,"*Pass completed*")</f>
        <v>0</v>
      </c>
      <c r="FB48" s="8">
        <f>COUNTIFS('Raw data'!$D:$D,"*Kairo Smith*", 'Raw data'!$I:$I,"*Balls in Behind*",'Raw data'!$M:$M,"*Pass Uncompleted*")</f>
        <v>0</v>
      </c>
      <c r="FC48" s="54" t="str">
        <f t="shared" si="309"/>
        <v>-</v>
      </c>
      <c r="FD48" s="54" t="str">
        <f t="shared" si="310"/>
        <v>-</v>
      </c>
      <c r="FE48" s="8">
        <f>COUNTIFS('Raw data'!$D:$D,"*Kairo Smith*", 'Raw data'!$I:$I,"*Key/Through pass*")</f>
        <v>1</v>
      </c>
      <c r="FF48" s="8">
        <f>COUNTIFS('Raw data'!$D:$D,"*Kairo Smith*", 'Raw data'!$I:$I,"*Diagonal pass*")</f>
        <v>0</v>
      </c>
      <c r="FG48" s="8">
        <f>COUNTIFS('Raw data'!$D:$D,"*Kairo Smith*", 'Raw data'!$I:$I,"*Diagonal pass*",'Raw data'!$M:$M,"*Pass completed*")</f>
        <v>0</v>
      </c>
      <c r="FH48" s="8">
        <f>COUNTIFS('Raw data'!$D:$D,"*Kairo Smith*", 'Raw data'!$I:$I,"*Diagonal pass*",'Raw data'!$M:$M,"*Pass Uncompleted*")</f>
        <v>0</v>
      </c>
      <c r="FI48" s="54" t="str">
        <f t="shared" si="311"/>
        <v>-</v>
      </c>
      <c r="FJ48" s="54" t="str">
        <f t="shared" si="312"/>
        <v>-</v>
      </c>
      <c r="FK48" s="8">
        <f>COUNTIFS('Raw data'!$D:$D,"*Kairo Smith*", 'Raw data'!$M:$M,"*Pass Received*")</f>
        <v>15</v>
      </c>
      <c r="FL48" s="8">
        <f>COUNTIFS('Raw data'!$D:$D,"*Kairo Smith*", 'Raw data'!$M:$M,"*Pass Completed*",'Raw data'!$M:$M,"*Pass Received*")</f>
        <v>13</v>
      </c>
      <c r="FM48" s="8">
        <f>COUNTIFS('Raw data'!$D:$D,"*Kairo Smith*", 'Raw data'!$M:$M,"*Pass Uncompleted*",'Raw data'!$M:$M,"*Pass Received*")</f>
        <v>0</v>
      </c>
      <c r="FN48" s="8">
        <f>COUNTIFS('Raw data'!$D:$D,"*Kairo Smith*", 'Raw data'!$M:$M,"*Kept Possession*",'Raw data'!$M:$M,"*Pass Received*")</f>
        <v>2</v>
      </c>
      <c r="FO48" s="8">
        <f>COUNTIFS('Raw data'!$D:$D,"*Kairo Smith*", 'Raw data'!$M:$M,"*Lost Possession*")</f>
        <v>2</v>
      </c>
      <c r="FP48" s="8">
        <f>COUNTIFS('Raw data'!$D:$D,"*Kairo Smith*", 'Raw data'!$M:$M,"*Lost Possession*",'Raw data'!$M:$M,"*Lost Final 1/3*")</f>
        <v>0</v>
      </c>
      <c r="FQ48" s="8">
        <f>COUNTIFS('Raw data'!$D:$D,"*Kairo Smith*", 'Raw data'!$M:$M,"*Lost Possession*",'Raw data'!$M:$M,"*Lost Middle 1/3*")</f>
        <v>1</v>
      </c>
      <c r="FR48" s="8">
        <f>COUNTIFS('Raw data'!$D:$D,"*Kairo Smith*", 'Raw data'!$M:$M,"*Lost Possession*",'Raw data'!$M:$M,"*Lost Own 1/3*")</f>
        <v>1</v>
      </c>
      <c r="FS48" s="8">
        <f>COUNTIFS('Raw data'!$D:$D,"*Kairo Smith*", 'Raw data'!$H:$H,"*Touches in the Box*")</f>
        <v>1</v>
      </c>
      <c r="FT48" s="8">
        <f>COUNTIFS('Raw data'!$D:$D,"*Kairo Smith*", 'Raw data'!$H:$H,"*1v1 Attack*")</f>
        <v>1</v>
      </c>
      <c r="FU48" s="8">
        <f>COUNTIFS('Raw data'!$D:$D,"*Kairo Smith*", 'Raw data'!$H:$H,"*1v1 Attack*",'Raw data'!$H:$H,"*1v1 Attack*",'Raw data'!$M:$M,"*Kept Possession*")</f>
        <v>1</v>
      </c>
      <c r="FV48" s="8">
        <f>COUNTIFS('Raw data'!$D:$D,"*Kairo Smith*", 'Raw data'!$H:$H,"*1v1 Attack*",'Raw data'!$H:$H,"*1v1 Attack*",'Raw data'!$M:$M,"*Lost Possession*")</f>
        <v>0</v>
      </c>
      <c r="FW48" s="54">
        <f t="shared" si="313"/>
        <v>1</v>
      </c>
      <c r="FX48" s="54">
        <f t="shared" si="314"/>
        <v>0</v>
      </c>
      <c r="FY48" s="8">
        <f>COUNTIFS('Raw data'!$D:$D,"*Kairo Smith*", 'Raw data'!$I:$I,"*Cross*")</f>
        <v>0</v>
      </c>
      <c r="FZ48" s="8">
        <f>COUNTIFS('Raw data'!$D:$D,"*Kairo Smith*", 'Raw data'!$I:$I,"*Cross*",'Raw data'!$M:$M,"*Pass Completed*")</f>
        <v>0</v>
      </c>
      <c r="GA48" s="8">
        <f>COUNTIFS('Raw data'!$D:$D,"*Kairo Smith*", 'Raw data'!$I:$I,"*Cross*",'Raw data'!$M:$M,"*Pass Uncompleted*")</f>
        <v>0</v>
      </c>
      <c r="GB48" s="54" t="str">
        <f t="shared" si="315"/>
        <v>-</v>
      </c>
      <c r="GC48" s="54" t="str">
        <f t="shared" si="316"/>
        <v>-</v>
      </c>
      <c r="GD48" s="8">
        <f t="shared" si="317"/>
        <v>1</v>
      </c>
      <c r="GE48" s="8">
        <f>COUNTIFS('Raw data'!$D:$D,"*Kairo Smith*", 'Raw data'!$L:$L,"*On Target*")</f>
        <v>0</v>
      </c>
      <c r="GF48" s="8">
        <f>COUNTIFS('Raw data'!$D:$D,"*Kairo Smith*", 'Raw data'!$L:$L,"*Off Target*")</f>
        <v>0</v>
      </c>
      <c r="GG48" s="8">
        <f>COUNTIFS('Raw data'!$D:$D,"*Kairo Smith*", 'Raw data'!$L:$L,"*Blocked*")</f>
        <v>1</v>
      </c>
      <c r="GH48" s="8">
        <f>COUNTIFS('Raw data'!$D:$D,"*Kairo Smith*", 'Raw data'!$M:$M,"*Goal*")</f>
        <v>0</v>
      </c>
      <c r="GI48" s="8">
        <f>COUNTIFS('Raw data'!$D:$D,"*Kairo Smith*", 'Raw data'!$M:$M,"*Assist*")</f>
        <v>0</v>
      </c>
      <c r="GJ48" s="8">
        <f>COUNTIFS('Raw data'!$D:$D,"*Kairo Smith*", 'Raw data'!$H:$H,"*Offensive duel*")</f>
        <v>1</v>
      </c>
      <c r="GK48" s="8">
        <f>COUNTIFS('Raw data'!$D:$D,"*Kairo Smith*", 'Raw data'!$H:$H,"*Offensive Duel*",'Raw data'!$H:$H,"*Offensive Duel*",'Raw data'!$M:$M,"*Kept Possession*")</f>
        <v>1</v>
      </c>
      <c r="GL48" s="8">
        <f>COUNTIFS('Raw data'!$D:$D,"*Kairo Smith*", 'Raw data'!$H:$H,"*Offensive Duel*",'Raw data'!$H:$H,"*Offensive Duel*",'Raw data'!$M:$M,"*Lost Possession*")</f>
        <v>0</v>
      </c>
      <c r="GM48" s="54">
        <f t="shared" si="318"/>
        <v>1</v>
      </c>
      <c r="GN48" s="54">
        <f t="shared" si="319"/>
        <v>0</v>
      </c>
      <c r="GO48" s="8">
        <f>COUNTIFS('Raw data'!$D:$D,"*Kairo Smith*", 'Raw data'!$H:$H,"*Acceleration*")</f>
        <v>1</v>
      </c>
      <c r="GP48" s="8">
        <f>COUNTIFS('Raw data'!$D:$D,"*Kairo Smith*", 'Raw data'!$H:$H,"*Move into Pocket*")</f>
        <v>6</v>
      </c>
      <c r="GQ48" s="8">
        <f>COUNTIFS('Raw data'!$D:$D,"*Kairo Smith*", 'Raw data'!$H:$H,"*Wide area*")</f>
        <v>0</v>
      </c>
      <c r="GR48" s="8">
        <f>COUNTIFS('Raw data'!$D:$D,"*Kairo Smith*", 'Raw data'!$H:$H,"*Back to goal*")</f>
        <v>0</v>
      </c>
      <c r="GS48" s="8">
        <f>COUNTIFS('Raw data'!$D:$D,"*Kairo Smith*", 'Raw data'!$H:$H,"*Over/Underlaps*")</f>
        <v>0</v>
      </c>
      <c r="GT48" s="8">
        <f>COUNTIFS('Raw data'!$D:$D,"*Kairo Smith*", 'Raw data'!$H:$H,"*Runs in Behind*")</f>
        <v>0</v>
      </c>
      <c r="GU48" s="8">
        <f>COUNTIFS('Raw data'!$D:$D,"*Kairo Smith*", 'Raw data'!$H:$H,"*Half-space Runs*")</f>
        <v>0</v>
      </c>
      <c r="GV48" s="8">
        <f t="shared" si="320"/>
        <v>2</v>
      </c>
      <c r="GW48" s="8">
        <f t="shared" si="321"/>
        <v>1</v>
      </c>
      <c r="GX48" s="8">
        <f t="shared" si="322"/>
        <v>1</v>
      </c>
      <c r="GY48" s="54">
        <f t="shared" si="323"/>
        <v>0.5</v>
      </c>
      <c r="GZ48" s="54">
        <f t="shared" si="324"/>
        <v>0.5</v>
      </c>
      <c r="HA48" s="8">
        <f>COUNTIFS('Raw data'!$D:$D,"*Kairo Smith*", 'Raw data'!$K:$K,"*Ground duel*")</f>
        <v>0</v>
      </c>
      <c r="HB48" s="8">
        <f>COUNTIFS('Raw data'!$D:$D,"*Kairo Smith*", 'Raw data'!$K:$K,"*Ground duel*",'Raw data'!$M:$M,"*Duel Succeeded*")</f>
        <v>0</v>
      </c>
      <c r="HC48" s="8">
        <f>COUNTIFS('Raw data'!$D:$D,"*Kairo Smith*", 'Raw data'!$K:$K,"*Ground duel*",'Raw data'!$M:$M,"*Duel Unsucceeded*")</f>
        <v>0</v>
      </c>
      <c r="HD48" s="54" t="str">
        <f t="shared" si="325"/>
        <v>-</v>
      </c>
      <c r="HE48" s="54" t="str">
        <f t="shared" si="326"/>
        <v>-</v>
      </c>
      <c r="HF48" s="8">
        <f>COUNTIFS('Raw data'!$D:$D,"*Kairo Smith*", 'Raw data'!$K:$K,"*Aerial duel*")</f>
        <v>1</v>
      </c>
      <c r="HG48" s="8">
        <f>COUNTIFS('Raw data'!$D:$D,"*Kairo Smith*", 'Raw data'!$K:$K,"*Aerial duel*",'Raw data'!$M:$M,"*Duel Succeeded*")</f>
        <v>0</v>
      </c>
      <c r="HH48" s="8">
        <f>COUNTIFS('Raw data'!$D:$D,"*Kairo Smith*", 'Raw data'!$K:$K,"*Aerial duel*",'Raw data'!$M:$M,"*Duel Unsucceeded*")</f>
        <v>1</v>
      </c>
      <c r="HI48" s="54" t="str">
        <f t="shared" si="327"/>
        <v>-</v>
      </c>
      <c r="HJ48" s="54" t="str">
        <f t="shared" si="328"/>
        <v>-</v>
      </c>
      <c r="HK48" s="8">
        <f>COUNTIFS('Raw data'!$D:$D,"*Kairo Smith*", 'Raw data'!$K:$K,"*1v1 defense*")</f>
        <v>0</v>
      </c>
      <c r="HL48" s="8">
        <f>COUNTIFS('Raw data'!$D:$D,"*Kairo Smith*", 'Raw data'!$K:$K,"*1v1 defense*",'Raw data'!$M:$M,"*Duel Succeeded*")</f>
        <v>0</v>
      </c>
      <c r="HM48" s="8">
        <f>COUNTIFS('Raw data'!$D:$D,"*Kairo Smith*", 'Raw data'!$K:$K,"*1v1 defense*",'Raw data'!$M:$M,"*Duel Unsucceeded*")</f>
        <v>0</v>
      </c>
      <c r="HN48" s="54" t="str">
        <f t="shared" si="329"/>
        <v>-</v>
      </c>
      <c r="HO48" s="54" t="str">
        <f t="shared" si="330"/>
        <v>-</v>
      </c>
      <c r="HP48" s="8">
        <f>COUNTIFS('Raw data'!$D:$D,"*Kairo Smith*", 'Raw data'!$J:$J,"*Tackles*")</f>
        <v>1</v>
      </c>
      <c r="HQ48" s="8">
        <f>COUNTIFS('Raw data'!$D:$D,"*Kairo Smith*", 'Raw data'!$J:$J,"*Tackles*", 'Raw data'!$M:$M,"*Duel Succeeded*")</f>
        <v>1</v>
      </c>
      <c r="HR48" s="8">
        <f>COUNTIFS('Raw data'!$D:$D,"*Kairo Smith*", 'Raw data'!$J:$J,"*Tackles*", 'Raw data'!$M:$M,"*Duel Unsucceeded*")</f>
        <v>0</v>
      </c>
      <c r="HS48" s="54">
        <f t="shared" si="331"/>
        <v>1</v>
      </c>
      <c r="HT48" s="54">
        <f t="shared" si="332"/>
        <v>0</v>
      </c>
      <c r="HU48" s="8">
        <f>COUNTIFS('Raw data'!$D:$D,"*Kairo Smith*", 'Raw data'!$K:$K,"*2nd Balls*")</f>
        <v>4</v>
      </c>
      <c r="HV48" s="8">
        <f>COUNTIFS('Raw data'!$D:$D,"*Kairo Smith*", 'Raw data'!$K:$K,"*2nd Balls*", 'Raw data'!$M:$M,"*Duel Succeeded*")</f>
        <v>3</v>
      </c>
      <c r="HW48" s="8">
        <f>COUNTIFS('Raw data'!$D:$D,"*Kairo Smith*", 'Raw data'!$K:$K,"*2nd Balls*", 'Raw data'!$M:$M,"*Duel Unsucceeded*")</f>
        <v>1</v>
      </c>
      <c r="HX48" s="54">
        <f t="shared" si="333"/>
        <v>0.75</v>
      </c>
      <c r="HY48" s="54">
        <f t="shared" si="334"/>
        <v>0.25</v>
      </c>
      <c r="HZ48" s="8">
        <f>COUNTIFS('Raw data'!$D:$D,"*Kairo Smith*", 'Raw data'!$J:$J,"*Clearance*")</f>
        <v>0</v>
      </c>
      <c r="IA48" s="8">
        <f>COUNTIFS('Raw data'!$D:$D,"*Kairo Smith*", 'Raw data'!$J:$J,"*Interception*")</f>
        <v>2</v>
      </c>
      <c r="IB48" s="8">
        <f>COUNTIFS('Raw data'!$D:$D,"*Kairo Smith*", 'Raw data'!$J:$J,"*Turnover Won*")</f>
        <v>0</v>
      </c>
      <c r="IC48" s="8">
        <f>COUNTIFS('Raw data'!$D:$D,"*Kairo Smith*", 'Raw data'!$J:$J,"*Recovery*")</f>
        <v>0</v>
      </c>
      <c r="ID48" s="8">
        <f>COUNTIFS('Raw data'!$D:$D,"*Kairo Smith*", 'Raw data'!$J:$J,"*Blocked Shots*")</f>
        <v>0</v>
      </c>
      <c r="IE48" s="8">
        <f>COUNTIFS('Raw data'!$D:$D,"*Kairo Smith*", 'Raw data'!$J:$J,"*Man-marking*")</f>
        <v>0</v>
      </c>
      <c r="IF48" s="8">
        <f>COUNTIFS('Raw data'!$D:$D,"*Kairo Smith*", 'Raw data'!$J:$J,"*Fouls*")</f>
        <v>0</v>
      </c>
      <c r="IG48" s="8">
        <f>COUNTIFS('Raw data'!$D:$D,"*Kairo Smith*", 'Raw data'!$J:$J,"*Won F*")</f>
        <v>0</v>
      </c>
      <c r="IH48" s="8">
        <f>COUNTIFS('Raw data'!$D:$D,"*Kairo Smith*", 'Raw data'!$G:$G,"*1v1*")</f>
        <v>0</v>
      </c>
      <c r="II48" s="8">
        <f>COUNTIFS('Raw data'!$D:$D,"*Kairo Smith*", 'Raw data'!$G:$G,"*On Target*")</f>
        <v>0</v>
      </c>
      <c r="IJ48" s="8">
        <f>COUNTIFS('Raw data'!$D:$D,"*Kairo Smith*", 'Raw data'!$G:$G,"*Off Target*")</f>
        <v>0</v>
      </c>
      <c r="IK48" s="8">
        <f>COUNTIFS('Raw data'!$D:$D,"*Kairo Smith*", 'Raw data'!$G:$G,"*Defend the Space*")</f>
        <v>0</v>
      </c>
      <c r="IL48" s="8">
        <f>COUNTIFS('Raw data'!$D:$D,"*Kairo Smith*", 'Raw data'!$G:$G,"*Conceded*")</f>
        <v>0</v>
      </c>
      <c r="IM48" s="8">
        <f>COUNTIFS('Raw data'!$D:$D,"*Kairo Smith*", 'Raw data'!$G:$G,"*Save*")</f>
        <v>0</v>
      </c>
      <c r="IN48" s="8">
        <f>COUNTIFS('Raw data'!$D:$D,"*Kairo Smith*", 'Raw data'!$G:$G,"*Defend the line (Cross)*")</f>
        <v>0</v>
      </c>
      <c r="IO48" s="8">
        <f>COUNTIFS('Raw data'!$D:$D,"*Kairo Smith*", 'Raw data'!$G:$G,"*Counter Kick*")</f>
        <v>0</v>
      </c>
      <c r="IP48" t="s">
        <v>774</v>
      </c>
    </row>
    <row r="49" spans="127:250">
      <c r="DW49" t="s">
        <v>500</v>
      </c>
      <c r="DX49" t="s">
        <v>770</v>
      </c>
      <c r="DY49">
        <v>80</v>
      </c>
      <c r="DZ49" t="s">
        <v>538</v>
      </c>
      <c r="EA49">
        <f t="shared" si="293"/>
        <v>22</v>
      </c>
      <c r="EB49" s="8">
        <f t="shared" si="294"/>
        <v>21</v>
      </c>
      <c r="EC49" s="8">
        <f t="shared" si="295"/>
        <v>1</v>
      </c>
      <c r="ED49" s="54">
        <f t="shared" si="296"/>
        <v>0.95454545454545459</v>
      </c>
      <c r="EE49" s="54">
        <f t="shared" si="297"/>
        <v>4.5454545454545456E-2</v>
      </c>
      <c r="EF49">
        <f t="shared" si="298"/>
        <v>2</v>
      </c>
      <c r="EG49">
        <f>COUNTIFS('Raw data'!$D:$D,"*William Swannell*", 'Raw data'!$I:$I,"*Forward Pass*",'Raw data'!$M:$M,"*Pass completed*")</f>
        <v>2</v>
      </c>
      <c r="EH49">
        <f>COUNTIFS('Raw data'!$D:$D,"*William Swannell*", 'Raw data'!$I:$I,"*Forward Pass*",'Raw data'!$M:$M,"*Pass Uncompleted*")</f>
        <v>0</v>
      </c>
      <c r="EI49" s="54">
        <f t="shared" si="299"/>
        <v>1</v>
      </c>
      <c r="EJ49" s="54">
        <f t="shared" si="300"/>
        <v>0</v>
      </c>
      <c r="EK49">
        <f t="shared" si="301"/>
        <v>12</v>
      </c>
      <c r="EL49" s="8">
        <f>COUNTIFS('Raw data'!$D:$D,"*William Swannell*", 'Raw data'!$I:$I,"*Lateral Pass*",'Raw data'!$M:$M,"*Pass completed*")</f>
        <v>12</v>
      </c>
      <c r="EM49" s="8">
        <f>COUNTIFS('Raw data'!$D:$D,"*William Swannell*", 'Raw data'!$I:$I,"*Lateral Pass*",'Raw data'!$M:$M,"*Pass Uncompleted*")</f>
        <v>0</v>
      </c>
      <c r="EN49" s="54">
        <f t="shared" si="302"/>
        <v>1</v>
      </c>
      <c r="EO49" s="54">
        <f t="shared" si="303"/>
        <v>0</v>
      </c>
      <c r="EP49">
        <f t="shared" si="304"/>
        <v>8</v>
      </c>
      <c r="EQ49" s="8">
        <f>COUNTIFS('Raw data'!$D:$D,"*William Swannell*", 'Raw data'!$I:$I,"*Backward Pass*",'Raw data'!$M:$M,"*Pass completed*")</f>
        <v>7</v>
      </c>
      <c r="ER49" s="8">
        <f>COUNTIFS('Raw data'!$D:$D,"*William Swannell*", 'Raw data'!$I:$I,"*Backward Pass*",'Raw data'!$M:$M,"*Pass Uncompleted*")</f>
        <v>1</v>
      </c>
      <c r="ES49" s="54">
        <f t="shared" si="305"/>
        <v>1</v>
      </c>
      <c r="ET49" s="54">
        <f t="shared" si="306"/>
        <v>0.14285714285714285</v>
      </c>
      <c r="EU49" s="8">
        <f>COUNTIFS('Raw data'!$D:$D,"*William Swannell*", 'Raw data'!$I:$I,"*Long Kick*")</f>
        <v>1</v>
      </c>
      <c r="EV49" s="8">
        <f>COUNTIFS('Raw data'!$D:$D,"*William Swannell*", 'Raw data'!$I:$I,"*Long Kick*",'Raw data'!$M:$M,"*Pass completed*")</f>
        <v>1</v>
      </c>
      <c r="EW49" s="8">
        <f>COUNTIFS('Raw data'!$D:$D,"*William Swannell*", 'Raw data'!$I:$I,"*Long Kick*",'Raw data'!$M:$M,"*Pass Uncompleted*")</f>
        <v>0</v>
      </c>
      <c r="EX49" s="54">
        <f t="shared" si="307"/>
        <v>1</v>
      </c>
      <c r="EY49" s="54">
        <f t="shared" si="308"/>
        <v>0</v>
      </c>
      <c r="EZ49" s="8">
        <f>COUNTIFS('Raw data'!$D:$D,"*William Swannell*", 'Raw data'!$I:$I,"*Balls in Behind*")</f>
        <v>1</v>
      </c>
      <c r="FA49" s="8">
        <f>COUNTIFS('Raw data'!$D:$D,"*William Swannell*", 'Raw data'!$I:$I,"*Balls in Behind*",'Raw data'!$M:$M,"*Pass completed*")</f>
        <v>1</v>
      </c>
      <c r="FB49" s="8">
        <f>COUNTIFS('Raw data'!$D:$D,"*William Swannell*", 'Raw data'!$I:$I,"*Balls in Behind*",'Raw data'!$M:$M,"*Pass Uncompleted*")</f>
        <v>0</v>
      </c>
      <c r="FC49" s="54">
        <f t="shared" si="309"/>
        <v>1</v>
      </c>
      <c r="FD49" s="54">
        <f t="shared" si="310"/>
        <v>0</v>
      </c>
      <c r="FE49" s="8">
        <f>COUNTIFS('Raw data'!$D:$D,"*William Swannell*", 'Raw data'!$I:$I,"*Key/Through pass*")</f>
        <v>1</v>
      </c>
      <c r="FF49" s="8">
        <f>COUNTIFS('Raw data'!$D:$D,"*William Swannell*", 'Raw data'!$I:$I,"*Diagonal pass*")</f>
        <v>0</v>
      </c>
      <c r="FG49" s="8">
        <f>COUNTIFS('Raw data'!$D:$D,"*William Swannell*", 'Raw data'!$I:$I,"*Diagonal pass*",'Raw data'!$M:$M,"*Pass completed*")</f>
        <v>0</v>
      </c>
      <c r="FH49" s="8">
        <f>COUNTIFS('Raw data'!$D:$D,"*William Swannell*", 'Raw data'!$I:$I,"*Diagonal pass*",'Raw data'!$M:$M,"*Pass Uncompleted*")</f>
        <v>0</v>
      </c>
      <c r="FI49" s="54" t="str">
        <f t="shared" si="311"/>
        <v>-</v>
      </c>
      <c r="FJ49" s="54" t="str">
        <f t="shared" si="312"/>
        <v>-</v>
      </c>
      <c r="FK49" s="8">
        <f>COUNTIFS('Raw data'!$D:$D,"*William Swannell*", 'Raw data'!$M:$M,"*Pass Received*")</f>
        <v>15</v>
      </c>
      <c r="FL49" s="8">
        <f>COUNTIFS('Raw data'!$D:$D,"*William Swannell*", 'Raw data'!$M:$M,"*Pass Completed*",'Raw data'!$M:$M,"*Pass Received*")</f>
        <v>12</v>
      </c>
      <c r="FM49" s="8">
        <f>COUNTIFS('Raw data'!$D:$D,"*William Swannell*", 'Raw data'!$M:$M,"*Pass Uncompleted*",'Raw data'!$M:$M,"*Pass Received*")</f>
        <v>1</v>
      </c>
      <c r="FN49" s="8">
        <f>COUNTIFS('Raw data'!$D:$D,"*William Swannell*", 'Raw data'!$M:$M,"*Kept Possession*",'Raw data'!$M:$M,"*Pass Received*")</f>
        <v>0</v>
      </c>
      <c r="FO49" s="8">
        <f>COUNTIFS('Raw data'!$D:$D,"*William Swannell*", 'Raw data'!$M:$M,"*Lost Possession*")</f>
        <v>4</v>
      </c>
      <c r="FP49" s="8">
        <f>COUNTIFS('Raw data'!$D:$D,"*William Swannell*", 'Raw data'!$M:$M,"*Lost Possession*",'Raw data'!$M:$M,"*Lost Final 1/3*")</f>
        <v>0</v>
      </c>
      <c r="FQ49" s="8">
        <f>COUNTIFS('Raw data'!$D:$D,"*William Swannell*", 'Raw data'!$M:$M,"*Lost Possession*",'Raw data'!$M:$M,"*Lost Middle 1/3*")</f>
        <v>2</v>
      </c>
      <c r="FR49" s="8">
        <f>COUNTIFS('Raw data'!$D:$D,"*William Swannell*", 'Raw data'!$M:$M,"*Lost Possession*",'Raw data'!$M:$M,"*Lost Own 1/3*")</f>
        <v>2</v>
      </c>
      <c r="FS49" s="8">
        <f>COUNTIFS('Raw data'!$D:$D,"*William Swannell*", 'Raw data'!$H:$H,"*Touches in the Box*")</f>
        <v>0</v>
      </c>
      <c r="FT49" s="8">
        <f>COUNTIFS('Raw data'!$D:$D,"*William Swannell*", 'Raw data'!$H:$H,"*1v1 Attack*")</f>
        <v>1</v>
      </c>
      <c r="FU49" s="8">
        <f>COUNTIFS('Raw data'!$D:$D,"*William Swannell*", 'Raw data'!$H:$H,"*1v1 Attack*",'Raw data'!$H:$H,"*1v1 Attack*",'Raw data'!$M:$M,"*Kept Possession*")</f>
        <v>1</v>
      </c>
      <c r="FV49" s="8">
        <f>COUNTIFS('Raw data'!$D:$D,"*William Swannell*", 'Raw data'!$H:$H,"*1v1 Attack*",'Raw data'!$H:$H,"*1v1 Attack*",'Raw data'!$M:$M,"*Lost Possession*")</f>
        <v>0</v>
      </c>
      <c r="FW49" s="54">
        <f t="shared" si="313"/>
        <v>1</v>
      </c>
      <c r="FX49" s="54">
        <f t="shared" si="314"/>
        <v>0</v>
      </c>
      <c r="FY49" s="8">
        <f>COUNTIFS('Raw data'!$D:$D,"*William Swannell*", 'Raw data'!$I:$I,"*Cross*")</f>
        <v>0</v>
      </c>
      <c r="FZ49" s="8">
        <f>COUNTIFS('Raw data'!$D:$D,"*William Swannell*", 'Raw data'!$I:$I,"*Cross*",'Raw data'!$M:$M,"*Pass Completed*")</f>
        <v>0</v>
      </c>
      <c r="GA49" s="8">
        <f>COUNTIFS('Raw data'!$D:$D,"*William Swannell*", 'Raw data'!$I:$I,"*Cross*",'Raw data'!$M:$M,"*Pass Uncompleted*")</f>
        <v>0</v>
      </c>
      <c r="GB49" s="54" t="str">
        <f t="shared" si="315"/>
        <v>-</v>
      </c>
      <c r="GC49" s="54" t="str">
        <f t="shared" si="316"/>
        <v>-</v>
      </c>
      <c r="GD49" s="8">
        <f t="shared" si="317"/>
        <v>0</v>
      </c>
      <c r="GE49" s="8">
        <f>COUNTIFS('Raw data'!$D:$D,"*William Swannell*", 'Raw data'!$L:$L,"*On Target*")</f>
        <v>0</v>
      </c>
      <c r="GF49" s="8">
        <f>COUNTIFS('Raw data'!$D:$D,"*William Swannell*", 'Raw data'!$L:$L,"*Off Target*")</f>
        <v>0</v>
      </c>
      <c r="GG49" s="8">
        <f>COUNTIFS('Raw data'!$D:$D,"*William Swannell*", 'Raw data'!$L:$L,"*Blocked*")</f>
        <v>0</v>
      </c>
      <c r="GH49" s="8">
        <f>COUNTIFS('Raw data'!$D:$D,"*William Swannell*", 'Raw data'!$M:$M,"*Goal*")</f>
        <v>0</v>
      </c>
      <c r="GI49" s="8">
        <f>COUNTIFS('Raw data'!$D:$D,"*William Swannell*", 'Raw data'!$M:$M,"*Assist*")</f>
        <v>1</v>
      </c>
      <c r="GJ49" s="8">
        <f>COUNTIFS('Raw data'!$D:$D,"*William Swannell*", 'Raw data'!$H:$H,"*Offensive duel*")</f>
        <v>0</v>
      </c>
      <c r="GK49" s="8">
        <f>COUNTIFS('Raw data'!$D:$D,"*William Swannell*", 'Raw data'!$H:$H,"*Offensive Duel*",'Raw data'!$H:$H,"*Offensive Duel*",'Raw data'!$M:$M,"*Kept Possession*")</f>
        <v>0</v>
      </c>
      <c r="GL49" s="8">
        <f>COUNTIFS('Raw data'!$D:$D,"*William Swannell*", 'Raw data'!$H:$H,"*Offensive Duel*",'Raw data'!$H:$H,"*Offensive Duel*",'Raw data'!$M:$M,"*Lost Possession*")</f>
        <v>0</v>
      </c>
      <c r="GM49" s="54" t="str">
        <f t="shared" si="318"/>
        <v>-</v>
      </c>
      <c r="GN49" s="54" t="str">
        <f t="shared" si="319"/>
        <v>-</v>
      </c>
      <c r="GO49" s="8">
        <f>COUNTIFS('Raw data'!$D:$D,"*William Swannell*", 'Raw data'!$H:$H,"*Acceleration*")</f>
        <v>1</v>
      </c>
      <c r="GP49" s="8">
        <f>COUNTIFS('Raw data'!$D:$D,"*William Swannell*", 'Raw data'!$H:$H,"*Move into Pocket*")</f>
        <v>11</v>
      </c>
      <c r="GQ49" s="8">
        <f>COUNTIFS('Raw data'!$D:$D,"*William Swannell*", 'Raw data'!$H:$H,"*Wide area*")</f>
        <v>1</v>
      </c>
      <c r="GR49" s="8">
        <f>COUNTIFS('Raw data'!$D:$D,"*William Swannell*", 'Raw data'!$H:$H,"*Back to goal*")</f>
        <v>0</v>
      </c>
      <c r="GS49" s="8">
        <f>COUNTIFS('Raw data'!$D:$D,"*William Swannell*", 'Raw data'!$H:$H,"*Over/Underlaps*")</f>
        <v>0</v>
      </c>
      <c r="GT49" s="8">
        <f>COUNTIFS('Raw data'!$D:$D,"*William Swannell*", 'Raw data'!$H:$H,"*Runs in Behind*")</f>
        <v>0</v>
      </c>
      <c r="GU49" s="8">
        <f>COUNTIFS('Raw data'!$D:$D,"*William Swannell*", 'Raw data'!$H:$H,"*Half-space Runs*")</f>
        <v>0</v>
      </c>
      <c r="GV49" s="8">
        <f t="shared" si="320"/>
        <v>5</v>
      </c>
      <c r="GW49" s="8">
        <f t="shared" si="321"/>
        <v>1</v>
      </c>
      <c r="GX49" s="8">
        <f t="shared" si="322"/>
        <v>3</v>
      </c>
      <c r="GY49" s="54">
        <f t="shared" si="323"/>
        <v>0.2</v>
      </c>
      <c r="GZ49" s="54">
        <f t="shared" si="324"/>
        <v>0.6</v>
      </c>
      <c r="HA49" s="8">
        <f>COUNTIFS('Raw data'!$D:$D,"*William Swannell*", 'Raw data'!$K:$K,"*Ground duel*")</f>
        <v>4</v>
      </c>
      <c r="HB49" s="8">
        <f>COUNTIFS('Raw data'!$D:$D,"*William Swannell*", 'Raw data'!$K:$K,"*Ground duel*",'Raw data'!$M:$M,"*Duel Succeeded*")</f>
        <v>1</v>
      </c>
      <c r="HC49" s="8">
        <f>COUNTIFS('Raw data'!$D:$D,"*William Swannell*", 'Raw data'!$K:$K,"*Ground duel*",'Raw data'!$M:$M,"*Duel Unsucceeded*")</f>
        <v>2</v>
      </c>
      <c r="HD49" s="54">
        <f t="shared" si="325"/>
        <v>0.25</v>
      </c>
      <c r="HE49" s="54">
        <f t="shared" si="326"/>
        <v>0.5</v>
      </c>
      <c r="HF49" s="8">
        <f>COUNTIFS('Raw data'!$D:$D,"*William Swannell*", 'Raw data'!$K:$K,"*Aerial duel*")</f>
        <v>1</v>
      </c>
      <c r="HG49" s="8">
        <f>COUNTIFS('Raw data'!$D:$D,"*William Swannell*", 'Raw data'!$K:$K,"*Aerial duel*",'Raw data'!$M:$M,"*Duel Succeeded*")</f>
        <v>0</v>
      </c>
      <c r="HH49" s="8">
        <f>COUNTIFS('Raw data'!$D:$D,"*William Swannell*", 'Raw data'!$K:$K,"*Aerial duel*",'Raw data'!$M:$M,"*Duel Unsucceeded*")</f>
        <v>1</v>
      </c>
      <c r="HI49" s="54" t="str">
        <f t="shared" si="327"/>
        <v>-</v>
      </c>
      <c r="HJ49" s="54" t="str">
        <f t="shared" si="328"/>
        <v>-</v>
      </c>
      <c r="HK49" s="8">
        <f>COUNTIFS('Raw data'!$D:$D,"*William Swannell*", 'Raw data'!$K:$K,"*1v1 defense*")</f>
        <v>0</v>
      </c>
      <c r="HL49" s="8">
        <f>COUNTIFS('Raw data'!$D:$D,"*William Swannell*", 'Raw data'!$K:$K,"*1v1 defense*",'Raw data'!$M:$M,"*Duel Succeeded*")</f>
        <v>0</v>
      </c>
      <c r="HM49" s="8">
        <f>COUNTIFS('Raw data'!$D:$D,"*William Swannell*", 'Raw data'!$K:$K,"*1v1 defense*",'Raw data'!$M:$M,"*Duel Unsucceeded*")</f>
        <v>0</v>
      </c>
      <c r="HN49" s="54" t="str">
        <f t="shared" si="329"/>
        <v>-</v>
      </c>
      <c r="HO49" s="54" t="str">
        <f t="shared" si="330"/>
        <v>-</v>
      </c>
      <c r="HP49" s="8">
        <f>COUNTIFS('Raw data'!$D:$D,"*William Swannell*", 'Raw data'!$J:$J,"*Tackles*")</f>
        <v>2</v>
      </c>
      <c r="HQ49" s="8">
        <f>COUNTIFS('Raw data'!$D:$D,"*William Swannell*", 'Raw data'!$J:$J,"*Tackles*", 'Raw data'!$M:$M,"*Duel Succeeded*")</f>
        <v>2</v>
      </c>
      <c r="HR49" s="8">
        <f>COUNTIFS('Raw data'!$D:$D,"*William Swannell*", 'Raw data'!$J:$J,"*Tackles*", 'Raw data'!$M:$M,"*Duel Unsucceeded*")</f>
        <v>0</v>
      </c>
      <c r="HS49" s="54">
        <f t="shared" si="331"/>
        <v>1</v>
      </c>
      <c r="HT49" s="54">
        <f t="shared" si="332"/>
        <v>0</v>
      </c>
      <c r="HU49" s="8">
        <f>COUNTIFS('Raw data'!$D:$D,"*William Swannell*", 'Raw data'!$K:$K,"*2nd Balls*")</f>
        <v>3</v>
      </c>
      <c r="HV49" s="8">
        <f>COUNTIFS('Raw data'!$D:$D,"*William Swannell*", 'Raw data'!$K:$K,"*2nd Balls*", 'Raw data'!$M:$M,"*Duel Succeeded*")</f>
        <v>1</v>
      </c>
      <c r="HW49" s="8">
        <f>COUNTIFS('Raw data'!$D:$D,"*William Swannell*", 'Raw data'!$K:$K,"*2nd Balls*", 'Raw data'!$M:$M,"*Duel Unsucceeded*")</f>
        <v>2</v>
      </c>
      <c r="HX49" s="54">
        <f t="shared" si="333"/>
        <v>0.33333333333333331</v>
      </c>
      <c r="HY49" s="54">
        <f t="shared" si="334"/>
        <v>0.66666666666666663</v>
      </c>
      <c r="HZ49" s="8">
        <f>COUNTIFS('Raw data'!$D:$D,"*William Swannell*", 'Raw data'!$J:$J,"*Clearance*")</f>
        <v>0</v>
      </c>
      <c r="IA49" s="8">
        <f>COUNTIFS('Raw data'!$D:$D,"*William Swannell*", 'Raw data'!$J:$J,"*Interception*")</f>
        <v>0</v>
      </c>
      <c r="IB49" s="8">
        <f>COUNTIFS('Raw data'!$D:$D,"*William Swannell*", 'Raw data'!$J:$J,"*Turnover Won*")</f>
        <v>1</v>
      </c>
      <c r="IC49" s="8">
        <f>COUNTIFS('Raw data'!$D:$D,"*William Swannell*", 'Raw data'!$J:$J,"*Recovery*")</f>
        <v>0</v>
      </c>
      <c r="ID49" s="8">
        <f>COUNTIFS('Raw data'!$D:$D,"*William Swannell*", 'Raw data'!$J:$J,"*Blocked Shots*")</f>
        <v>0</v>
      </c>
      <c r="IE49" s="8">
        <f>COUNTIFS('Raw data'!$D:$D,"*William Swannell*", 'Raw data'!$J:$J,"*Man-marking*")</f>
        <v>0</v>
      </c>
      <c r="IF49" s="8">
        <f>COUNTIFS('Raw data'!$D:$D,"*William Swannell*", 'Raw data'!$J:$J,"*Fouls*")</f>
        <v>0</v>
      </c>
      <c r="IG49" s="8">
        <f>COUNTIFS('Raw data'!$D:$D,"*William Swannell*", 'Raw data'!$J:$J,"*Won F*")</f>
        <v>0</v>
      </c>
      <c r="IH49" s="8">
        <f>COUNTIFS('Raw data'!$D:$D,"*William Swannell*", 'Raw data'!$G:$G,"*1v1*")</f>
        <v>0</v>
      </c>
      <c r="II49" s="8">
        <f>COUNTIFS('Raw data'!$D:$D,"*William Swannell*", 'Raw data'!$G:$G,"*On Target*")</f>
        <v>0</v>
      </c>
      <c r="IJ49" s="8">
        <f>COUNTIFS('Raw data'!$D:$D,"*William Swannell*", 'Raw data'!$G:$G,"*Off Target*")</f>
        <v>0</v>
      </c>
      <c r="IK49" s="8">
        <f>COUNTIFS('Raw data'!$D:$D,"*William Swannell*", 'Raw data'!$G:$G,"*Defend the Space*")</f>
        <v>0</v>
      </c>
      <c r="IL49" s="8">
        <f>COUNTIFS('Raw data'!$D:$D,"*William Swannell*", 'Raw data'!$G:$G,"*Conceded*")</f>
        <v>0</v>
      </c>
      <c r="IM49" s="8">
        <f>COUNTIFS('Raw data'!$D:$D,"*William Swannell*", 'Raw data'!$G:$G,"*Save*")</f>
        <v>0</v>
      </c>
      <c r="IN49" s="8">
        <f>COUNTIFS('Raw data'!$D:$D,"*William Swannell*", 'Raw data'!$G:$G,"*Defend the line (Cross)*")</f>
        <v>0</v>
      </c>
      <c r="IO49" s="8">
        <f>COUNTIFS('Raw data'!$D:$D,"*William Swannell*", 'Raw data'!$G:$G,"*Counter Kick*")</f>
        <v>0</v>
      </c>
      <c r="IP49" t="s">
        <v>770</v>
      </c>
    </row>
    <row r="50" spans="127:250">
      <c r="DW50" t="s">
        <v>500</v>
      </c>
      <c r="DX50" t="s">
        <v>791</v>
      </c>
      <c r="DY50">
        <v>60</v>
      </c>
      <c r="DZ50" t="s">
        <v>538</v>
      </c>
      <c r="EA50">
        <f t="shared" si="293"/>
        <v>9</v>
      </c>
      <c r="EB50" s="8">
        <f t="shared" si="294"/>
        <v>5</v>
      </c>
      <c r="EC50" s="8">
        <f t="shared" si="295"/>
        <v>4</v>
      </c>
      <c r="ED50" s="54">
        <f t="shared" si="296"/>
        <v>0.55555555555555558</v>
      </c>
      <c r="EE50" s="54">
        <f t="shared" si="297"/>
        <v>0.44444444444444442</v>
      </c>
      <c r="EF50">
        <f t="shared" si="298"/>
        <v>6</v>
      </c>
      <c r="EG50">
        <f>COUNTIFS('Raw data'!$D:$D,"*Hugo McLarnon*", 'Raw data'!$I:$I,"*Forward Pass*",'Raw data'!$M:$M,"*Pass completed*")</f>
        <v>2</v>
      </c>
      <c r="EH50">
        <f>COUNTIFS('Raw data'!$D:$D,"*Hugo McLarnon*", 'Raw data'!$I:$I,"*Forward Pass*",'Raw data'!$M:$M,"*Pass Uncompleted*")</f>
        <v>4</v>
      </c>
      <c r="EI50" s="54">
        <f t="shared" si="299"/>
        <v>0.33333333333333331</v>
      </c>
      <c r="EJ50" s="54">
        <f t="shared" si="300"/>
        <v>0.66666666666666663</v>
      </c>
      <c r="EK50">
        <f t="shared" si="301"/>
        <v>0</v>
      </c>
      <c r="EL50" s="8">
        <f>COUNTIFS('Raw data'!$D:$D,"*Hugo McLarnon*", 'Raw data'!$I:$I,"*Lateral Pass*",'Raw data'!$M:$M,"*Pass completed*")</f>
        <v>0</v>
      </c>
      <c r="EM50" s="8">
        <f>COUNTIFS('Raw data'!$D:$D,"*Hugo McLarnon*", 'Raw data'!$I:$I,"*Lateral Pass*",'Raw data'!$M:$M,"*Pass Uncompleted*")</f>
        <v>0</v>
      </c>
      <c r="EN50" s="54" t="str">
        <f t="shared" si="302"/>
        <v>-</v>
      </c>
      <c r="EO50" s="54" t="str">
        <f t="shared" si="303"/>
        <v>-</v>
      </c>
      <c r="EP50">
        <f t="shared" si="304"/>
        <v>3</v>
      </c>
      <c r="EQ50" s="8">
        <f>COUNTIFS('Raw data'!$D:$D,"*Hugo McLarnon*", 'Raw data'!$I:$I,"*Backward Pass*",'Raw data'!$M:$M,"*Pass completed*")</f>
        <v>3</v>
      </c>
      <c r="ER50" s="8">
        <f>COUNTIFS('Raw data'!$D:$D,"*Hugo McLarnon*", 'Raw data'!$I:$I,"*Backward Pass*",'Raw data'!$M:$M,"*Pass Uncompleted*")</f>
        <v>0</v>
      </c>
      <c r="ES50" s="54">
        <f t="shared" si="305"/>
        <v>1</v>
      </c>
      <c r="ET50" s="54">
        <f t="shared" si="306"/>
        <v>0</v>
      </c>
      <c r="EU50" s="8">
        <f>COUNTIFS('Raw data'!$D:$D,"*Hugo McLarnon*", 'Raw data'!$I:$I,"*Long Kick*")</f>
        <v>1</v>
      </c>
      <c r="EV50" s="8">
        <f>COUNTIFS('Raw data'!$D:$D,"*Hugo McLarnon*", 'Raw data'!$I:$I,"*Long Kick*",'Raw data'!$M:$M,"*Pass completed*")</f>
        <v>0</v>
      </c>
      <c r="EW50" s="8">
        <f>COUNTIFS('Raw data'!$D:$D,"*Hugo McLarnon*", 'Raw data'!$I:$I,"*Long Kick*",'Raw data'!$M:$M,"*Pass Uncompleted*")</f>
        <v>1</v>
      </c>
      <c r="EX50" s="54">
        <f t="shared" si="307"/>
        <v>0</v>
      </c>
      <c r="EY50" s="54">
        <f t="shared" si="308"/>
        <v>1</v>
      </c>
      <c r="EZ50" s="8">
        <f>COUNTIFS('Raw data'!$D:$D,"*Hugo McLarnon*", 'Raw data'!$I:$I,"*Balls in Behind*")</f>
        <v>3</v>
      </c>
      <c r="FA50" s="8">
        <f>COUNTIFS('Raw data'!$D:$D,"*Hugo McLarnon*", 'Raw data'!$I:$I,"*Balls in Behind*",'Raw data'!$M:$M,"*Pass completed*")</f>
        <v>0</v>
      </c>
      <c r="FB50" s="8">
        <f>COUNTIFS('Raw data'!$D:$D,"*Hugo McLarnon*", 'Raw data'!$I:$I,"*Balls in Behind*",'Raw data'!$M:$M,"*Pass Uncompleted*")</f>
        <v>3</v>
      </c>
      <c r="FC50" s="54">
        <f t="shared" si="309"/>
        <v>0</v>
      </c>
      <c r="FD50" s="54">
        <f t="shared" si="310"/>
        <v>1</v>
      </c>
      <c r="FE50" s="8">
        <f>COUNTIFS('Raw data'!$D:$D,"*Hugo McLarnon*", 'Raw data'!$I:$I,"*Key/Through pass*")</f>
        <v>0</v>
      </c>
      <c r="FF50" s="8">
        <f>COUNTIFS('Raw data'!$D:$D,"*Hugo McLarnon*", 'Raw data'!$I:$I,"*Diagonal pass*")</f>
        <v>0</v>
      </c>
      <c r="FG50" s="8">
        <f>COUNTIFS('Raw data'!$D:$D,"*Hugo McLarnon*", 'Raw data'!$I:$I,"*Diagonal pass*",'Raw data'!$M:$M,"*Pass completed*")</f>
        <v>0</v>
      </c>
      <c r="FH50" s="8">
        <f>COUNTIFS('Raw data'!$D:$D,"*Hugo McLarnon*", 'Raw data'!$I:$I,"*Diagonal pass*",'Raw data'!$M:$M,"*Pass Uncompleted*")</f>
        <v>0</v>
      </c>
      <c r="FI50" s="54" t="str">
        <f t="shared" si="311"/>
        <v>-</v>
      </c>
      <c r="FJ50" s="54" t="str">
        <f t="shared" si="312"/>
        <v>-</v>
      </c>
      <c r="FK50" s="8">
        <f>COUNTIFS('Raw data'!$D:$D,"*Hugo McLarnon*", 'Raw data'!$M:$M,"*Pass Received*")</f>
        <v>7</v>
      </c>
      <c r="FL50" s="8">
        <f>COUNTIFS('Raw data'!$D:$D,"*Hugo McLarnon*", 'Raw data'!$M:$M,"*Pass Completed*",'Raw data'!$M:$M,"*Pass Received*")</f>
        <v>4</v>
      </c>
      <c r="FM50" s="8">
        <f>COUNTIFS('Raw data'!$D:$D,"*Hugo McLarnon*", 'Raw data'!$M:$M,"*Pass Uncompleted*",'Raw data'!$M:$M,"*Pass Received*")</f>
        <v>2</v>
      </c>
      <c r="FN50" s="8">
        <f>COUNTIFS('Raw data'!$D:$D,"*Hugo McLarnon*", 'Raw data'!$M:$M,"*Kept Possession*",'Raw data'!$M:$M,"*Pass Received*")</f>
        <v>3</v>
      </c>
      <c r="FO50" s="8">
        <f>COUNTIFS('Raw data'!$D:$D,"*Hugo McLarnon*", 'Raw data'!$M:$M,"*Lost Possession*")</f>
        <v>2</v>
      </c>
      <c r="FP50" s="8">
        <f>COUNTIFS('Raw data'!$D:$D,"*Hugo McLarnon*", 'Raw data'!$M:$M,"*Lost Possession*",'Raw data'!$M:$M,"*Lost Final 1/3*")</f>
        <v>0</v>
      </c>
      <c r="FQ50" s="8">
        <f>COUNTIFS('Raw data'!$D:$D,"*Hugo McLarnon*", 'Raw data'!$M:$M,"*Lost Possession*",'Raw data'!$M:$M,"*Lost Middle 1/3*")</f>
        <v>1</v>
      </c>
      <c r="FR50" s="8">
        <f>COUNTIFS('Raw data'!$D:$D,"*Hugo McLarnon*", 'Raw data'!$M:$M,"*Lost Possession*",'Raw data'!$M:$M,"*Lost Own 1/3*")</f>
        <v>1</v>
      </c>
      <c r="FS50" s="8">
        <f>COUNTIFS('Raw data'!$D:$D,"*Hugo McLarnon*", 'Raw data'!$H:$H,"*Touches in the Box*")</f>
        <v>0</v>
      </c>
      <c r="FT50" s="8">
        <f>COUNTIFS('Raw data'!$D:$D,"*Hugo McLarnon*", 'Raw data'!$H:$H,"*1v1 Attack*")</f>
        <v>2</v>
      </c>
      <c r="FU50" s="8">
        <f>COUNTIFS('Raw data'!$D:$D,"*Hugo McLarnon*", 'Raw data'!$H:$H,"*1v1 Attack*",'Raw data'!$H:$H,"*1v1 Attack*",'Raw data'!$M:$M,"*Kept Possession*")</f>
        <v>2</v>
      </c>
      <c r="FV50" s="8">
        <f>COUNTIFS('Raw data'!$D:$D,"*Hugo McLarnon*", 'Raw data'!$H:$H,"*1v1 Attack*",'Raw data'!$H:$H,"*1v1 Attack*",'Raw data'!$M:$M,"*Lost Possession*")</f>
        <v>0</v>
      </c>
      <c r="FW50" s="54">
        <f t="shared" si="313"/>
        <v>1</v>
      </c>
      <c r="FX50" s="54">
        <f t="shared" si="314"/>
        <v>0</v>
      </c>
      <c r="FY50" s="8">
        <f>COUNTIFS('Raw data'!$D:$D,"*Hugo McLarnon*", 'Raw data'!$I:$I,"*Cross*")</f>
        <v>1</v>
      </c>
      <c r="FZ50" s="8">
        <f>COUNTIFS('Raw data'!$D:$D,"*Hugo McLarnon*", 'Raw data'!$I:$I,"*Cross*",'Raw data'!$M:$M,"*Pass Completed*")</f>
        <v>0</v>
      </c>
      <c r="GA50" s="8">
        <f>COUNTIFS('Raw data'!$D:$D,"*Hugo McLarnon*", 'Raw data'!$I:$I,"*Cross*",'Raw data'!$M:$M,"*Pass Uncompleted*")</f>
        <v>1</v>
      </c>
      <c r="GB50" s="54">
        <f t="shared" si="315"/>
        <v>0</v>
      </c>
      <c r="GC50" s="54">
        <f t="shared" si="316"/>
        <v>1</v>
      </c>
      <c r="GD50" s="8">
        <f t="shared" si="317"/>
        <v>0</v>
      </c>
      <c r="GE50" s="8">
        <f>COUNTIFS('Raw data'!$D:$D,"*Hugo McLarnon*", 'Raw data'!$L:$L,"*On Target*")</f>
        <v>0</v>
      </c>
      <c r="GF50" s="8">
        <f>COUNTIFS('Raw data'!$D:$D,"*Hugo McLarnon*", 'Raw data'!$L:$L,"*Off Target*")</f>
        <v>0</v>
      </c>
      <c r="GG50" s="8">
        <f>COUNTIFS('Raw data'!$D:$D,"*Hugo McLarnon*", 'Raw data'!$L:$L,"*Blocked*")</f>
        <v>0</v>
      </c>
      <c r="GH50" s="8">
        <f>COUNTIFS('Raw data'!$D:$D,"*Hugo McLarnon*", 'Raw data'!$M:$M,"*Goal*")</f>
        <v>0</v>
      </c>
      <c r="GI50" s="8">
        <f>COUNTIFS('Raw data'!$D:$D,"*Hugo McLarnon*", 'Raw data'!$M:$M,"*Assist*")</f>
        <v>0</v>
      </c>
      <c r="GJ50" s="8">
        <f>COUNTIFS('Raw data'!$D:$D,"*Hugo McLarnon*", 'Raw data'!$H:$H,"*Offensive duel*")</f>
        <v>2</v>
      </c>
      <c r="GK50" s="8">
        <f>COUNTIFS('Raw data'!$D:$D,"*Hugo McLarnon*", 'Raw data'!$H:$H,"*Offensive Duel*",'Raw data'!$H:$H,"*Offensive Duel*",'Raw data'!$M:$M,"*Kept Possession*")</f>
        <v>1</v>
      </c>
      <c r="GL50" s="8">
        <f>COUNTIFS('Raw data'!$D:$D,"*Hugo McLarnon*", 'Raw data'!$H:$H,"*Offensive Duel*",'Raw data'!$H:$H,"*Offensive Duel*",'Raw data'!$M:$M,"*Lost Possession*")</f>
        <v>1</v>
      </c>
      <c r="GM50" s="54">
        <f t="shared" si="318"/>
        <v>0.5</v>
      </c>
      <c r="GN50" s="54">
        <f t="shared" si="319"/>
        <v>0.5</v>
      </c>
      <c r="GO50" s="8">
        <f>COUNTIFS('Raw data'!$D:$D,"*Hugo McLarnon*", 'Raw data'!$H:$H,"*Acceleration*")</f>
        <v>0</v>
      </c>
      <c r="GP50" s="8">
        <f>COUNTIFS('Raw data'!$D:$D,"*Hugo McLarnon*", 'Raw data'!$H:$H,"*Move into Pocket*")</f>
        <v>2</v>
      </c>
      <c r="GQ50" s="8">
        <f>COUNTIFS('Raw data'!$D:$D,"*Hugo McLarnon*", 'Raw data'!$H:$H,"*Wide area*")</f>
        <v>0</v>
      </c>
      <c r="GR50" s="8">
        <f>COUNTIFS('Raw data'!$D:$D,"*Hugo McLarnon*", 'Raw data'!$H:$H,"*Back to goal*")</f>
        <v>3</v>
      </c>
      <c r="GS50" s="8">
        <f>COUNTIFS('Raw data'!$D:$D,"*Hugo McLarnon*", 'Raw data'!$H:$H,"*Over/Underlaps*")</f>
        <v>0</v>
      </c>
      <c r="GT50" s="8">
        <f>COUNTIFS('Raw data'!$D:$D,"*Hugo McLarnon*", 'Raw data'!$H:$H,"*Runs in Behind*")</f>
        <v>0</v>
      </c>
      <c r="GU50" s="8">
        <f>COUNTIFS('Raw data'!$D:$D,"*Hugo McLarnon*", 'Raw data'!$H:$H,"*Half-space Runs*")</f>
        <v>0</v>
      </c>
      <c r="GV50" s="8">
        <f t="shared" si="320"/>
        <v>4</v>
      </c>
      <c r="GW50" s="8">
        <f t="shared" si="321"/>
        <v>1</v>
      </c>
      <c r="GX50" s="8">
        <f t="shared" si="322"/>
        <v>3</v>
      </c>
      <c r="GY50" s="54">
        <f t="shared" si="323"/>
        <v>0.25</v>
      </c>
      <c r="GZ50" s="54">
        <f t="shared" si="324"/>
        <v>0.75</v>
      </c>
      <c r="HA50" s="8">
        <f>COUNTIFS('Raw data'!$D:$D,"*Hugo McLarnon*", 'Raw data'!$K:$K,"*Ground duel*")</f>
        <v>2</v>
      </c>
      <c r="HB50" s="8">
        <f>COUNTIFS('Raw data'!$D:$D,"*Hugo McLarnon*", 'Raw data'!$K:$K,"*Ground duel*",'Raw data'!$M:$M,"*Duel Succeeded*")</f>
        <v>0</v>
      </c>
      <c r="HC50" s="8">
        <f>COUNTIFS('Raw data'!$D:$D,"*Hugo McLarnon*", 'Raw data'!$K:$K,"*Ground duel*",'Raw data'!$M:$M,"*Duel Unsucceeded*")</f>
        <v>2</v>
      </c>
      <c r="HD50" s="54">
        <f t="shared" si="325"/>
        <v>0</v>
      </c>
      <c r="HE50" s="54">
        <f t="shared" si="326"/>
        <v>1</v>
      </c>
      <c r="HF50" s="8">
        <f>COUNTIFS('Raw data'!$D:$D,"*Hugo McLarnon*", 'Raw data'!$K:$K,"*Aerial duel*")</f>
        <v>0</v>
      </c>
      <c r="HG50" s="8">
        <f>COUNTIFS('Raw data'!$D:$D,"*Hugo McLarnon*", 'Raw data'!$K:$K,"*Aerial duel*",'Raw data'!$M:$M,"*Duel Succeeded*")</f>
        <v>0</v>
      </c>
      <c r="HH50" s="8">
        <f>COUNTIFS('Raw data'!$D:$D,"*Hugo McLarnon*", 'Raw data'!$K:$K,"*Aerial duel*",'Raw data'!$M:$M,"*Duel Unsucceeded*")</f>
        <v>0</v>
      </c>
      <c r="HI50" s="54" t="str">
        <f t="shared" si="327"/>
        <v>-</v>
      </c>
      <c r="HJ50" s="54" t="str">
        <f t="shared" si="328"/>
        <v>-</v>
      </c>
      <c r="HK50" s="8">
        <f>COUNTIFS('Raw data'!$D:$D,"*Hugo McLarnon*", 'Raw data'!$K:$K,"*1v1 defense*")</f>
        <v>0</v>
      </c>
      <c r="HL50" s="8">
        <f>COUNTIFS('Raw data'!$D:$D,"*Hugo McLarnon*", 'Raw data'!$K:$K,"*1v1 defense*",'Raw data'!$M:$M,"*Duel Succeeded*")</f>
        <v>0</v>
      </c>
      <c r="HM50" s="8">
        <f>COUNTIFS('Raw data'!$D:$D,"*Hugo McLarnon*", 'Raw data'!$K:$K,"*1v1 defense*",'Raw data'!$M:$M,"*Duel Unsucceeded*")</f>
        <v>0</v>
      </c>
      <c r="HN50" s="54" t="str">
        <f t="shared" si="329"/>
        <v>-</v>
      </c>
      <c r="HO50" s="54" t="str">
        <f t="shared" si="330"/>
        <v>-</v>
      </c>
      <c r="HP50" s="8">
        <f>COUNTIFS('Raw data'!$D:$D,"*Hugo McLarnon*", 'Raw data'!$J:$J,"*Tackles*")</f>
        <v>0</v>
      </c>
      <c r="HQ50" s="8">
        <f>COUNTIFS('Raw data'!$D:$D,"*Hugo McLarnon*", 'Raw data'!$J:$J,"*Tackles*", 'Raw data'!$M:$M,"*Duel Succeeded*")</f>
        <v>0</v>
      </c>
      <c r="HR50" s="8">
        <f>COUNTIFS('Raw data'!$D:$D,"*Hugo McLarnon*", 'Raw data'!$J:$J,"*Tackles*", 'Raw data'!$M:$M,"*Duel Unsucceeded*")</f>
        <v>0</v>
      </c>
      <c r="HS50" s="54" t="str">
        <f t="shared" si="331"/>
        <v>-</v>
      </c>
      <c r="HT50" s="54" t="str">
        <f t="shared" si="332"/>
        <v>-</v>
      </c>
      <c r="HU50" s="8">
        <f>COUNTIFS('Raw data'!$D:$D,"*Hugo McLarnon*", 'Raw data'!$K:$K,"*2nd Balls*")</f>
        <v>0</v>
      </c>
      <c r="HV50" s="8">
        <f>COUNTIFS('Raw data'!$D:$D,"*Hugo McLarnon*", 'Raw data'!$K:$K,"*2nd Balls*", 'Raw data'!$M:$M,"*Duel Succeeded*")</f>
        <v>0</v>
      </c>
      <c r="HW50" s="8">
        <f>COUNTIFS('Raw data'!$D:$D,"*Hugo McLarnon*", 'Raw data'!$K:$K,"*2nd Balls*", 'Raw data'!$M:$M,"*Duel Unsucceeded*")</f>
        <v>0</v>
      </c>
      <c r="HX50" s="54" t="str">
        <f t="shared" si="333"/>
        <v>-</v>
      </c>
      <c r="HY50" s="54" t="str">
        <f t="shared" si="334"/>
        <v>-</v>
      </c>
      <c r="HZ50" s="8">
        <f>COUNTIFS('Raw data'!$D:$D,"*Hugo McLarnon*", 'Raw data'!$J:$J,"*Clearance*")</f>
        <v>0</v>
      </c>
      <c r="IA50" s="8">
        <f>COUNTIFS('Raw data'!$D:$D,"*Hugo McLarnon*", 'Raw data'!$J:$J,"*Interception*")</f>
        <v>1</v>
      </c>
      <c r="IB50" s="8">
        <f>COUNTIFS('Raw data'!$D:$D,"*Hugo McLarnon*", 'Raw data'!$J:$J,"*Turnover Won*")</f>
        <v>1</v>
      </c>
      <c r="IC50" s="8">
        <f>COUNTIFS('Raw data'!$D:$D,"*Hugo McLarnon*", 'Raw data'!$J:$J,"*Recovery*")</f>
        <v>2</v>
      </c>
      <c r="ID50" s="8">
        <f>COUNTIFS('Raw data'!$D:$D,"*Hugo McLarnon*", 'Raw data'!$J:$J,"*Blocked Shots*")</f>
        <v>0</v>
      </c>
      <c r="IE50" s="8">
        <f>COUNTIFS('Raw data'!$D:$D,"*Hugo McLarnon*", 'Raw data'!$J:$J,"*Man-marking*")</f>
        <v>0</v>
      </c>
      <c r="IF50" s="8">
        <f>COUNTIFS('Raw data'!$D:$D,"*Hugo McLarnon*", 'Raw data'!$J:$J,"*Fouls*")</f>
        <v>1</v>
      </c>
      <c r="IG50" s="8">
        <f>COUNTIFS('Raw data'!$D:$D,"*Hugo McLarnon*", 'Raw data'!$J:$J,"*Won F*")</f>
        <v>0</v>
      </c>
      <c r="IH50" s="8">
        <f>COUNTIFS('Raw data'!$D:$D,"*Hugo McLarnon*", 'Raw data'!$G:$G,"*1v1*")</f>
        <v>0</v>
      </c>
      <c r="II50" s="8">
        <f>COUNTIFS('Raw data'!$D:$D,"*Hugo McLarnon*", 'Raw data'!$G:$G,"*On Target*")</f>
        <v>0</v>
      </c>
      <c r="IJ50" s="8">
        <f>COUNTIFS('Raw data'!$D:$D,"*Hugo McLarnon*", 'Raw data'!$G:$G,"*Off Target*")</f>
        <v>0</v>
      </c>
      <c r="IK50" s="8">
        <f>COUNTIFS('Raw data'!$D:$D,"*Hugo McLarnon*", 'Raw data'!$G:$G,"*Defend the Space*")</f>
        <v>0</v>
      </c>
      <c r="IL50" s="8">
        <f>COUNTIFS('Raw data'!$D:$D,"*Hugo McLarnon*", 'Raw data'!$G:$G,"*Conceded*")</f>
        <v>0</v>
      </c>
      <c r="IM50" s="8">
        <f>COUNTIFS('Raw data'!$D:$D,"*Hugo McLarnon*", 'Raw data'!$G:$G,"*Save*")</f>
        <v>0</v>
      </c>
      <c r="IN50" s="8">
        <f>COUNTIFS('Raw data'!$D:$D,"*Hugo McLarnon*", 'Raw data'!$G:$G,"*Defend the line (Cross)*")</f>
        <v>0</v>
      </c>
      <c r="IO50" s="8">
        <f>COUNTIFS('Raw data'!$D:$D,"*Hugo McLarnon*", 'Raw data'!$G:$G,"*Counter Kick*")</f>
        <v>0</v>
      </c>
      <c r="IP50" t="s">
        <v>791</v>
      </c>
    </row>
    <row r="51" spans="127:250">
      <c r="DW51" t="s">
        <v>500</v>
      </c>
      <c r="DX51" t="s">
        <v>685</v>
      </c>
      <c r="DY51">
        <v>60</v>
      </c>
      <c r="DZ51" t="s">
        <v>538</v>
      </c>
      <c r="EA51">
        <f t="shared" ref="EA51" si="335">EB51+EC51</f>
        <v>7</v>
      </c>
      <c r="EB51" s="8">
        <f t="shared" ref="EB51" si="336">EG51+EL51+EQ51</f>
        <v>4</v>
      </c>
      <c r="EC51" s="8">
        <f t="shared" ref="EC51" si="337">EH51+EM51+ER51</f>
        <v>3</v>
      </c>
      <c r="ED51" s="54">
        <f t="shared" ref="ED51" si="338">IFERROR(EB51/$EA51,"-")</f>
        <v>0.5714285714285714</v>
      </c>
      <c r="EE51" s="54">
        <f t="shared" ref="EE51" si="339">IFERROR(EC51/$EA51,"-")</f>
        <v>0.42857142857142855</v>
      </c>
      <c r="EF51">
        <f t="shared" ref="EF51" si="340">EG51+EH51</f>
        <v>4</v>
      </c>
      <c r="EG51">
        <f>COUNTIFS('Raw data'!$D:$D,"*Harley Moyes*", 'Raw data'!$I:$I,"*Forward Pass*",'Raw data'!$M:$M,"*Pass completed*")</f>
        <v>2</v>
      </c>
      <c r="EH51">
        <f>COUNTIFS('Raw data'!$D:$D,"*Harley Moyes*", 'Raw data'!$I:$I,"*Forward Pass*",'Raw data'!$M:$M,"*Pass Uncompleted*")</f>
        <v>2</v>
      </c>
      <c r="EI51" s="54">
        <f t="shared" ref="EI51" si="341">IFERROR(EG51/$EF51,"-")</f>
        <v>0.5</v>
      </c>
      <c r="EJ51" s="54">
        <f t="shared" ref="EJ51" si="342">IFERROR(EH51/$EF51,"-")</f>
        <v>0.5</v>
      </c>
      <c r="EK51">
        <f t="shared" ref="EK51" si="343">EL51+EM51</f>
        <v>2</v>
      </c>
      <c r="EL51" s="8">
        <f>COUNTIFS('Raw data'!$D:$D,"*Harley Moyes*", 'Raw data'!$I:$I,"*Lateral Pass*",'Raw data'!$M:$M,"*Pass completed*")</f>
        <v>1</v>
      </c>
      <c r="EM51" s="8">
        <f>COUNTIFS('Raw data'!$D:$D,"*Harley Moyes*", 'Raw data'!$I:$I,"*Lateral Pass*",'Raw data'!$M:$M,"*Pass Uncompleted*")</f>
        <v>1</v>
      </c>
      <c r="EN51" s="54">
        <f t="shared" ref="EN51" si="344">IFERROR(EL51/$EK51,"-")</f>
        <v>0.5</v>
      </c>
      <c r="EO51" s="54">
        <f t="shared" ref="EO51" si="345">IFERROR(EM51/$EK51,"-")</f>
        <v>0.5</v>
      </c>
      <c r="EP51">
        <f t="shared" ref="EP51" si="346">EQ51+ER51</f>
        <v>1</v>
      </c>
      <c r="EQ51" s="8">
        <f>COUNTIFS('Raw data'!$D:$D,"*Harley Moyes*", 'Raw data'!$I:$I,"*Backward Pass*",'Raw data'!$M:$M,"*Pass completed*")</f>
        <v>1</v>
      </c>
      <c r="ER51" s="8">
        <f>COUNTIFS('Raw data'!$D:$D,"*Harley Moyes*", 'Raw data'!$I:$I,"*Backward Pass*",'Raw data'!$M:$M,"*Pass Uncompleted*")</f>
        <v>0</v>
      </c>
      <c r="ES51" s="54">
        <f t="shared" ref="ES51" si="347">IFERROR(EQ51/$EQ51,"-")</f>
        <v>1</v>
      </c>
      <c r="ET51" s="54">
        <f t="shared" ref="ET51" si="348">IFERROR(ER51/$EQ51,"-")</f>
        <v>0</v>
      </c>
      <c r="EU51" s="8">
        <f>COUNTIFS('Raw data'!$D:$D,"*Harley Moyes*", 'Raw data'!$I:$I,"*Long Kick*")</f>
        <v>1</v>
      </c>
      <c r="EV51" s="8">
        <f>COUNTIFS('Raw data'!$D:$D,"*Harley Moyes*", 'Raw data'!$I:$I,"*Long Kick*",'Raw data'!$M:$M,"*Pass completed*")</f>
        <v>0</v>
      </c>
      <c r="EW51" s="8">
        <f>COUNTIFS('Raw data'!$D:$D,"*Harley Moyes*", 'Raw data'!$I:$I,"*Long Kick*",'Raw data'!$M:$M,"*Pass Uncompleted*")</f>
        <v>1</v>
      </c>
      <c r="EX51" s="54">
        <f t="shared" ref="EX51" si="349">IFERROR(EV51/$EU51,"-")</f>
        <v>0</v>
      </c>
      <c r="EY51" s="54">
        <f t="shared" ref="EY51" si="350">IFERROR(EW51/$EU51,"-")</f>
        <v>1</v>
      </c>
      <c r="EZ51" s="8">
        <f>COUNTIFS('Raw data'!$D:$D,"*Harley Moyes*", 'Raw data'!$I:$I,"*Balls in Behind*")</f>
        <v>2</v>
      </c>
      <c r="FA51" s="8">
        <f>COUNTIFS('Raw data'!$D:$D,"*Harley Moyes*", 'Raw data'!$I:$I,"*Balls in Behind*",'Raw data'!$M:$M,"*Pass completed*")</f>
        <v>1</v>
      </c>
      <c r="FB51" s="8">
        <f>COUNTIFS('Raw data'!$D:$D,"*Harley Moyes*", 'Raw data'!$I:$I,"*Balls in Behind*",'Raw data'!$M:$M,"*Pass Uncompleted*")</f>
        <v>1</v>
      </c>
      <c r="FC51" s="54">
        <f t="shared" ref="FC51" si="351">IFERROR(FA51/$EZ51,"-")</f>
        <v>0.5</v>
      </c>
      <c r="FD51" s="54">
        <f t="shared" ref="FD51" si="352">IFERROR(FB51/$EZ51,"-")</f>
        <v>0.5</v>
      </c>
      <c r="FE51" s="8">
        <f>COUNTIFS('Raw data'!$D:$D,"*Harley Moyes*", 'Raw data'!$I:$I,"*Key/Through pass*")</f>
        <v>0</v>
      </c>
      <c r="FF51" s="8">
        <f>COUNTIFS('Raw data'!$D:$D,"*Harley Moyes*", 'Raw data'!$I:$I,"*Diagonal pass*")</f>
        <v>0</v>
      </c>
      <c r="FG51" s="8">
        <f>COUNTIFS('Raw data'!$D:$D,"*Harley Moyes*", 'Raw data'!$I:$I,"*Diagonal pass*",'Raw data'!$M:$M,"*Pass completed*")</f>
        <v>0</v>
      </c>
      <c r="FH51" s="8">
        <f>COUNTIFS('Raw data'!$D:$D,"*Harley Moyes*", 'Raw data'!$I:$I,"*Diagonal pass*",'Raw data'!$M:$M,"*Pass Uncompleted*")</f>
        <v>0</v>
      </c>
      <c r="FI51" s="54" t="str">
        <f t="shared" ref="FI51" si="353">IFERROR(FG51/$FF51,"-")</f>
        <v>-</v>
      </c>
      <c r="FJ51" s="54" t="str">
        <f t="shared" ref="FJ51" si="354">IFERROR(FH51/$FF51,"-")</f>
        <v>-</v>
      </c>
      <c r="FK51" s="8">
        <f>COUNTIFS('Raw data'!$D:$D,"*Harley Moyes*", 'Raw data'!$M:$M,"*Pass Received*")</f>
        <v>4</v>
      </c>
      <c r="FL51" s="8">
        <f>COUNTIFS('Raw data'!$D:$D,"*Harley Moyes*", 'Raw data'!$M:$M,"*Pass Completed*",'Raw data'!$M:$M,"*Pass Received*")</f>
        <v>1</v>
      </c>
      <c r="FM51" s="8">
        <f>COUNTIFS('Raw data'!$D:$D,"*Harley Moyes*", 'Raw data'!$M:$M,"*Pass Uncompleted*",'Raw data'!$M:$M,"*Pass Received*")</f>
        <v>2</v>
      </c>
      <c r="FN51" s="8">
        <f>COUNTIFS('Raw data'!$D:$D,"*Harley Moyes*", 'Raw data'!$M:$M,"*Kept Possession*",'Raw data'!$M:$M,"*Pass Received*")</f>
        <v>1</v>
      </c>
      <c r="FO51" s="8">
        <f>COUNTIFS('Raw data'!$D:$D,"*Harley Moyes*", 'Raw data'!$M:$M,"*Lost Possession*")</f>
        <v>1</v>
      </c>
      <c r="FP51" s="8">
        <f>COUNTIFS('Raw data'!$D:$D,"*Harley Moyes*", 'Raw data'!$M:$M,"*Lost Possession*",'Raw data'!$M:$M,"*Lost Final 1/3*")</f>
        <v>0</v>
      </c>
      <c r="FQ51" s="8">
        <f>COUNTIFS('Raw data'!$D:$D,"*Harley Moyes*", 'Raw data'!$M:$M,"*Lost Possession*",'Raw data'!$M:$M,"*Lost Middle 1/3*")</f>
        <v>0</v>
      </c>
      <c r="FR51" s="8">
        <f>COUNTIFS('Raw data'!$D:$D,"*Harley Moyes*", 'Raw data'!$M:$M,"*Lost Possession*",'Raw data'!$M:$M,"*Lost Own 1/3*")</f>
        <v>1</v>
      </c>
      <c r="FS51" s="8">
        <f>COUNTIFS('Raw data'!$D:$D,"*Harley Moyes*", 'Raw data'!$H:$H,"*Touches in the Box*")</f>
        <v>0</v>
      </c>
      <c r="FT51" s="8">
        <f>COUNTIFS('Raw data'!$D:$D,"*Harley Moyes*", 'Raw data'!$H:$H,"*1v1 Attack*")</f>
        <v>2</v>
      </c>
      <c r="FU51" s="8">
        <f>COUNTIFS('Raw data'!$D:$D,"*Harley Moyes*", 'Raw data'!$H:$H,"*1v1 Attack*",'Raw data'!$H:$H,"*1v1 Attack*",'Raw data'!$M:$M,"*Kept Possession*")</f>
        <v>2</v>
      </c>
      <c r="FV51" s="8">
        <f>COUNTIFS('Raw data'!$D:$D,"*Harley Moyes*", 'Raw data'!$H:$H,"*1v1 Attack*",'Raw data'!$H:$H,"*1v1 Attack*",'Raw data'!$M:$M,"*Lost Possession*")</f>
        <v>0</v>
      </c>
      <c r="FW51" s="54">
        <f t="shared" ref="FW51" si="355">IFERROR(FU51/$FT51,"-")</f>
        <v>1</v>
      </c>
      <c r="FX51" s="54">
        <f t="shared" ref="FX51" si="356">IFERROR(FV51/$FT51,"-")</f>
        <v>0</v>
      </c>
      <c r="FY51" s="8">
        <f>COUNTIFS('Raw data'!$D:$D,"*Harley Moyes*", 'Raw data'!$I:$I,"*Cross*")</f>
        <v>0</v>
      </c>
      <c r="FZ51" s="8">
        <f>COUNTIFS('Raw data'!$D:$D,"*Harley Moyes*", 'Raw data'!$I:$I,"*Cross*",'Raw data'!$M:$M,"*Pass Completed*")</f>
        <v>0</v>
      </c>
      <c r="GA51" s="8">
        <f>COUNTIFS('Raw data'!$D:$D,"*Harley Moyes*", 'Raw data'!$I:$I,"*Cross*",'Raw data'!$M:$M,"*Pass Uncompleted*")</f>
        <v>0</v>
      </c>
      <c r="GB51" s="54" t="str">
        <f t="shared" ref="GB51" si="357">IFERROR(FZ51/$FY51,"-")</f>
        <v>-</v>
      </c>
      <c r="GC51" s="54" t="str">
        <f t="shared" ref="GC51" si="358">IFERROR(GA51/$FY51,"-")</f>
        <v>-</v>
      </c>
      <c r="GD51" s="8">
        <f t="shared" ref="GD51" si="359">SUM(GE51:GG51)</f>
        <v>0</v>
      </c>
      <c r="GE51" s="8">
        <f>COUNTIFS('Raw data'!$D:$D,"*Harley Moyes*", 'Raw data'!$L:$L,"*On Target*")</f>
        <v>0</v>
      </c>
      <c r="GF51" s="8">
        <f>COUNTIFS('Raw data'!$D:$D,"*Harley Moyes*", 'Raw data'!$L:$L,"*Off Target*")</f>
        <v>0</v>
      </c>
      <c r="GG51" s="8">
        <f>COUNTIFS('Raw data'!$D:$D,"*Harley Moyes*", 'Raw data'!$L:$L,"*Blocked*")</f>
        <v>0</v>
      </c>
      <c r="GH51" s="8">
        <f>COUNTIFS('Raw data'!$D:$D,"*Harley Moyes*", 'Raw data'!$M:$M,"*Goal*")</f>
        <v>0</v>
      </c>
      <c r="GI51" s="8">
        <f>COUNTIFS('Raw data'!$D:$D,"*Harley Moyes*", 'Raw data'!$M:$M,"*Assist*")</f>
        <v>1</v>
      </c>
      <c r="GJ51" s="8">
        <f>COUNTIFS('Raw data'!$D:$D,"*Harley Moyes*", 'Raw data'!$H:$H,"*Offensive duel*")</f>
        <v>0</v>
      </c>
      <c r="GK51" s="8">
        <f>COUNTIFS('Raw data'!$D:$D,"*Harley Moyes*", 'Raw data'!$H:$H,"*Offensive Duel*",'Raw data'!$H:$H,"*Offensive Duel*",'Raw data'!$M:$M,"*Kept Possession*")</f>
        <v>0</v>
      </c>
      <c r="GL51" s="8">
        <f>COUNTIFS('Raw data'!$D:$D,"*Harley Moyes*", 'Raw data'!$H:$H,"*Offensive Duel*",'Raw data'!$H:$H,"*Offensive Duel*",'Raw data'!$M:$M,"*Lost Possession*")</f>
        <v>0</v>
      </c>
      <c r="GM51" s="54" t="str">
        <f t="shared" ref="GM51" si="360">IFERROR(GK51/$GJ51,"-")</f>
        <v>-</v>
      </c>
      <c r="GN51" s="54" t="str">
        <f t="shared" ref="GN51" si="361">IFERROR(GL51/$GJ51,"-")</f>
        <v>-</v>
      </c>
      <c r="GO51" s="8">
        <f>COUNTIFS('Raw data'!$D:$D,"*Harley Moyes*", 'Raw data'!$H:$H,"*Acceleration*")</f>
        <v>0</v>
      </c>
      <c r="GP51" s="8">
        <f>COUNTIFS('Raw data'!$D:$D,"*Harley Moyes*", 'Raw data'!$H:$H,"*Move into Pocket*")</f>
        <v>3</v>
      </c>
      <c r="GQ51" s="8">
        <f>COUNTIFS('Raw data'!$D:$D,"*Harley Moyes*", 'Raw data'!$H:$H,"*Wide area*")</f>
        <v>0</v>
      </c>
      <c r="GR51" s="8">
        <f>COUNTIFS('Raw data'!$D:$D,"*Harley Moyes*", 'Raw data'!$H:$H,"*Back to goal*")</f>
        <v>0</v>
      </c>
      <c r="GS51" s="8">
        <f>COUNTIFS('Raw data'!$D:$D,"*Harley Moyes*", 'Raw data'!$H:$H,"*Over/Underlaps*")</f>
        <v>0</v>
      </c>
      <c r="GT51" s="8">
        <f>COUNTIFS('Raw data'!$D:$D,"*Harley Moyes*", 'Raw data'!$H:$H,"*Runs in Behind*")</f>
        <v>0</v>
      </c>
      <c r="GU51" s="8">
        <f>COUNTIFS('Raw data'!$D:$D,"*Harley Moyes*", 'Raw data'!$H:$H,"*Half-space Runs*")</f>
        <v>0</v>
      </c>
      <c r="GV51" s="8">
        <f t="shared" ref="GV51" si="362">SUM(GJ51,HA51,HF51)</f>
        <v>2</v>
      </c>
      <c r="GW51" s="8">
        <f t="shared" ref="GW51" si="363">SUM(GK51,HB51,HG51)</f>
        <v>0</v>
      </c>
      <c r="GX51" s="8">
        <f t="shared" ref="GX51" si="364">SUM(GL51,HC51,HH51)</f>
        <v>2</v>
      </c>
      <c r="GY51" s="54">
        <f t="shared" ref="GY51" si="365">IFERROR(GW51/$GV51,"-")</f>
        <v>0</v>
      </c>
      <c r="GZ51" s="54">
        <f t="shared" ref="GZ51" si="366">IFERROR(GX51/$GV51,"-")</f>
        <v>1</v>
      </c>
      <c r="HA51" s="8">
        <f>COUNTIFS('Raw data'!$D:$D,"*Harley Moyes*", 'Raw data'!$K:$K,"*Ground duel*")</f>
        <v>0</v>
      </c>
      <c r="HB51" s="8">
        <f>COUNTIFS('Raw data'!$D:$D,"*Harley Moyes*", 'Raw data'!$K:$K,"*Ground duel*",'Raw data'!$M:$M,"*Duel Succeeded*")</f>
        <v>0</v>
      </c>
      <c r="HC51" s="8">
        <f>COUNTIFS('Raw data'!$D:$D,"*Harley Moyes*", 'Raw data'!$K:$K,"*Ground duel*",'Raw data'!$M:$M,"*Duel Unsucceeded*")</f>
        <v>0</v>
      </c>
      <c r="HD51" s="54" t="str">
        <f t="shared" ref="HD51" si="367">IFERROR(HB51/$HA51,"-")</f>
        <v>-</v>
      </c>
      <c r="HE51" s="54" t="str">
        <f t="shared" ref="HE51" si="368">IFERROR(HC51/$HA51,"-")</f>
        <v>-</v>
      </c>
      <c r="HF51" s="8">
        <f>COUNTIFS('Raw data'!$D:$D,"*Harley Moyes*", 'Raw data'!$K:$K,"*Aerial duel*")</f>
        <v>2</v>
      </c>
      <c r="HG51" s="8">
        <f>COUNTIFS('Raw data'!$D:$D,"*Harley Moyes*", 'Raw data'!$K:$K,"*Aerial duel*",'Raw data'!$M:$M,"*Duel Succeeded*")</f>
        <v>0</v>
      </c>
      <c r="HH51" s="8">
        <f>COUNTIFS('Raw data'!$D:$D,"*Harley Moyes*", 'Raw data'!$K:$K,"*Aerial duel*",'Raw data'!$M:$M,"*Duel Unsucceeded*")</f>
        <v>2</v>
      </c>
      <c r="HI51" s="54" t="str">
        <f t="shared" ref="HI51" si="369">IFERROR(HG51/$HG51,"-")</f>
        <v>-</v>
      </c>
      <c r="HJ51" s="54" t="str">
        <f t="shared" ref="HJ51" si="370">IFERROR(HH51/$HG51,"-")</f>
        <v>-</v>
      </c>
      <c r="HK51" s="8">
        <f>COUNTIFS('Raw data'!$D:$D,"*Harley Moyes*", 'Raw data'!$K:$K,"*1v1 defense*")</f>
        <v>0</v>
      </c>
      <c r="HL51" s="8">
        <f>COUNTIFS('Raw data'!$D:$D,"*Harley Moyes*", 'Raw data'!$K:$K,"*1v1 defense*",'Raw data'!$M:$M,"*Duel Succeeded*")</f>
        <v>0</v>
      </c>
      <c r="HM51" s="8">
        <f>COUNTIFS('Raw data'!$D:$D,"*Harley Moyes*", 'Raw data'!$K:$K,"*1v1 defense*",'Raw data'!$M:$M,"*Duel Unsucceeded*")</f>
        <v>0</v>
      </c>
      <c r="HN51" s="54" t="str">
        <f t="shared" ref="HN51" si="371">IFERROR(HL51/$HK51,"-")</f>
        <v>-</v>
      </c>
      <c r="HO51" s="54" t="str">
        <f t="shared" ref="HO51" si="372">IFERROR(HM51/$HK51,"-")</f>
        <v>-</v>
      </c>
      <c r="HP51" s="8">
        <f>COUNTIFS('Raw data'!$D:$D,"*Harley Moyes*", 'Raw data'!$J:$J,"*Tackles*")</f>
        <v>1</v>
      </c>
      <c r="HQ51" s="8">
        <f>COUNTIFS('Raw data'!$D:$D,"*Harley Moyes*", 'Raw data'!$J:$J,"*Tackles*", 'Raw data'!$M:$M,"*Duel Succeeded*")</f>
        <v>1</v>
      </c>
      <c r="HR51" s="8">
        <f>COUNTIFS('Raw data'!$D:$D,"*Harley Moyes*", 'Raw data'!$J:$J,"*Tackles*", 'Raw data'!$M:$M,"*Duel Unsucceeded*")</f>
        <v>0</v>
      </c>
      <c r="HS51" s="54">
        <f t="shared" ref="HS51" si="373">IFERROR(HQ51/$HP51,"-")</f>
        <v>1</v>
      </c>
      <c r="HT51" s="54">
        <f t="shared" ref="HT51" si="374">IFERROR(HR51/$HP51,"-")</f>
        <v>0</v>
      </c>
      <c r="HU51" s="8">
        <f>COUNTIFS('Raw data'!$D:$D,"*Harley Moyes*", 'Raw data'!$K:$K,"*2nd Balls*")</f>
        <v>2</v>
      </c>
      <c r="HV51" s="8">
        <f>COUNTIFS('Raw data'!$D:$D,"*Harley Moyes*", 'Raw data'!$K:$K,"*2nd Balls*", 'Raw data'!$M:$M,"*Duel Succeeded*")</f>
        <v>2</v>
      </c>
      <c r="HW51" s="8">
        <f>COUNTIFS('Raw data'!$D:$D,"*Harley Moyes*", 'Raw data'!$K:$K,"*2nd Balls*", 'Raw data'!$M:$M,"*Duel Unsucceeded*")</f>
        <v>0</v>
      </c>
      <c r="HX51" s="54">
        <f t="shared" ref="HX51" si="375">IFERROR(HV51/$HU51,"-")</f>
        <v>1</v>
      </c>
      <c r="HY51" s="54">
        <f t="shared" ref="HY51" si="376">IFERROR(HW51/$HU51,"-")</f>
        <v>0</v>
      </c>
      <c r="HZ51" s="8">
        <f>COUNTIFS('Raw data'!$D:$D,"*Harley Moyes*", 'Raw data'!$J:$J,"*Clearance*")</f>
        <v>0</v>
      </c>
      <c r="IA51" s="8">
        <f>COUNTIFS('Raw data'!$D:$D,"*Harley Moyes*", 'Raw data'!$J:$J,"*Interception*")</f>
        <v>1</v>
      </c>
      <c r="IB51" s="8">
        <f>COUNTIFS('Raw data'!$D:$D,"*Harley Moyes*", 'Raw data'!$J:$J,"*Turnover Won*")</f>
        <v>3</v>
      </c>
      <c r="IC51" s="8">
        <f>COUNTIFS('Raw data'!$D:$D,"*Harley Moyes*", 'Raw data'!$J:$J,"*Recovery*")</f>
        <v>1</v>
      </c>
      <c r="ID51" s="8">
        <f>COUNTIFS('Raw data'!$D:$D,"*Harley Moyes*", 'Raw data'!$J:$J,"*Blocked Shots*")</f>
        <v>1</v>
      </c>
      <c r="IE51" s="8">
        <f>COUNTIFS('Raw data'!$D:$D,"*Harley Moyes*", 'Raw data'!$J:$J,"*Man-marking*")</f>
        <v>0</v>
      </c>
      <c r="IF51" s="8">
        <f>COUNTIFS('Raw data'!$D:$D,"*Harley Moyes*", 'Raw data'!$J:$J,"*Fouls*")</f>
        <v>0</v>
      </c>
      <c r="IG51" s="8">
        <f>COUNTIFS('Raw data'!$D:$D,"*Harley Moyes*", 'Raw data'!$J:$J,"*Won F*")</f>
        <v>0</v>
      </c>
      <c r="IH51" s="8">
        <f>COUNTIFS('Raw data'!$D:$D,"*Harley Moyes*", 'Raw data'!$G:$G,"*1v1*")</f>
        <v>0</v>
      </c>
      <c r="II51" s="8">
        <f>COUNTIFS('Raw data'!$D:$D,"*Harley Moyes*", 'Raw data'!$G:$G,"*On Target*")</f>
        <v>0</v>
      </c>
      <c r="IJ51" s="8">
        <f>COUNTIFS('Raw data'!$D:$D,"*Harley Moyes*", 'Raw data'!$G:$G,"*Off Target*")</f>
        <v>0</v>
      </c>
      <c r="IK51" s="8">
        <f>COUNTIFS('Raw data'!$D:$D,"*Harley Moyes*", 'Raw data'!$G:$G,"*Defend the Space*")</f>
        <v>0</v>
      </c>
      <c r="IL51" s="8">
        <f>COUNTIFS('Raw data'!$D:$D,"*Harley Moyes*", 'Raw data'!$G:$G,"*Conceded*")</f>
        <v>0</v>
      </c>
      <c r="IM51" s="8">
        <f>COUNTIFS('Raw data'!$D:$D,"*Harley Moyes*", 'Raw data'!$G:$G,"*Save*")</f>
        <v>0</v>
      </c>
      <c r="IN51" s="8">
        <f>COUNTIFS('Raw data'!$D:$D,"*Harley Moyes*", 'Raw data'!$G:$G,"*Defend the line (Cross)*")</f>
        <v>0</v>
      </c>
      <c r="IO51" s="8">
        <f>COUNTIFS('Raw data'!$D:$D,"*Harley Moyes*", 'Raw data'!$G:$G,"*Counter Kick*")</f>
        <v>0</v>
      </c>
      <c r="IP51" t="s">
        <v>685</v>
      </c>
    </row>
    <row r="52" spans="127:250">
      <c r="DW52" t="s">
        <v>500</v>
      </c>
      <c r="DX52" t="s">
        <v>793</v>
      </c>
      <c r="DY52">
        <v>60</v>
      </c>
      <c r="DZ52" t="s">
        <v>538</v>
      </c>
      <c r="EA52">
        <f t="shared" ref="EA52" si="377">EB52+EC52</f>
        <v>12</v>
      </c>
      <c r="EB52" s="8">
        <f t="shared" ref="EB52" si="378">EG52+EL52+EQ52</f>
        <v>8</v>
      </c>
      <c r="EC52" s="8">
        <f t="shared" ref="EC52" si="379">EH52+EM52+ER52</f>
        <v>4</v>
      </c>
      <c r="ED52" s="54">
        <f t="shared" ref="ED52" si="380">IFERROR(EB52/$EA52,"-")</f>
        <v>0.66666666666666663</v>
      </c>
      <c r="EE52" s="54">
        <f t="shared" ref="EE52" si="381">IFERROR(EC52/$EA52,"-")</f>
        <v>0.33333333333333331</v>
      </c>
      <c r="EF52">
        <f t="shared" ref="EF52" si="382">EG52+EH52</f>
        <v>8</v>
      </c>
      <c r="EG52">
        <f>COUNTIFS('Raw data'!$D:$D,"*Reyes White*", 'Raw data'!$I:$I,"*Forward Pass*",'Raw data'!$M:$M,"*Pass completed*")</f>
        <v>5</v>
      </c>
      <c r="EH52">
        <f>COUNTIFS('Raw data'!$D:$D,"*Reyes White*", 'Raw data'!$I:$I,"*Forward Pass*",'Raw data'!$M:$M,"*Pass Uncompleted*")</f>
        <v>3</v>
      </c>
      <c r="EI52" s="54">
        <f t="shared" ref="EI52" si="383">IFERROR(EG52/$EF52,"-")</f>
        <v>0.625</v>
      </c>
      <c r="EJ52" s="54">
        <f t="shared" ref="EJ52" si="384">IFERROR(EH52/$EF52,"-")</f>
        <v>0.375</v>
      </c>
      <c r="EK52">
        <f t="shared" ref="EK52" si="385">EL52+EM52</f>
        <v>1</v>
      </c>
      <c r="EL52" s="8">
        <f>COUNTIFS('Raw data'!$D:$D,"*Reyes White*", 'Raw data'!$I:$I,"*Lateral Pass*",'Raw data'!$M:$M,"*Pass completed*")</f>
        <v>0</v>
      </c>
      <c r="EM52" s="8">
        <f>COUNTIFS('Raw data'!$D:$D,"*Reyes White*", 'Raw data'!$I:$I,"*Lateral Pass*",'Raw data'!$M:$M,"*Pass Uncompleted*")</f>
        <v>1</v>
      </c>
      <c r="EN52" s="54">
        <f t="shared" ref="EN52" si="386">IFERROR(EL52/$EK52,"-")</f>
        <v>0</v>
      </c>
      <c r="EO52" s="54">
        <f t="shared" ref="EO52" si="387">IFERROR(EM52/$EK52,"-")</f>
        <v>1</v>
      </c>
      <c r="EP52">
        <f t="shared" ref="EP52" si="388">EQ52+ER52</f>
        <v>3</v>
      </c>
      <c r="EQ52" s="8">
        <f>COUNTIFS('Raw data'!$D:$D,"*Reyes White*", 'Raw data'!$I:$I,"*Backward Pass*",'Raw data'!$M:$M,"*Pass completed*")</f>
        <v>3</v>
      </c>
      <c r="ER52" s="8">
        <f>COUNTIFS('Raw data'!$D:$D,"*Reyes White*", 'Raw data'!$I:$I,"*Backward Pass*",'Raw data'!$M:$M,"*Pass Uncompleted*")</f>
        <v>0</v>
      </c>
      <c r="ES52" s="54">
        <f t="shared" ref="ES52" si="389">IFERROR(EQ52/$EQ52,"-")</f>
        <v>1</v>
      </c>
      <c r="ET52" s="54">
        <f t="shared" ref="ET52" si="390">IFERROR(ER52/$EQ52,"-")</f>
        <v>0</v>
      </c>
      <c r="EU52" s="8">
        <f>COUNTIFS('Raw data'!$D:$D,"*Reyes White*", 'Raw data'!$I:$I,"*Long Kick*")</f>
        <v>0</v>
      </c>
      <c r="EV52" s="8">
        <f>COUNTIFS('Raw data'!$D:$D,"*Reyes White*", 'Raw data'!$I:$I,"*Long Kick*",'Raw data'!$M:$M,"*Pass completed*")</f>
        <v>0</v>
      </c>
      <c r="EW52" s="8">
        <f>COUNTIFS('Raw data'!$D:$D,"*Reyes White*", 'Raw data'!$I:$I,"*Long Kick*",'Raw data'!$M:$M,"*Pass Uncompleted*")</f>
        <v>0</v>
      </c>
      <c r="EX52" s="54" t="str">
        <f t="shared" ref="EX52" si="391">IFERROR(EV52/$EU52,"-")</f>
        <v>-</v>
      </c>
      <c r="EY52" s="54" t="str">
        <f t="shared" ref="EY52" si="392">IFERROR(EW52/$EU52,"-")</f>
        <v>-</v>
      </c>
      <c r="EZ52" s="8">
        <f>COUNTIFS('Raw data'!$D:$D,"*Reyes White*", 'Raw data'!$I:$I,"*Balls in Behind*")</f>
        <v>0</v>
      </c>
      <c r="FA52" s="8">
        <f>COUNTIFS('Raw data'!$D:$D,"*Reyes White*", 'Raw data'!$I:$I,"*Balls in Behind*",'Raw data'!$M:$M,"*Pass completed*")</f>
        <v>0</v>
      </c>
      <c r="FB52" s="8">
        <f>COUNTIFS('Raw data'!$D:$D,"*Reyes White*", 'Raw data'!$I:$I,"*Balls in Behind*",'Raw data'!$M:$M,"*Pass Uncompleted*")</f>
        <v>0</v>
      </c>
      <c r="FC52" s="54" t="str">
        <f t="shared" ref="FC52" si="393">IFERROR(FA52/$EZ52,"-")</f>
        <v>-</v>
      </c>
      <c r="FD52" s="54" t="str">
        <f t="shared" ref="FD52" si="394">IFERROR(FB52/$EZ52,"-")</f>
        <v>-</v>
      </c>
      <c r="FE52" s="8">
        <f>COUNTIFS('Raw data'!$D:$D,"*Reyes White*", 'Raw data'!$I:$I,"*Key/Through pass*")</f>
        <v>0</v>
      </c>
      <c r="FF52" s="8">
        <f>COUNTIFS('Raw data'!$D:$D,"*Reyes White*", 'Raw data'!$I:$I,"*Diagonal pass*")</f>
        <v>0</v>
      </c>
      <c r="FG52" s="8">
        <f>COUNTIFS('Raw data'!$D:$D,"*Reyes White*", 'Raw data'!$I:$I,"*Diagonal pass*",'Raw data'!$M:$M,"*Pass completed*")</f>
        <v>0</v>
      </c>
      <c r="FH52" s="8">
        <f>COUNTIFS('Raw data'!$D:$D,"*Reyes White*", 'Raw data'!$I:$I,"*Diagonal pass*",'Raw data'!$M:$M,"*Pass Uncompleted*")</f>
        <v>0</v>
      </c>
      <c r="FI52" s="54" t="str">
        <f t="shared" ref="FI52" si="395">IFERROR(FG52/$FF52,"-")</f>
        <v>-</v>
      </c>
      <c r="FJ52" s="54" t="str">
        <f t="shared" ref="FJ52" si="396">IFERROR(FH52/$FF52,"-")</f>
        <v>-</v>
      </c>
      <c r="FK52" s="8">
        <f>COUNTIFS('Raw data'!$D:$D,"*Reyes White*", 'Raw data'!$M:$M,"*Pass Received*")</f>
        <v>10</v>
      </c>
      <c r="FL52" s="8">
        <f>COUNTIFS('Raw data'!$D:$D,"*Reyes White*", 'Raw data'!$M:$M,"*Pass Completed*",'Raw data'!$M:$M,"*Pass Received*")</f>
        <v>7</v>
      </c>
      <c r="FM52" s="8">
        <f>COUNTIFS('Raw data'!$D:$D,"*Reyes White*", 'Raw data'!$M:$M,"*Pass Uncompleted*",'Raw data'!$M:$M,"*Pass Received*")</f>
        <v>1</v>
      </c>
      <c r="FN52" s="8">
        <f>COUNTIFS('Raw data'!$D:$D,"*Reyes White*", 'Raw data'!$M:$M,"*Kept Possession*",'Raw data'!$M:$M,"*Pass Received*")</f>
        <v>0</v>
      </c>
      <c r="FO52" s="8">
        <f>COUNTIFS('Raw data'!$D:$D,"*Reyes White*", 'Raw data'!$M:$M,"*Lost Possession*")</f>
        <v>2</v>
      </c>
      <c r="FP52" s="8">
        <f>COUNTIFS('Raw data'!$D:$D,"*Reyes White*", 'Raw data'!$M:$M,"*Lost Possession*",'Raw data'!$M:$M,"*Lost Final 1/3*")</f>
        <v>0</v>
      </c>
      <c r="FQ52" s="8">
        <f>COUNTIFS('Raw data'!$D:$D,"*Reyes White*", 'Raw data'!$M:$M,"*Lost Possession*",'Raw data'!$M:$M,"*Lost Middle 1/3*")</f>
        <v>0</v>
      </c>
      <c r="FR52" s="8">
        <f>COUNTIFS('Raw data'!$D:$D,"*Reyes White*", 'Raw data'!$M:$M,"*Lost Possession*",'Raw data'!$M:$M,"*Lost Own 1/3*")</f>
        <v>2</v>
      </c>
      <c r="FS52" s="8">
        <f>COUNTIFS('Raw data'!$D:$D,"*Reyes White*", 'Raw data'!$H:$H,"*Touches in the Box*")</f>
        <v>0</v>
      </c>
      <c r="FT52" s="8">
        <f>COUNTIFS('Raw data'!$D:$D,"*Reyes White*", 'Raw data'!$H:$H,"*1v1 Attack*")</f>
        <v>0</v>
      </c>
      <c r="FU52" s="8">
        <f>COUNTIFS('Raw data'!$D:$D,"*Reyes White*", 'Raw data'!$H:$H,"*1v1 Attack*",'Raw data'!$H:$H,"*1v1 Attack*",'Raw data'!$M:$M,"*Kept Possession*")</f>
        <v>0</v>
      </c>
      <c r="FV52" s="8">
        <f>COUNTIFS('Raw data'!$D:$D,"*Reyes White*", 'Raw data'!$H:$H,"*1v1 Attack*",'Raw data'!$H:$H,"*1v1 Attack*",'Raw data'!$M:$M,"*Lost Possession*")</f>
        <v>0</v>
      </c>
      <c r="FW52" s="54" t="str">
        <f t="shared" ref="FW52" si="397">IFERROR(FU52/$FT52,"-")</f>
        <v>-</v>
      </c>
      <c r="FX52" s="54" t="str">
        <f t="shared" ref="FX52" si="398">IFERROR(FV52/$FT52,"-")</f>
        <v>-</v>
      </c>
      <c r="FY52" s="8">
        <f>COUNTIFS('Raw data'!$D:$D,"*Reyes White*", 'Raw data'!$I:$I,"*Cross*")</f>
        <v>0</v>
      </c>
      <c r="FZ52" s="8">
        <f>COUNTIFS('Raw data'!$D:$D,"*Reyes White*", 'Raw data'!$I:$I,"*Cross*",'Raw data'!$M:$M,"*Pass Completed*")</f>
        <v>0</v>
      </c>
      <c r="GA52" s="8">
        <f>COUNTIFS('Raw data'!$D:$D,"*Reyes White*", 'Raw data'!$I:$I,"*Cross*",'Raw data'!$M:$M,"*Pass Uncompleted*")</f>
        <v>0</v>
      </c>
      <c r="GB52" s="54" t="str">
        <f t="shared" ref="GB52" si="399">IFERROR(FZ52/$FY52,"-")</f>
        <v>-</v>
      </c>
      <c r="GC52" s="54" t="str">
        <f t="shared" ref="GC52" si="400">IFERROR(GA52/$FY52,"-")</f>
        <v>-</v>
      </c>
      <c r="GD52" s="8">
        <f t="shared" ref="GD52" si="401">SUM(GE52:GG52)</f>
        <v>0</v>
      </c>
      <c r="GE52" s="8">
        <f>COUNTIFS('Raw data'!$D:$D,"*Reyes White*", 'Raw data'!$L:$L,"*On Target*")</f>
        <v>0</v>
      </c>
      <c r="GF52" s="8">
        <f>COUNTIFS('Raw data'!$D:$D,"*Reyes White*", 'Raw data'!$L:$L,"*Off Target*")</f>
        <v>0</v>
      </c>
      <c r="GG52" s="8">
        <f>COUNTIFS('Raw data'!$D:$D,"*Reyes White*", 'Raw data'!$L:$L,"*Blocked*")</f>
        <v>0</v>
      </c>
      <c r="GH52" s="8">
        <f>COUNTIFS('Raw data'!$D:$D,"*Reyes White*", 'Raw data'!$M:$M,"*Goal*")</f>
        <v>0</v>
      </c>
      <c r="GI52" s="8">
        <f>COUNTIFS('Raw data'!$D:$D,"*Reyes White*", 'Raw data'!$M:$M,"*Assist*")</f>
        <v>0</v>
      </c>
      <c r="GJ52" s="8">
        <f>COUNTIFS('Raw data'!$D:$D,"*Reyes White*", 'Raw data'!$H:$H,"*Offensive duel*")</f>
        <v>0</v>
      </c>
      <c r="GK52" s="8">
        <f>COUNTIFS('Raw data'!$D:$D,"*Reyes White*", 'Raw data'!$H:$H,"*Offensive Duel*",'Raw data'!$H:$H,"*Offensive Duel*",'Raw data'!$M:$M,"*Kept Possession*")</f>
        <v>0</v>
      </c>
      <c r="GL52" s="8">
        <f>COUNTIFS('Raw data'!$D:$D,"*Reyes White*", 'Raw data'!$H:$H,"*Offensive Duel*",'Raw data'!$H:$H,"*Offensive Duel*",'Raw data'!$M:$M,"*Lost Possession*")</f>
        <v>0</v>
      </c>
      <c r="GM52" s="54" t="str">
        <f t="shared" ref="GM52" si="402">IFERROR(GK52/$GJ52,"-")</f>
        <v>-</v>
      </c>
      <c r="GN52" s="54" t="str">
        <f t="shared" ref="GN52" si="403">IFERROR(GL52/$GJ52,"-")</f>
        <v>-</v>
      </c>
      <c r="GO52" s="8">
        <f>COUNTIFS('Raw data'!$D:$D,"*Reyes White*", 'Raw data'!$H:$H,"*Acceleration*")</f>
        <v>0</v>
      </c>
      <c r="GP52" s="8">
        <f>COUNTIFS('Raw data'!$D:$D,"*Reyes White*", 'Raw data'!$H:$H,"*Move into Pocket*")</f>
        <v>4</v>
      </c>
      <c r="GQ52" s="8">
        <f>COUNTIFS('Raw data'!$D:$D,"*Reyes White*", 'Raw data'!$H:$H,"*Wide area*")</f>
        <v>0</v>
      </c>
      <c r="GR52" s="8">
        <f>COUNTIFS('Raw data'!$D:$D,"*Reyes White*", 'Raw data'!$H:$H,"*Back to goal*")</f>
        <v>0</v>
      </c>
      <c r="GS52" s="8">
        <f>COUNTIFS('Raw data'!$D:$D,"*Reyes White*", 'Raw data'!$H:$H,"*Over/Underlaps*")</f>
        <v>0</v>
      </c>
      <c r="GT52" s="8">
        <f>COUNTIFS('Raw data'!$D:$D,"*Reyes White*", 'Raw data'!$H:$H,"*Runs in Behind*")</f>
        <v>0</v>
      </c>
      <c r="GU52" s="8">
        <f>COUNTIFS('Raw data'!$D:$D,"*Reyes White*", 'Raw data'!$H:$H,"*Half-space Runs*")</f>
        <v>0</v>
      </c>
      <c r="GV52" s="8">
        <f t="shared" ref="GV52" si="404">SUM(GJ52,HA52,HF52)</f>
        <v>2</v>
      </c>
      <c r="GW52" s="8">
        <f t="shared" ref="GW52" si="405">SUM(GK52,HB52,HG52)</f>
        <v>0</v>
      </c>
      <c r="GX52" s="8">
        <f t="shared" ref="GX52" si="406">SUM(GL52,HC52,HH52)</f>
        <v>2</v>
      </c>
      <c r="GY52" s="54">
        <f t="shared" ref="GY52" si="407">IFERROR(GW52/$GV52,"-")</f>
        <v>0</v>
      </c>
      <c r="GZ52" s="54">
        <f t="shared" ref="GZ52" si="408">IFERROR(GX52/$GV52,"-")</f>
        <v>1</v>
      </c>
      <c r="HA52" s="8">
        <f>COUNTIFS('Raw data'!$D:$D,"*Reyes White*", 'Raw data'!$K:$K,"*Ground duel*")</f>
        <v>2</v>
      </c>
      <c r="HB52" s="8">
        <f>COUNTIFS('Raw data'!$D:$D,"*Reyes White*", 'Raw data'!$K:$K,"*Ground duel*",'Raw data'!$M:$M,"*Duel Succeeded*")</f>
        <v>0</v>
      </c>
      <c r="HC52" s="8">
        <f>COUNTIFS('Raw data'!$D:$D,"*Reyes White*", 'Raw data'!$K:$K,"*Ground duel*",'Raw data'!$M:$M,"*Duel Unsucceeded*")</f>
        <v>2</v>
      </c>
      <c r="HD52" s="54">
        <f t="shared" ref="HD52" si="409">IFERROR(HB52/$HA52,"-")</f>
        <v>0</v>
      </c>
      <c r="HE52" s="54">
        <f t="shared" ref="HE52" si="410">IFERROR(HC52/$HA52,"-")</f>
        <v>1</v>
      </c>
      <c r="HF52" s="8">
        <f>COUNTIFS('Raw data'!$D:$D,"*Reyes White*", 'Raw data'!$K:$K,"*Aerial duel*")</f>
        <v>0</v>
      </c>
      <c r="HG52" s="8">
        <f>COUNTIFS('Raw data'!$D:$D,"*Reyes White*", 'Raw data'!$K:$K,"*Aerial duel*",'Raw data'!$M:$M,"*Duel Succeeded*")</f>
        <v>0</v>
      </c>
      <c r="HH52" s="8">
        <f>COUNTIFS('Raw data'!$D:$D,"*Reyes White*", 'Raw data'!$K:$K,"*Aerial duel*",'Raw data'!$M:$M,"*Duel Unsucceeded*")</f>
        <v>0</v>
      </c>
      <c r="HI52" s="54" t="str">
        <f t="shared" ref="HI52" si="411">IFERROR(HG52/$HG52,"-")</f>
        <v>-</v>
      </c>
      <c r="HJ52" s="54" t="str">
        <f t="shared" ref="HJ52" si="412">IFERROR(HH52/$HG52,"-")</f>
        <v>-</v>
      </c>
      <c r="HK52" s="8">
        <f>COUNTIFS('Raw data'!$D:$D,"*Reyes White*", 'Raw data'!$K:$K,"*1v1 defense*")</f>
        <v>0</v>
      </c>
      <c r="HL52" s="8">
        <f>COUNTIFS('Raw data'!$D:$D,"*Reyes White*", 'Raw data'!$K:$K,"*1v1 defense*",'Raw data'!$M:$M,"*Duel Succeeded*")</f>
        <v>0</v>
      </c>
      <c r="HM52" s="8">
        <f>COUNTIFS('Raw data'!$D:$D,"*Reyes White*", 'Raw data'!$K:$K,"*1v1 defense*",'Raw data'!$M:$M,"*Duel Unsucceeded*")</f>
        <v>0</v>
      </c>
      <c r="HN52" s="54" t="str">
        <f t="shared" ref="HN52" si="413">IFERROR(HL52/$HK52,"-")</f>
        <v>-</v>
      </c>
      <c r="HO52" s="54" t="str">
        <f t="shared" ref="HO52" si="414">IFERROR(HM52/$HK52,"-")</f>
        <v>-</v>
      </c>
      <c r="HP52" s="8">
        <f>COUNTIFS('Raw data'!$D:$D,"*Reyes White*", 'Raw data'!$J:$J,"*Tackles*")</f>
        <v>0</v>
      </c>
      <c r="HQ52" s="8">
        <f>COUNTIFS('Raw data'!$D:$D,"*Reyes White*", 'Raw data'!$J:$J,"*Tackles*", 'Raw data'!$M:$M,"*Duel Succeeded*")</f>
        <v>0</v>
      </c>
      <c r="HR52" s="8">
        <f>COUNTIFS('Raw data'!$D:$D,"*Reyes White*", 'Raw data'!$J:$J,"*Tackles*", 'Raw data'!$M:$M,"*Duel Unsucceeded*")</f>
        <v>0</v>
      </c>
      <c r="HS52" s="54" t="str">
        <f t="shared" ref="HS52" si="415">IFERROR(HQ52/$HP52,"-")</f>
        <v>-</v>
      </c>
      <c r="HT52" s="54" t="str">
        <f t="shared" ref="HT52" si="416">IFERROR(HR52/$HP52,"-")</f>
        <v>-</v>
      </c>
      <c r="HU52" s="8">
        <f>COUNTIFS('Raw data'!$D:$D,"*Reyes White*", 'Raw data'!$K:$K,"*2nd Balls*")</f>
        <v>1</v>
      </c>
      <c r="HV52" s="8">
        <f>COUNTIFS('Raw data'!$D:$D,"*Reyes White*", 'Raw data'!$K:$K,"*2nd Balls*", 'Raw data'!$M:$M,"*Duel Succeeded*")</f>
        <v>0</v>
      </c>
      <c r="HW52" s="8">
        <f>COUNTIFS('Raw data'!$D:$D,"*Reyes White*", 'Raw data'!$K:$K,"*2nd Balls*", 'Raw data'!$M:$M,"*Duel Unsucceeded*")</f>
        <v>1</v>
      </c>
      <c r="HX52" s="54">
        <f t="shared" ref="HX52" si="417">IFERROR(HV52/$HU52,"-")</f>
        <v>0</v>
      </c>
      <c r="HY52" s="54">
        <f t="shared" ref="HY52" si="418">IFERROR(HW52/$HU52,"-")</f>
        <v>1</v>
      </c>
      <c r="HZ52" s="8">
        <f>COUNTIFS('Raw data'!$D:$D,"*Reyes White*", 'Raw data'!$J:$J,"*Clearance*")</f>
        <v>0</v>
      </c>
      <c r="IA52" s="8">
        <f>COUNTIFS('Raw data'!$D:$D,"*Reyes White*", 'Raw data'!$J:$J,"*Interception*")</f>
        <v>2</v>
      </c>
      <c r="IB52" s="8">
        <f>COUNTIFS('Raw data'!$D:$D,"*Reyes White*", 'Raw data'!$J:$J,"*Turnover Won*")</f>
        <v>1</v>
      </c>
      <c r="IC52" s="8">
        <f>COUNTIFS('Raw data'!$D:$D,"*Reyes White*", 'Raw data'!$J:$J,"*Recovery*")</f>
        <v>0</v>
      </c>
      <c r="ID52" s="8">
        <f>COUNTIFS('Raw data'!$D:$D,"*Reyes White*", 'Raw data'!$J:$J,"*Blocked Shots*")</f>
        <v>0</v>
      </c>
      <c r="IE52" s="8">
        <f>COUNTIFS('Raw data'!$D:$D,"*Reyes White*", 'Raw data'!$J:$J,"*Man-marking*")</f>
        <v>0</v>
      </c>
      <c r="IF52" s="8">
        <f>COUNTIFS('Raw data'!$D:$D,"*Reyes White*", 'Raw data'!$J:$J,"*Fouls*")</f>
        <v>2</v>
      </c>
      <c r="IG52" s="8">
        <f>COUNTIFS('Raw data'!$D:$D,"*Reyes White*", 'Raw data'!$J:$J,"*Won F*")</f>
        <v>1</v>
      </c>
      <c r="IH52" s="8">
        <f>COUNTIFS('Raw data'!$D:$D,"*Reyes White*", 'Raw data'!$G:$G,"*1v1*")</f>
        <v>0</v>
      </c>
      <c r="II52" s="8">
        <f>COUNTIFS('Raw data'!$D:$D,"*Reyes White*", 'Raw data'!$G:$G,"*On Target*")</f>
        <v>0</v>
      </c>
      <c r="IJ52" s="8">
        <f>COUNTIFS('Raw data'!$D:$D,"*Reyes White*", 'Raw data'!$G:$G,"*Off Target*")</f>
        <v>0</v>
      </c>
      <c r="IK52" s="8">
        <f>COUNTIFS('Raw data'!$D:$D,"*Reyes White*", 'Raw data'!$G:$G,"*Defend the Space*")</f>
        <v>0</v>
      </c>
      <c r="IL52" s="8">
        <f>COUNTIFS('Raw data'!$D:$D,"*Reyes White*", 'Raw data'!$G:$G,"*Conceded*")</f>
        <v>0</v>
      </c>
      <c r="IM52" s="8">
        <f>COUNTIFS('Raw data'!$D:$D,"*Reyes White*", 'Raw data'!$G:$G,"*Save*")</f>
        <v>0</v>
      </c>
      <c r="IN52" s="8">
        <f>COUNTIFS('Raw data'!$D:$D,"*Reyes White*", 'Raw data'!$G:$G,"*Defend the line (Cross)*")</f>
        <v>0</v>
      </c>
      <c r="IO52" s="8">
        <f>COUNTIFS('Raw data'!$D:$D,"*Reyes White*", 'Raw data'!$G:$G,"*Counter Kick*")</f>
        <v>0</v>
      </c>
      <c r="IP52" t="s">
        <v>793</v>
      </c>
    </row>
    <row r="53" spans="127:250">
      <c r="DW53" t="s">
        <v>500</v>
      </c>
      <c r="DX53" t="s">
        <v>795</v>
      </c>
      <c r="DY53">
        <v>80</v>
      </c>
      <c r="DZ53" t="s">
        <v>539</v>
      </c>
      <c r="EA53">
        <f t="shared" si="293"/>
        <v>14</v>
      </c>
      <c r="EB53" s="8">
        <f t="shared" si="294"/>
        <v>6</v>
      </c>
      <c r="EC53" s="8">
        <f t="shared" si="295"/>
        <v>8</v>
      </c>
      <c r="ED53" s="54">
        <f t="shared" si="296"/>
        <v>0.42857142857142855</v>
      </c>
      <c r="EE53" s="54">
        <f t="shared" si="297"/>
        <v>0.5714285714285714</v>
      </c>
      <c r="EF53">
        <f t="shared" si="298"/>
        <v>8</v>
      </c>
      <c r="EG53">
        <f>COUNTIFS('Raw data'!$D:$D,"*Jeffrey Sam-Deekue*", 'Raw data'!$I:$I,"*Forward Pass*",'Raw data'!$M:$M,"*Pass completed*")</f>
        <v>2</v>
      </c>
      <c r="EH53">
        <f>COUNTIFS('Raw data'!$D:$D,"*Jeffrey Sam-Deekue*", 'Raw data'!$I:$I,"*Forward Pass*",'Raw data'!$M:$M,"*Pass Uncompleted*")</f>
        <v>6</v>
      </c>
      <c r="EI53" s="54">
        <f t="shared" si="299"/>
        <v>0.25</v>
      </c>
      <c r="EJ53" s="54">
        <f t="shared" si="300"/>
        <v>0.75</v>
      </c>
      <c r="EK53">
        <f t="shared" si="301"/>
        <v>3</v>
      </c>
      <c r="EL53" s="8">
        <f>COUNTIFS('Raw data'!$D:$D,"*Jeffrey Sam-Deekue*", 'Raw data'!$I:$I,"*Lateral Pass*",'Raw data'!$M:$M,"*Pass completed*")</f>
        <v>1</v>
      </c>
      <c r="EM53" s="8">
        <f>COUNTIFS('Raw data'!$D:$D,"*Jeffrey Sam-Deekue*", 'Raw data'!$I:$I,"*Lateral Pass*",'Raw data'!$M:$M,"*Pass Uncompleted*")</f>
        <v>2</v>
      </c>
      <c r="EN53" s="54">
        <f t="shared" si="302"/>
        <v>0.33333333333333331</v>
      </c>
      <c r="EO53" s="54">
        <f t="shared" si="303"/>
        <v>0.66666666666666663</v>
      </c>
      <c r="EP53">
        <f t="shared" si="304"/>
        <v>3</v>
      </c>
      <c r="EQ53" s="8">
        <f>COUNTIFS('Raw data'!$D:$D,"*Jeffrey Sam-Deekue*", 'Raw data'!$I:$I,"*Backward Pass*",'Raw data'!$M:$M,"*Pass completed*")</f>
        <v>3</v>
      </c>
      <c r="ER53" s="8">
        <f>COUNTIFS('Raw data'!$D:$D,"*Jeffrey Sam-Deekue*", 'Raw data'!$I:$I,"*Backward Pass*",'Raw data'!$M:$M,"*Pass Uncompleted*")</f>
        <v>0</v>
      </c>
      <c r="ES53" s="54">
        <f t="shared" si="305"/>
        <v>1</v>
      </c>
      <c r="ET53" s="54">
        <f t="shared" si="306"/>
        <v>0</v>
      </c>
      <c r="EU53" s="8">
        <f>COUNTIFS('Raw data'!$D:$D,"*Jeffrey Sam-Deekue*", 'Raw data'!$I:$I,"*Long Kick*")</f>
        <v>1</v>
      </c>
      <c r="EV53" s="8">
        <f>COUNTIFS('Raw data'!$D:$D,"*Jeffrey Sam-Deekue*", 'Raw data'!$I:$I,"*Long Kick*",'Raw data'!$M:$M,"*Pass completed*")</f>
        <v>0</v>
      </c>
      <c r="EW53" s="8">
        <f>COUNTIFS('Raw data'!$D:$D,"*Jeffrey Sam-Deekue*", 'Raw data'!$I:$I,"*Long Kick*",'Raw data'!$M:$M,"*Pass Uncompleted*")</f>
        <v>1</v>
      </c>
      <c r="EX53" s="54">
        <f t="shared" si="307"/>
        <v>0</v>
      </c>
      <c r="EY53" s="54">
        <f t="shared" si="308"/>
        <v>1</v>
      </c>
      <c r="EZ53" s="8">
        <f>COUNTIFS('Raw data'!$D:$D,"*Jeffrey Sam-Deekue*", 'Raw data'!$I:$I,"*Balls in Behind*")</f>
        <v>2</v>
      </c>
      <c r="FA53" s="8">
        <f>COUNTIFS('Raw data'!$D:$D,"*Jeffrey Sam-Deekue*", 'Raw data'!$I:$I,"*Balls in Behind*",'Raw data'!$M:$M,"*Pass completed*")</f>
        <v>1</v>
      </c>
      <c r="FB53" s="8">
        <f>COUNTIFS('Raw data'!$D:$D,"*Jeffrey Sam-Deekue*", 'Raw data'!$I:$I,"*Balls in Behind*",'Raw data'!$M:$M,"*Pass Uncompleted*")</f>
        <v>1</v>
      </c>
      <c r="FC53" s="54">
        <f t="shared" si="309"/>
        <v>0.5</v>
      </c>
      <c r="FD53" s="54">
        <f t="shared" si="310"/>
        <v>0.5</v>
      </c>
      <c r="FE53" s="8">
        <f>COUNTIFS('Raw data'!$D:$D,"*Jeffrey Sam-Deekue*", 'Raw data'!$I:$I,"*Key/Through pass*")</f>
        <v>0</v>
      </c>
      <c r="FF53" s="8">
        <f>COUNTIFS('Raw data'!$D:$D,"*Jeffrey Sam-Deekue*", 'Raw data'!$I:$I,"*Diagonal pass*")</f>
        <v>0</v>
      </c>
      <c r="FG53" s="8">
        <f>COUNTIFS('Raw data'!$D:$D,"*Jeffrey Sam-Deekue*", 'Raw data'!$I:$I,"*Diagonal pass*",'Raw data'!$M:$M,"*Pass completed*")</f>
        <v>0</v>
      </c>
      <c r="FH53" s="8">
        <f>COUNTIFS('Raw data'!$D:$D,"*Jeffrey Sam-Deekue*", 'Raw data'!$I:$I,"*Diagonal pass*",'Raw data'!$M:$M,"*Pass Uncompleted*")</f>
        <v>0</v>
      </c>
      <c r="FI53" s="54" t="str">
        <f t="shared" si="311"/>
        <v>-</v>
      </c>
      <c r="FJ53" s="54" t="str">
        <f t="shared" si="312"/>
        <v>-</v>
      </c>
      <c r="FK53" s="8">
        <f>COUNTIFS('Raw data'!$D:$D,"*Jeffrey Sam-Deekue*", 'Raw data'!$M:$M,"*Pass Received*")</f>
        <v>16</v>
      </c>
      <c r="FL53" s="8">
        <f>COUNTIFS('Raw data'!$D:$D,"*Jeffrey Sam-Deekue*", 'Raw data'!$M:$M,"*Pass Completed*",'Raw data'!$M:$M,"*Pass Received*")</f>
        <v>3</v>
      </c>
      <c r="FM53" s="8">
        <f>COUNTIFS('Raw data'!$D:$D,"*Jeffrey Sam-Deekue*", 'Raw data'!$M:$M,"*Pass Uncompleted*",'Raw data'!$M:$M,"*Pass Received*")</f>
        <v>9</v>
      </c>
      <c r="FN53" s="8">
        <f>COUNTIFS('Raw data'!$D:$D,"*Jeffrey Sam-Deekue*", 'Raw data'!$M:$M,"*Kept Possession*",'Raw data'!$M:$M,"*Pass Received*")</f>
        <v>2</v>
      </c>
      <c r="FO53" s="8">
        <f>COUNTIFS('Raw data'!$D:$D,"*Jeffrey Sam-Deekue*", 'Raw data'!$M:$M,"*Lost Possession*")</f>
        <v>3</v>
      </c>
      <c r="FP53" s="8">
        <f>COUNTIFS('Raw data'!$D:$D,"*Jeffrey Sam-Deekue*", 'Raw data'!$M:$M,"*Lost Possession*",'Raw data'!$M:$M,"*Lost Final 1/3*")</f>
        <v>1</v>
      </c>
      <c r="FQ53" s="8">
        <f>COUNTIFS('Raw data'!$D:$D,"*Jeffrey Sam-Deekue*", 'Raw data'!$M:$M,"*Lost Possession*",'Raw data'!$M:$M,"*Lost Middle 1/3*")</f>
        <v>2</v>
      </c>
      <c r="FR53" s="8">
        <f>COUNTIFS('Raw data'!$D:$D,"*Jeffrey Sam-Deekue*", 'Raw data'!$M:$M,"*Lost Possession*",'Raw data'!$M:$M,"*Lost Own 1/3*")</f>
        <v>0</v>
      </c>
      <c r="FS53" s="8">
        <f>COUNTIFS('Raw data'!$D:$D,"*Jeffrey Sam-Deekue*", 'Raw data'!$H:$H,"*Touches in the Box*")</f>
        <v>3</v>
      </c>
      <c r="FT53" s="8">
        <f>COUNTIFS('Raw data'!$D:$D,"*Jeffrey Sam-Deekue*", 'Raw data'!$H:$H,"*1v1 Attack*")</f>
        <v>1</v>
      </c>
      <c r="FU53" s="8">
        <f>COUNTIFS('Raw data'!$D:$D,"*Jeffrey Sam-Deekue*", 'Raw data'!$H:$H,"*1v1 Attack*",'Raw data'!$H:$H,"*1v1 Attack*",'Raw data'!$M:$M,"*Kept Possession*")</f>
        <v>1</v>
      </c>
      <c r="FV53" s="8">
        <f>COUNTIFS('Raw data'!$D:$D,"*Jeffrey Sam-Deekue*", 'Raw data'!$H:$H,"*1v1 Attack*",'Raw data'!$H:$H,"*1v1 Attack*",'Raw data'!$M:$M,"*Lost Possession*")</f>
        <v>0</v>
      </c>
      <c r="FW53" s="54">
        <f t="shared" si="313"/>
        <v>1</v>
      </c>
      <c r="FX53" s="54">
        <f t="shared" si="314"/>
        <v>0</v>
      </c>
      <c r="FY53" s="8">
        <f>COUNTIFS('Raw data'!$D:$D,"*Jeffrey Sam-Deekue*", 'Raw data'!$I:$I,"*Cross*")</f>
        <v>2</v>
      </c>
      <c r="FZ53" s="8">
        <f>COUNTIFS('Raw data'!$D:$D,"*Jeffrey Sam-Deekue*", 'Raw data'!$I:$I,"*Cross*",'Raw data'!$M:$M,"*Pass Completed*")</f>
        <v>0</v>
      </c>
      <c r="GA53" s="8">
        <f>COUNTIFS('Raw data'!$D:$D,"*Jeffrey Sam-Deekue*", 'Raw data'!$I:$I,"*Cross*",'Raw data'!$M:$M,"*Pass Uncompleted*")</f>
        <v>2</v>
      </c>
      <c r="GB53" s="54">
        <f t="shared" si="315"/>
        <v>0</v>
      </c>
      <c r="GC53" s="54">
        <f t="shared" si="316"/>
        <v>1</v>
      </c>
      <c r="GD53" s="8">
        <f t="shared" si="317"/>
        <v>2</v>
      </c>
      <c r="GE53" s="8">
        <f>COUNTIFS('Raw data'!$D:$D,"*Jeffrey Sam-Deekue*", 'Raw data'!$L:$L,"*On Target*")</f>
        <v>0</v>
      </c>
      <c r="GF53" s="8">
        <f>COUNTIFS('Raw data'!$D:$D,"*Jeffrey Sam-Deekue*", 'Raw data'!$L:$L,"*Off Target*")</f>
        <v>2</v>
      </c>
      <c r="GG53" s="8">
        <f>COUNTIFS('Raw data'!$D:$D,"*Jeffrey Sam-Deekue*", 'Raw data'!$L:$L,"*Blocked*")</f>
        <v>0</v>
      </c>
      <c r="GH53" s="8">
        <f>COUNTIFS('Raw data'!$D:$D,"*Jeffrey Sam-Deekue*", 'Raw data'!$M:$M,"*Goal*")</f>
        <v>0</v>
      </c>
      <c r="GI53" s="8">
        <f>COUNTIFS('Raw data'!$D:$D,"*Jeffrey Sam-Deekue*", 'Raw data'!$M:$M,"*Assist*")</f>
        <v>0</v>
      </c>
      <c r="GJ53" s="8">
        <f>COUNTIFS('Raw data'!$D:$D,"*Jeffrey Sam-Deekue*", 'Raw data'!$H:$H,"*Offensive duel*")</f>
        <v>2</v>
      </c>
      <c r="GK53" s="8">
        <f>COUNTIFS('Raw data'!$D:$D,"*Jeffrey Sam-Deekue*", 'Raw data'!$H:$H,"*Offensive Duel*",'Raw data'!$H:$H,"*Offensive Duel*",'Raw data'!$M:$M,"*Kept Possession*")</f>
        <v>2</v>
      </c>
      <c r="GL53" s="8">
        <f>COUNTIFS('Raw data'!$D:$D,"*Jeffrey Sam-Deekue*", 'Raw data'!$H:$H,"*Offensive Duel*",'Raw data'!$H:$H,"*Offensive Duel*",'Raw data'!$M:$M,"*Lost Possession*")</f>
        <v>0</v>
      </c>
      <c r="GM53" s="54">
        <f t="shared" si="318"/>
        <v>1</v>
      </c>
      <c r="GN53" s="54">
        <f t="shared" si="319"/>
        <v>0</v>
      </c>
      <c r="GO53" s="8">
        <f>COUNTIFS('Raw data'!$D:$D,"*Jeffrey Sam-Deekue*", 'Raw data'!$H:$H,"*Acceleration*")</f>
        <v>0</v>
      </c>
      <c r="GP53" s="8">
        <f>COUNTIFS('Raw data'!$D:$D,"*Jeffrey Sam-Deekue*", 'Raw data'!$H:$H,"*Move into Pocket*")</f>
        <v>0</v>
      </c>
      <c r="GQ53" s="8">
        <f>COUNTIFS('Raw data'!$D:$D,"*Jeffrey Sam-Deekue*", 'Raw data'!$H:$H,"*Wide area*")</f>
        <v>10</v>
      </c>
      <c r="GR53" s="8">
        <f>COUNTIFS('Raw data'!$D:$D,"*Jeffrey Sam-Deekue*", 'Raw data'!$H:$H,"*Back to goal*")</f>
        <v>0</v>
      </c>
      <c r="GS53" s="8">
        <f>COUNTIFS('Raw data'!$D:$D,"*Jeffrey Sam-Deekue*", 'Raw data'!$H:$H,"*Over/Underlaps*")</f>
        <v>0</v>
      </c>
      <c r="GT53" s="8">
        <f>COUNTIFS('Raw data'!$D:$D,"*Jeffrey Sam-Deekue*", 'Raw data'!$H:$H,"*Runs in Behind*")</f>
        <v>1</v>
      </c>
      <c r="GU53" s="8">
        <f>COUNTIFS('Raw data'!$D:$D,"*Jeffrey Sam-Deekue*", 'Raw data'!$H:$H,"*Half-space Runs*")</f>
        <v>0</v>
      </c>
      <c r="GV53" s="8">
        <f t="shared" si="320"/>
        <v>7</v>
      </c>
      <c r="GW53" s="8">
        <f t="shared" si="321"/>
        <v>3</v>
      </c>
      <c r="GX53" s="8">
        <f t="shared" si="322"/>
        <v>4</v>
      </c>
      <c r="GY53" s="54">
        <f t="shared" si="323"/>
        <v>0.42857142857142855</v>
      </c>
      <c r="GZ53" s="54">
        <f t="shared" si="324"/>
        <v>0.5714285714285714</v>
      </c>
      <c r="HA53" s="8">
        <f>COUNTIFS('Raw data'!$D:$D,"*Jeffrey Sam-Deekue*", 'Raw data'!$K:$K,"*Ground duel*")</f>
        <v>5</v>
      </c>
      <c r="HB53" s="8">
        <f>COUNTIFS('Raw data'!$D:$D,"*Jeffrey Sam-Deekue*", 'Raw data'!$K:$K,"*Ground duel*",'Raw data'!$M:$M,"*Duel Succeeded*")</f>
        <v>1</v>
      </c>
      <c r="HC53" s="8">
        <f>COUNTIFS('Raw data'!$D:$D,"*Jeffrey Sam-Deekue*", 'Raw data'!$K:$K,"*Ground duel*",'Raw data'!$M:$M,"*Duel Unsucceeded*")</f>
        <v>4</v>
      </c>
      <c r="HD53" s="54">
        <f t="shared" si="325"/>
        <v>0.2</v>
      </c>
      <c r="HE53" s="54">
        <f t="shared" si="326"/>
        <v>0.8</v>
      </c>
      <c r="HF53" s="8">
        <f>COUNTIFS('Raw data'!$D:$D,"*Jeffrey Sam-Deekue*", 'Raw data'!$K:$K,"*Aerial duel*")</f>
        <v>0</v>
      </c>
      <c r="HG53" s="8">
        <f>COUNTIFS('Raw data'!$D:$D,"*Jeffrey Sam-Deekue*", 'Raw data'!$K:$K,"*Aerial duel*",'Raw data'!$M:$M,"*Duel Succeeded*")</f>
        <v>0</v>
      </c>
      <c r="HH53" s="8">
        <f>COUNTIFS('Raw data'!$D:$D,"*Jeffrey Sam-Deekue*", 'Raw data'!$K:$K,"*Aerial duel*",'Raw data'!$M:$M,"*Duel Unsucceeded*")</f>
        <v>0</v>
      </c>
      <c r="HI53" s="54" t="str">
        <f t="shared" si="327"/>
        <v>-</v>
      </c>
      <c r="HJ53" s="54" t="str">
        <f t="shared" si="328"/>
        <v>-</v>
      </c>
      <c r="HK53" s="8">
        <f>COUNTIFS('Raw data'!$D:$D,"*Jeffrey Sam-Deekue*", 'Raw data'!$K:$K,"*1v1 defense*")</f>
        <v>0</v>
      </c>
      <c r="HL53" s="8">
        <f>COUNTIFS('Raw data'!$D:$D,"*Jeffrey Sam-Deekue*", 'Raw data'!$K:$K,"*1v1 defense*",'Raw data'!$M:$M,"*Duel Succeeded*")</f>
        <v>0</v>
      </c>
      <c r="HM53" s="8">
        <f>COUNTIFS('Raw data'!$D:$D,"*Jeffrey Sam-Deekue*", 'Raw data'!$K:$K,"*1v1 defense*",'Raw data'!$M:$M,"*Duel Unsucceeded*")</f>
        <v>0</v>
      </c>
      <c r="HN53" s="54" t="str">
        <f t="shared" si="329"/>
        <v>-</v>
      </c>
      <c r="HO53" s="54" t="str">
        <f t="shared" si="330"/>
        <v>-</v>
      </c>
      <c r="HP53" s="8">
        <f>COUNTIFS('Raw data'!$D:$D,"*Jeffrey Sam-Deekue*", 'Raw data'!$J:$J,"*Tackles*")</f>
        <v>0</v>
      </c>
      <c r="HQ53" s="8">
        <f>COUNTIFS('Raw data'!$D:$D,"*Jeffrey Sam-Deekue*", 'Raw data'!$J:$J,"*Tackles*", 'Raw data'!$M:$M,"*Duel Succeeded*")</f>
        <v>0</v>
      </c>
      <c r="HR53" s="8">
        <f>COUNTIFS('Raw data'!$D:$D,"*Jeffrey Sam-Deekue*", 'Raw data'!$J:$J,"*Tackles*", 'Raw data'!$M:$M,"*Duel Unsucceeded*")</f>
        <v>0</v>
      </c>
      <c r="HS53" s="54" t="str">
        <f t="shared" si="331"/>
        <v>-</v>
      </c>
      <c r="HT53" s="54" t="str">
        <f t="shared" si="332"/>
        <v>-</v>
      </c>
      <c r="HU53" s="8">
        <f>COUNTIFS('Raw data'!$D:$D,"*Jeffrey Sam-Deekue*", 'Raw data'!$K:$K,"*2nd Balls*")</f>
        <v>1</v>
      </c>
      <c r="HV53" s="8">
        <f>COUNTIFS('Raw data'!$D:$D,"*Jeffrey Sam-Deekue*", 'Raw data'!$K:$K,"*2nd Balls*", 'Raw data'!$M:$M,"*Duel Succeeded*")</f>
        <v>0</v>
      </c>
      <c r="HW53" s="8">
        <f>COUNTIFS('Raw data'!$D:$D,"*Jeffrey Sam-Deekue*", 'Raw data'!$K:$K,"*2nd Balls*", 'Raw data'!$M:$M,"*Duel Unsucceeded*")</f>
        <v>1</v>
      </c>
      <c r="HX53" s="54">
        <f t="shared" si="333"/>
        <v>0</v>
      </c>
      <c r="HY53" s="54">
        <f t="shared" si="334"/>
        <v>1</v>
      </c>
      <c r="HZ53" s="8">
        <f>COUNTIFS('Raw data'!$D:$D,"*Jeffrey Sam-Deekue*", 'Raw data'!$J:$J,"*Clearance*")</f>
        <v>0</v>
      </c>
      <c r="IA53" s="8">
        <f>COUNTIFS('Raw data'!$D:$D,"*Jeffrey Sam-Deekue*", 'Raw data'!$J:$J,"*Interception*")</f>
        <v>0</v>
      </c>
      <c r="IB53" s="8">
        <f>COUNTIFS('Raw data'!$D:$D,"*Jeffrey Sam-Deekue*", 'Raw data'!$J:$J,"*Turnover Won*")</f>
        <v>2</v>
      </c>
      <c r="IC53" s="8">
        <f>COUNTIFS('Raw data'!$D:$D,"*Jeffrey Sam-Deekue*", 'Raw data'!$J:$J,"*Recovery*")</f>
        <v>1</v>
      </c>
      <c r="ID53" s="8">
        <f>COUNTIFS('Raw data'!$D:$D,"*Jeffrey Sam-Deekue*", 'Raw data'!$J:$J,"*Blocked Shots*")</f>
        <v>0</v>
      </c>
      <c r="IE53" s="8">
        <f>COUNTIFS('Raw data'!$D:$D,"*Jeffrey Sam-Deekue*", 'Raw data'!$J:$J,"*Man-marking*")</f>
        <v>0</v>
      </c>
      <c r="IF53" s="8">
        <f>COUNTIFS('Raw data'!$D:$D,"*Jeffrey Sam-Deekue*", 'Raw data'!$J:$J,"*Fouls*")</f>
        <v>2</v>
      </c>
      <c r="IG53" s="8">
        <f>COUNTIFS('Raw data'!$D:$D,"*Jeffrey Sam-Deekue*", 'Raw data'!$J:$J,"*Won F*")</f>
        <v>0</v>
      </c>
      <c r="IH53" s="8">
        <f>COUNTIFS('Raw data'!$D:$D,"*Jeffrey Sam-Deekue*", 'Raw data'!$G:$G,"*1v1*")</f>
        <v>0</v>
      </c>
      <c r="II53" s="8">
        <f>COUNTIFS('Raw data'!$D:$D,"*Jeffrey Sam-Deekue*", 'Raw data'!$G:$G,"*On Target*")</f>
        <v>0</v>
      </c>
      <c r="IJ53" s="8">
        <f>COUNTIFS('Raw data'!$D:$D,"*Jeffrey Sam-Deekue*", 'Raw data'!$G:$G,"*Off Target*")</f>
        <v>0</v>
      </c>
      <c r="IK53" s="8">
        <f>COUNTIFS('Raw data'!$D:$D,"*Jeffrey Sam-Deekue*", 'Raw data'!$G:$G,"*Defend the Space*")</f>
        <v>0</v>
      </c>
      <c r="IL53" s="8">
        <f>COUNTIFS('Raw data'!$D:$D,"*Jeffrey Sam-Deekue*", 'Raw data'!$G:$G,"*Conceded*")</f>
        <v>0</v>
      </c>
      <c r="IM53" s="8">
        <f>COUNTIFS('Raw data'!$D:$D,"*Jeffrey Sam-Deekue*", 'Raw data'!$G:$G,"*Save*")</f>
        <v>0</v>
      </c>
      <c r="IN53" s="8">
        <f>COUNTIFS('Raw data'!$D:$D,"*Jeffrey Sam-Deekue*", 'Raw data'!$G:$G,"*Defend the line (Cross)*")</f>
        <v>0</v>
      </c>
      <c r="IO53" s="8">
        <f>COUNTIFS('Raw data'!$D:$D,"*Jeffrey Sam-Deekue*", 'Raw data'!$G:$G,"*Counter Kick*")</f>
        <v>0</v>
      </c>
      <c r="IP53" t="s">
        <v>795</v>
      </c>
    </row>
    <row r="54" spans="127:250">
      <c r="DW54" t="s">
        <v>500</v>
      </c>
      <c r="DX54" t="s">
        <v>783</v>
      </c>
      <c r="DY54">
        <v>40</v>
      </c>
      <c r="DZ54" t="s">
        <v>540</v>
      </c>
      <c r="EA54">
        <f t="shared" si="293"/>
        <v>9</v>
      </c>
      <c r="EB54" s="8">
        <f t="shared" si="294"/>
        <v>7</v>
      </c>
      <c r="EC54" s="8">
        <f t="shared" si="295"/>
        <v>2</v>
      </c>
      <c r="ED54" s="54">
        <f t="shared" si="296"/>
        <v>0.77777777777777779</v>
      </c>
      <c r="EE54" s="54">
        <f t="shared" si="297"/>
        <v>0.22222222222222221</v>
      </c>
      <c r="EF54">
        <f t="shared" si="298"/>
        <v>2</v>
      </c>
      <c r="EG54">
        <f>COUNTIFS('Raw data'!$D:$D,"*Dylan Tambe*", 'Raw data'!$I:$I,"*Forward Pass*",'Raw data'!$M:$M,"*Pass completed*")</f>
        <v>2</v>
      </c>
      <c r="EH54">
        <f>COUNTIFS('Raw data'!$D:$D,"*Dylan Tambe*", 'Raw data'!$I:$I,"*Forward Pass*",'Raw data'!$M:$M,"*Pass Uncompleted*")</f>
        <v>0</v>
      </c>
      <c r="EI54" s="54">
        <f t="shared" si="299"/>
        <v>1</v>
      </c>
      <c r="EJ54" s="54">
        <f t="shared" si="300"/>
        <v>0</v>
      </c>
      <c r="EK54">
        <f t="shared" si="301"/>
        <v>4</v>
      </c>
      <c r="EL54" s="8">
        <f>COUNTIFS('Raw data'!$D:$D,"*Dylan Tambe*", 'Raw data'!$I:$I,"*Lateral Pass*",'Raw data'!$M:$M,"*Pass completed*")</f>
        <v>2</v>
      </c>
      <c r="EM54" s="8">
        <f>COUNTIFS('Raw data'!$D:$D,"*Dylan Tambe*", 'Raw data'!$I:$I,"*Lateral Pass*",'Raw data'!$M:$M,"*Pass Uncompleted*")</f>
        <v>2</v>
      </c>
      <c r="EN54" s="54">
        <f t="shared" si="302"/>
        <v>0.5</v>
      </c>
      <c r="EO54" s="54">
        <f t="shared" si="303"/>
        <v>0.5</v>
      </c>
      <c r="EP54">
        <f t="shared" si="304"/>
        <v>3</v>
      </c>
      <c r="EQ54" s="8">
        <f>COUNTIFS('Raw data'!$D:$D,"*Dylan Tambe*", 'Raw data'!$I:$I,"*Backward Pass*",'Raw data'!$M:$M,"*Pass completed*")</f>
        <v>3</v>
      </c>
      <c r="ER54" s="8">
        <f>COUNTIFS('Raw data'!$D:$D,"*Dylan Tambe*", 'Raw data'!$I:$I,"*Backward Pass*",'Raw data'!$M:$M,"*Pass Uncompleted*")</f>
        <v>0</v>
      </c>
      <c r="ES54" s="54">
        <f t="shared" si="305"/>
        <v>1</v>
      </c>
      <c r="ET54" s="54">
        <f t="shared" si="306"/>
        <v>0</v>
      </c>
      <c r="EU54" s="8">
        <f>COUNTIFS('Raw data'!$D:$D,"*Dylan Tambe*", 'Raw data'!$I:$I,"*Long Kick*")</f>
        <v>0</v>
      </c>
      <c r="EV54" s="8">
        <f>COUNTIFS('Raw data'!$D:$D,"*Dylan Tambe*", 'Raw data'!$I:$I,"*Long Kick*",'Raw data'!$M:$M,"*Pass completed*")</f>
        <v>0</v>
      </c>
      <c r="EW54" s="8">
        <f>COUNTIFS('Raw data'!$D:$D,"*Dylan Tambe*", 'Raw data'!$I:$I,"*Long Kick*",'Raw data'!$M:$M,"*Pass Uncompleted*")</f>
        <v>0</v>
      </c>
      <c r="EX54" s="54" t="str">
        <f t="shared" si="307"/>
        <v>-</v>
      </c>
      <c r="EY54" s="54" t="str">
        <f t="shared" si="308"/>
        <v>-</v>
      </c>
      <c r="EZ54" s="8">
        <f>COUNTIFS('Raw data'!$D:$D,"*Dylan Tambe*", 'Raw data'!$I:$I,"*Balls in Behind*")</f>
        <v>1</v>
      </c>
      <c r="FA54" s="8">
        <f>COUNTIFS('Raw data'!$D:$D,"*Dylan Tambe*", 'Raw data'!$I:$I,"*Balls in Behind*",'Raw data'!$M:$M,"*Pass completed*")</f>
        <v>1</v>
      </c>
      <c r="FB54" s="8">
        <f>COUNTIFS('Raw data'!$D:$D,"*Dylan Tambe*", 'Raw data'!$I:$I,"*Balls in Behind*",'Raw data'!$M:$M,"*Pass Uncompleted*")</f>
        <v>0</v>
      </c>
      <c r="FC54" s="54">
        <f t="shared" si="309"/>
        <v>1</v>
      </c>
      <c r="FD54" s="54">
        <f t="shared" si="310"/>
        <v>0</v>
      </c>
      <c r="FE54" s="8">
        <f>COUNTIFS('Raw data'!$D:$D,"*Dylan Tambe*", 'Raw data'!$I:$I,"*Key/Through pass*")</f>
        <v>1</v>
      </c>
      <c r="FF54" s="8">
        <f>COUNTIFS('Raw data'!$D:$D,"*Dylan Tambe*", 'Raw data'!$I:$I,"*Diagonal pass*")</f>
        <v>0</v>
      </c>
      <c r="FG54" s="8">
        <f>COUNTIFS('Raw data'!$D:$D,"*Dylan Tambe*", 'Raw data'!$I:$I,"*Diagonal pass*",'Raw data'!$M:$M,"*Pass completed*")</f>
        <v>0</v>
      </c>
      <c r="FH54" s="8">
        <f>COUNTIFS('Raw data'!$D:$D,"*Dylan Tambe*", 'Raw data'!$I:$I,"*Diagonal pass*",'Raw data'!$M:$M,"*Pass Uncompleted*")</f>
        <v>0</v>
      </c>
      <c r="FI54" s="54" t="str">
        <f t="shared" si="311"/>
        <v>-</v>
      </c>
      <c r="FJ54" s="54" t="str">
        <f t="shared" si="312"/>
        <v>-</v>
      </c>
      <c r="FK54" s="8">
        <f>COUNTIFS('Raw data'!$D:$D,"*Dylan Tambe*", 'Raw data'!$M:$M,"*Pass Received*")</f>
        <v>12</v>
      </c>
      <c r="FL54" s="8">
        <f>COUNTIFS('Raw data'!$D:$D,"*Dylan Tambe*", 'Raw data'!$M:$M,"*Pass Completed*",'Raw data'!$M:$M,"*Pass Received*")</f>
        <v>7</v>
      </c>
      <c r="FM54" s="8">
        <f>COUNTIFS('Raw data'!$D:$D,"*Dylan Tambe*", 'Raw data'!$M:$M,"*Pass Uncompleted*",'Raw data'!$M:$M,"*Pass Received*")</f>
        <v>3</v>
      </c>
      <c r="FN54" s="8">
        <f>COUNTIFS('Raw data'!$D:$D,"*Dylan Tambe*", 'Raw data'!$M:$M,"*Kept Possession*",'Raw data'!$M:$M,"*Pass Received*")</f>
        <v>3</v>
      </c>
      <c r="FO54" s="8">
        <f>COUNTIFS('Raw data'!$D:$D,"*Dylan Tambe*", 'Raw data'!$M:$M,"*Lost Possession*")</f>
        <v>2</v>
      </c>
      <c r="FP54" s="8">
        <f>COUNTIFS('Raw data'!$D:$D,"*Dylan Tambe*", 'Raw data'!$M:$M,"*Lost Possession*",'Raw data'!$M:$M,"*Lost Final 1/3*")</f>
        <v>1</v>
      </c>
      <c r="FQ54" s="8">
        <f>COUNTIFS('Raw data'!$D:$D,"*Dylan Tambe*", 'Raw data'!$M:$M,"*Lost Possession*",'Raw data'!$M:$M,"*Lost Middle 1/3*")</f>
        <v>1</v>
      </c>
      <c r="FR54" s="8">
        <f>COUNTIFS('Raw data'!$D:$D,"*Dylan Tambe*", 'Raw data'!$M:$M,"*Lost Possession*",'Raw data'!$M:$M,"*Lost Own 1/3*")</f>
        <v>0</v>
      </c>
      <c r="FS54" s="8">
        <f>COUNTIFS('Raw data'!$D:$D,"*Dylan Tambe*", 'Raw data'!$H:$H,"*Touches in the Box*")</f>
        <v>1</v>
      </c>
      <c r="FT54" s="8">
        <f>COUNTIFS('Raw data'!$D:$D,"*Dylan Tambe*", 'Raw data'!$H:$H,"*1v1 Attack*")</f>
        <v>2</v>
      </c>
      <c r="FU54" s="8">
        <f>COUNTIFS('Raw data'!$D:$D,"*Dylan Tambe*", 'Raw data'!$H:$H,"*1v1 Attack*",'Raw data'!$H:$H,"*1v1 Attack*",'Raw data'!$M:$M,"*Kept Possession*")</f>
        <v>2</v>
      </c>
      <c r="FV54" s="8">
        <f>COUNTIFS('Raw data'!$D:$D,"*Dylan Tambe*", 'Raw data'!$H:$H,"*1v1 Attack*",'Raw data'!$H:$H,"*1v1 Attack*",'Raw data'!$M:$M,"*Lost Possession*")</f>
        <v>0</v>
      </c>
      <c r="FW54" s="54">
        <f t="shared" si="313"/>
        <v>1</v>
      </c>
      <c r="FX54" s="54">
        <f t="shared" si="314"/>
        <v>0</v>
      </c>
      <c r="FY54" s="8">
        <f>COUNTIFS('Raw data'!$D:$D,"*Dylan Tambe*", 'Raw data'!$I:$I,"*Cross*")</f>
        <v>2</v>
      </c>
      <c r="FZ54" s="8">
        <f>COUNTIFS('Raw data'!$D:$D,"*Dylan Tambe*", 'Raw data'!$I:$I,"*Cross*",'Raw data'!$M:$M,"*Pass Completed*")</f>
        <v>1</v>
      </c>
      <c r="GA54" s="8">
        <f>COUNTIFS('Raw data'!$D:$D,"*Dylan Tambe*", 'Raw data'!$I:$I,"*Cross*",'Raw data'!$M:$M,"*Pass Uncompleted*")</f>
        <v>1</v>
      </c>
      <c r="GB54" s="54">
        <f t="shared" si="315"/>
        <v>0.5</v>
      </c>
      <c r="GC54" s="54">
        <f t="shared" si="316"/>
        <v>0.5</v>
      </c>
      <c r="GD54" s="8">
        <f t="shared" si="317"/>
        <v>0</v>
      </c>
      <c r="GE54" s="8">
        <f>COUNTIFS('Raw data'!$D:$D,"*Dylan Tambe*", 'Raw data'!$L:$L,"*On Target*")</f>
        <v>0</v>
      </c>
      <c r="GF54" s="8">
        <f>COUNTIFS('Raw data'!$D:$D,"*Dylan Tambe*", 'Raw data'!$L:$L,"*Off Target*")</f>
        <v>0</v>
      </c>
      <c r="GG54" s="8">
        <f>COUNTIFS('Raw data'!$D:$D,"*Dylan Tambe*", 'Raw data'!$L:$L,"*Blocked*")</f>
        <v>0</v>
      </c>
      <c r="GH54" s="8">
        <f>COUNTIFS('Raw data'!$D:$D,"*Dylan Tambe*", 'Raw data'!$M:$M,"*Goal*")</f>
        <v>0</v>
      </c>
      <c r="GI54" s="8">
        <f>COUNTIFS('Raw data'!$D:$D,"*Dylan Tambe*", 'Raw data'!$M:$M,"*Assist*")</f>
        <v>0</v>
      </c>
      <c r="GJ54" s="8">
        <f>COUNTIFS('Raw data'!$D:$D,"*Dylan Tambe*", 'Raw data'!$H:$H,"*Offensive duel*")</f>
        <v>1</v>
      </c>
      <c r="GK54" s="8">
        <f>COUNTIFS('Raw data'!$D:$D,"*Dylan Tambe*", 'Raw data'!$H:$H,"*Offensive Duel*",'Raw data'!$H:$H,"*Offensive Duel*",'Raw data'!$M:$M,"*Kept Possession*")</f>
        <v>1</v>
      </c>
      <c r="GL54" s="8">
        <f>COUNTIFS('Raw data'!$D:$D,"*Dylan Tambe*", 'Raw data'!$H:$H,"*Offensive Duel*",'Raw data'!$H:$H,"*Offensive Duel*",'Raw data'!$M:$M,"*Lost Possession*")</f>
        <v>0</v>
      </c>
      <c r="GM54" s="54">
        <f t="shared" si="318"/>
        <v>1</v>
      </c>
      <c r="GN54" s="54">
        <f t="shared" si="319"/>
        <v>0</v>
      </c>
      <c r="GO54" s="8">
        <f>COUNTIFS('Raw data'!$D:$D,"*Dylan Tambe*", 'Raw data'!$H:$H,"*Acceleration*")</f>
        <v>1</v>
      </c>
      <c r="GP54" s="8">
        <f>COUNTIFS('Raw data'!$D:$D,"*Dylan Tambe*", 'Raw data'!$H:$H,"*Move into Pocket*")</f>
        <v>2</v>
      </c>
      <c r="GQ54" s="8">
        <f>COUNTIFS('Raw data'!$D:$D,"*Dylan Tambe*", 'Raw data'!$H:$H,"*Wide area*")</f>
        <v>6</v>
      </c>
      <c r="GR54" s="8">
        <f>COUNTIFS('Raw data'!$D:$D,"*Dylan Tambe*", 'Raw data'!$H:$H,"*Back to goal*")</f>
        <v>1</v>
      </c>
      <c r="GS54" s="8">
        <f>COUNTIFS('Raw data'!$D:$D,"*Dylan Tambe*", 'Raw data'!$H:$H,"*Over/Underlaps*")</f>
        <v>0</v>
      </c>
      <c r="GT54" s="8">
        <f>COUNTIFS('Raw data'!$D:$D,"*Dylan Tambe*", 'Raw data'!$H:$H,"*Runs in Behind*")</f>
        <v>0</v>
      </c>
      <c r="GU54" s="8">
        <f>COUNTIFS('Raw data'!$D:$D,"*Dylan Tambe*", 'Raw data'!$H:$H,"*Half-space Runs*")</f>
        <v>0</v>
      </c>
      <c r="GV54" s="8">
        <f t="shared" si="320"/>
        <v>3</v>
      </c>
      <c r="GW54" s="8">
        <f t="shared" si="321"/>
        <v>1</v>
      </c>
      <c r="GX54" s="8">
        <f t="shared" si="322"/>
        <v>2</v>
      </c>
      <c r="GY54" s="54">
        <f t="shared" si="323"/>
        <v>0.33333333333333331</v>
      </c>
      <c r="GZ54" s="54">
        <f t="shared" si="324"/>
        <v>0.66666666666666663</v>
      </c>
      <c r="HA54" s="8">
        <f>COUNTIFS('Raw data'!$D:$D,"*Dylan Tambe*", 'Raw data'!$K:$K,"*Ground duel*")</f>
        <v>0</v>
      </c>
      <c r="HB54" s="8">
        <f>COUNTIFS('Raw data'!$D:$D,"*Dylan Tambe*", 'Raw data'!$K:$K,"*Ground duel*",'Raw data'!$M:$M,"*Duel Succeeded*")</f>
        <v>0</v>
      </c>
      <c r="HC54" s="8">
        <f>COUNTIFS('Raw data'!$D:$D,"*Dylan Tambe*", 'Raw data'!$K:$K,"*Ground duel*",'Raw data'!$M:$M,"*Duel Unsucceeded*")</f>
        <v>0</v>
      </c>
      <c r="HD54" s="54" t="str">
        <f t="shared" si="325"/>
        <v>-</v>
      </c>
      <c r="HE54" s="54" t="str">
        <f t="shared" si="326"/>
        <v>-</v>
      </c>
      <c r="HF54" s="8">
        <f>COUNTIFS('Raw data'!$D:$D,"*Dylan Tambe*", 'Raw data'!$K:$K,"*Aerial duel*")</f>
        <v>2</v>
      </c>
      <c r="HG54" s="8">
        <f>COUNTIFS('Raw data'!$D:$D,"*Dylan Tambe*", 'Raw data'!$K:$K,"*Aerial duel*",'Raw data'!$M:$M,"*Duel Succeeded*")</f>
        <v>0</v>
      </c>
      <c r="HH54" s="8">
        <f>COUNTIFS('Raw data'!$D:$D,"*Dylan Tambe*", 'Raw data'!$K:$K,"*Aerial duel*",'Raw data'!$M:$M,"*Duel Unsucceeded*")</f>
        <v>2</v>
      </c>
      <c r="HI54" s="54" t="str">
        <f t="shared" si="327"/>
        <v>-</v>
      </c>
      <c r="HJ54" s="54" t="str">
        <f t="shared" si="328"/>
        <v>-</v>
      </c>
      <c r="HK54" s="8">
        <f>COUNTIFS('Raw data'!$D:$D,"*Dylan Tambe*", 'Raw data'!$K:$K,"*1v1 defense*")</f>
        <v>0</v>
      </c>
      <c r="HL54" s="8">
        <f>COUNTIFS('Raw data'!$D:$D,"*Dylan Tambe*", 'Raw data'!$K:$K,"*1v1 defense*",'Raw data'!$M:$M,"*Duel Succeeded*")</f>
        <v>0</v>
      </c>
      <c r="HM54" s="8">
        <f>COUNTIFS('Raw data'!$D:$D,"*Dylan Tambe*", 'Raw data'!$K:$K,"*1v1 defense*",'Raw data'!$M:$M,"*Duel Unsucceeded*")</f>
        <v>0</v>
      </c>
      <c r="HN54" s="54" t="str">
        <f t="shared" si="329"/>
        <v>-</v>
      </c>
      <c r="HO54" s="54" t="str">
        <f t="shared" si="330"/>
        <v>-</v>
      </c>
      <c r="HP54" s="8">
        <f>COUNTIFS('Raw data'!$D:$D,"*Dylan Tambe*", 'Raw data'!$J:$J,"*Tackles*")</f>
        <v>0</v>
      </c>
      <c r="HQ54" s="8">
        <f>COUNTIFS('Raw data'!$D:$D,"*Dylan Tambe*", 'Raw data'!$J:$J,"*Tackles*", 'Raw data'!$M:$M,"*Duel Succeeded*")</f>
        <v>0</v>
      </c>
      <c r="HR54" s="8">
        <f>COUNTIFS('Raw data'!$D:$D,"*Dylan Tambe*", 'Raw data'!$J:$J,"*Tackles*", 'Raw data'!$M:$M,"*Duel Unsucceeded*")</f>
        <v>0</v>
      </c>
      <c r="HS54" s="54" t="str">
        <f t="shared" si="331"/>
        <v>-</v>
      </c>
      <c r="HT54" s="54" t="str">
        <f t="shared" si="332"/>
        <v>-</v>
      </c>
      <c r="HU54" s="8">
        <f>COUNTIFS('Raw data'!$D:$D,"*Dylan Tambe*", 'Raw data'!$K:$K,"*2nd Balls*")</f>
        <v>0</v>
      </c>
      <c r="HV54" s="8">
        <f>COUNTIFS('Raw data'!$D:$D,"*Dylan Tambe*", 'Raw data'!$K:$K,"*2nd Balls*", 'Raw data'!$M:$M,"*Duel Succeeded*")</f>
        <v>0</v>
      </c>
      <c r="HW54" s="8">
        <f>COUNTIFS('Raw data'!$D:$D,"*Dylan Tambe*", 'Raw data'!$K:$K,"*2nd Balls*", 'Raw data'!$M:$M,"*Duel Unsucceeded*")</f>
        <v>0</v>
      </c>
      <c r="HX54" s="54" t="str">
        <f t="shared" si="333"/>
        <v>-</v>
      </c>
      <c r="HY54" s="54" t="str">
        <f t="shared" si="334"/>
        <v>-</v>
      </c>
      <c r="HZ54" s="8">
        <f>COUNTIFS('Raw data'!$D:$D,"*Dylan Tambe*", 'Raw data'!$J:$J,"*Clearance*")</f>
        <v>0</v>
      </c>
      <c r="IA54" s="8">
        <f>COUNTIFS('Raw data'!$D:$D,"*Dylan Tambe*", 'Raw data'!$J:$J,"*Interception*")</f>
        <v>1</v>
      </c>
      <c r="IB54" s="8">
        <f>COUNTIFS('Raw data'!$D:$D,"*Dylan Tambe*", 'Raw data'!$J:$J,"*Turnover Won*")</f>
        <v>1</v>
      </c>
      <c r="IC54" s="8">
        <f>COUNTIFS('Raw data'!$D:$D,"*Dylan Tambe*", 'Raw data'!$J:$J,"*Recovery*")</f>
        <v>0</v>
      </c>
      <c r="ID54" s="8">
        <f>COUNTIFS('Raw data'!$D:$D,"*Dylan Tambe*", 'Raw data'!$J:$J,"*Blocked Shots*")</f>
        <v>0</v>
      </c>
      <c r="IE54" s="8">
        <f>COUNTIFS('Raw data'!$D:$D,"*Dylan Tambe*", 'Raw data'!$J:$J,"*Man-marking*")</f>
        <v>0</v>
      </c>
      <c r="IF54" s="8">
        <f>COUNTIFS('Raw data'!$D:$D,"*Dylan Tambe*", 'Raw data'!$J:$J,"*Fouls*")</f>
        <v>0</v>
      </c>
      <c r="IG54" s="8">
        <f>COUNTIFS('Raw data'!$D:$D,"*Dylan Tambe*", 'Raw data'!$J:$J,"*Won F*")</f>
        <v>0</v>
      </c>
      <c r="IH54" s="8">
        <f>COUNTIFS('Raw data'!$D:$D,"*Dylan Tambe*", 'Raw data'!$G:$G,"*1v1*")</f>
        <v>0</v>
      </c>
      <c r="II54" s="8">
        <f>COUNTIFS('Raw data'!$D:$D,"*Dylan Tambe*", 'Raw data'!$G:$G,"*On Target*")</f>
        <v>0</v>
      </c>
      <c r="IJ54" s="8">
        <f>COUNTIFS('Raw data'!$D:$D,"*Dylan Tambe*", 'Raw data'!$G:$G,"*Off Target*")</f>
        <v>0</v>
      </c>
      <c r="IK54" s="8">
        <f>COUNTIFS('Raw data'!$D:$D,"*Dylan Tambe*", 'Raw data'!$G:$G,"*Defend the Space*")</f>
        <v>0</v>
      </c>
      <c r="IL54" s="8">
        <f>COUNTIFS('Raw data'!$D:$D,"*Dylan Tambe*", 'Raw data'!$G:$G,"*Conceded*")</f>
        <v>0</v>
      </c>
      <c r="IM54" s="8">
        <f>COUNTIFS('Raw data'!$D:$D,"*Dylan Tambe*", 'Raw data'!$G:$G,"*Save*")</f>
        <v>0</v>
      </c>
      <c r="IN54" s="8">
        <f>COUNTIFS('Raw data'!$D:$D,"*Dylan Tambe*", 'Raw data'!$G:$G,"*Defend the line (Cross)*")</f>
        <v>0</v>
      </c>
      <c r="IO54" s="8">
        <f>COUNTIFS('Raw data'!$D:$D,"*Dylan Tambe*", 'Raw data'!$G:$G,"*Counter Kick*")</f>
        <v>0</v>
      </c>
      <c r="IP54" t="s">
        <v>783</v>
      </c>
    </row>
    <row r="55" spans="127:250">
      <c r="DW55" t="s">
        <v>500</v>
      </c>
      <c r="DX55" t="s">
        <v>788</v>
      </c>
      <c r="DY55">
        <v>80</v>
      </c>
      <c r="DZ55" t="s">
        <v>539</v>
      </c>
      <c r="EA55">
        <f t="shared" si="293"/>
        <v>4</v>
      </c>
      <c r="EB55" s="8">
        <f t="shared" si="294"/>
        <v>2</v>
      </c>
      <c r="EC55" s="8">
        <f t="shared" si="295"/>
        <v>2</v>
      </c>
      <c r="ED55" s="54">
        <f t="shared" si="296"/>
        <v>0.5</v>
      </c>
      <c r="EE55" s="54">
        <f t="shared" si="297"/>
        <v>0.5</v>
      </c>
      <c r="EF55">
        <f t="shared" si="298"/>
        <v>2</v>
      </c>
      <c r="EG55">
        <f>COUNTIFS('Raw data'!$D:$D,"*Kaii Charles*", 'Raw data'!$I:$I,"*Forward Pass*",'Raw data'!$M:$M,"*Pass completed*")</f>
        <v>1</v>
      </c>
      <c r="EH55">
        <f>COUNTIFS('Raw data'!$D:$D,"*Kaii Charles*", 'Raw data'!$I:$I,"*Forward Pass*",'Raw data'!$M:$M,"*Pass Uncompleted*")</f>
        <v>1</v>
      </c>
      <c r="EI55" s="54">
        <f t="shared" si="299"/>
        <v>0.5</v>
      </c>
      <c r="EJ55" s="54">
        <f t="shared" si="300"/>
        <v>0.5</v>
      </c>
      <c r="EK55">
        <f t="shared" si="301"/>
        <v>0</v>
      </c>
      <c r="EL55" s="8">
        <f>COUNTIFS('Raw data'!$D:$D,"*Kaii Charles*", 'Raw data'!$I:$I,"*Lateral Pass*",'Raw data'!$M:$M,"*Pass completed*")</f>
        <v>0</v>
      </c>
      <c r="EM55" s="8">
        <f>COUNTIFS('Raw data'!$D:$D,"*Kaii Charles*", 'Raw data'!$I:$I,"*Lateral Pass*",'Raw data'!$M:$M,"*Pass Uncompleted*")</f>
        <v>0</v>
      </c>
      <c r="EN55" s="54" t="str">
        <f t="shared" si="302"/>
        <v>-</v>
      </c>
      <c r="EO55" s="54" t="str">
        <f t="shared" si="303"/>
        <v>-</v>
      </c>
      <c r="EP55">
        <f t="shared" si="304"/>
        <v>2</v>
      </c>
      <c r="EQ55" s="8">
        <f>COUNTIFS('Raw data'!$D:$D,"*Kaii Charles*", 'Raw data'!$I:$I,"*Backward Pass*",'Raw data'!$M:$M,"*Pass completed*")</f>
        <v>1</v>
      </c>
      <c r="ER55" s="8">
        <f>COUNTIFS('Raw data'!$D:$D,"*Kaii Charles*", 'Raw data'!$I:$I,"*Backward Pass*",'Raw data'!$M:$M,"*Pass Uncompleted*")</f>
        <v>1</v>
      </c>
      <c r="ES55" s="54">
        <f t="shared" si="305"/>
        <v>1</v>
      </c>
      <c r="ET55" s="54">
        <f t="shared" si="306"/>
        <v>1</v>
      </c>
      <c r="EU55" s="8">
        <f>COUNTIFS('Raw data'!$D:$D,"*Kaii Charles*", 'Raw data'!$I:$I,"*Long Kick*")</f>
        <v>0</v>
      </c>
      <c r="EV55" s="8">
        <f>COUNTIFS('Raw data'!$D:$D,"*Kaii Charles*", 'Raw data'!$I:$I,"*Long Kick*",'Raw data'!$M:$M,"*Pass completed*")</f>
        <v>0</v>
      </c>
      <c r="EW55" s="8">
        <f>COUNTIFS('Raw data'!$D:$D,"*Kaii Charles*", 'Raw data'!$I:$I,"*Long Kick*",'Raw data'!$M:$M,"*Pass Uncompleted*")</f>
        <v>0</v>
      </c>
      <c r="EX55" s="54" t="str">
        <f t="shared" si="307"/>
        <v>-</v>
      </c>
      <c r="EY55" s="54" t="str">
        <f t="shared" si="308"/>
        <v>-</v>
      </c>
      <c r="EZ55" s="8">
        <f>COUNTIFS('Raw data'!$D:$D,"*Kaii Charles*", 'Raw data'!$I:$I,"*Balls in Behind*")</f>
        <v>1</v>
      </c>
      <c r="FA55" s="8">
        <f>COUNTIFS('Raw data'!$D:$D,"*Kaii Charles*", 'Raw data'!$I:$I,"*Balls in Behind*",'Raw data'!$M:$M,"*Pass completed*")</f>
        <v>0</v>
      </c>
      <c r="FB55" s="8">
        <f>COUNTIFS('Raw data'!$D:$D,"*Kaii Charles*", 'Raw data'!$I:$I,"*Balls in Behind*",'Raw data'!$M:$M,"*Pass Uncompleted*")</f>
        <v>1</v>
      </c>
      <c r="FC55" s="54">
        <f t="shared" si="309"/>
        <v>0</v>
      </c>
      <c r="FD55" s="54">
        <f t="shared" si="310"/>
        <v>1</v>
      </c>
      <c r="FE55" s="8">
        <f>COUNTIFS('Raw data'!$D:$D,"*Kaii Charles*", 'Raw data'!$I:$I,"*Key/Through pass*")</f>
        <v>0</v>
      </c>
      <c r="FF55" s="8">
        <f>COUNTIFS('Raw data'!$D:$D,"*Kaii Charles*", 'Raw data'!$I:$I,"*Diagonal pass*")</f>
        <v>0</v>
      </c>
      <c r="FG55" s="8">
        <f>COUNTIFS('Raw data'!$D:$D,"*Kaii Charles*", 'Raw data'!$I:$I,"*Diagonal pass*",'Raw data'!$M:$M,"*Pass completed*")</f>
        <v>0</v>
      </c>
      <c r="FH55" s="8">
        <f>COUNTIFS('Raw data'!$D:$D,"*Kaii Charles*", 'Raw data'!$I:$I,"*Diagonal pass*",'Raw data'!$M:$M,"*Pass Uncompleted*")</f>
        <v>0</v>
      </c>
      <c r="FI55" s="54" t="str">
        <f t="shared" si="311"/>
        <v>-</v>
      </c>
      <c r="FJ55" s="54" t="str">
        <f t="shared" si="312"/>
        <v>-</v>
      </c>
      <c r="FK55" s="8">
        <f>COUNTIFS('Raw data'!$D:$D,"*Kaii Charles*", 'Raw data'!$M:$M,"*Pass Received*")</f>
        <v>10</v>
      </c>
      <c r="FL55" s="8">
        <f>COUNTIFS('Raw data'!$D:$D,"*Kaii Charles*", 'Raw data'!$M:$M,"*Pass Completed*",'Raw data'!$M:$M,"*Pass Received*")</f>
        <v>1</v>
      </c>
      <c r="FM55" s="8">
        <f>COUNTIFS('Raw data'!$D:$D,"*Kaii Charles*", 'Raw data'!$M:$M,"*Pass Uncompleted*",'Raw data'!$M:$M,"*Pass Received*")</f>
        <v>4</v>
      </c>
      <c r="FN55" s="8">
        <f>COUNTIFS('Raw data'!$D:$D,"*Kaii Charles*", 'Raw data'!$M:$M,"*Kept Possession*",'Raw data'!$M:$M,"*Pass Received*")</f>
        <v>1</v>
      </c>
      <c r="FO55" s="8">
        <f>COUNTIFS('Raw data'!$D:$D,"*Kaii Charles*", 'Raw data'!$M:$M,"*Lost Possession*")</f>
        <v>5</v>
      </c>
      <c r="FP55" s="8">
        <f>COUNTIFS('Raw data'!$D:$D,"*Kaii Charles*", 'Raw data'!$M:$M,"*Lost Possession*",'Raw data'!$M:$M,"*Lost Final 1/3*")</f>
        <v>2</v>
      </c>
      <c r="FQ55" s="8">
        <f>COUNTIFS('Raw data'!$D:$D,"*Kaii Charles*", 'Raw data'!$M:$M,"*Lost Possession*",'Raw data'!$M:$M,"*Lost Middle 1/3*")</f>
        <v>3</v>
      </c>
      <c r="FR55" s="8">
        <f>COUNTIFS('Raw data'!$D:$D,"*Kaii Charles*", 'Raw data'!$M:$M,"*Lost Possession*",'Raw data'!$M:$M,"*Lost Own 1/3*")</f>
        <v>0</v>
      </c>
      <c r="FS55" s="8">
        <f>COUNTIFS('Raw data'!$D:$D,"*Kaii Charles*", 'Raw data'!$H:$H,"*Touches in the Box*")</f>
        <v>1</v>
      </c>
      <c r="FT55" s="8">
        <f>COUNTIFS('Raw data'!$D:$D,"*Kaii Charles*", 'Raw data'!$H:$H,"*1v1 Attack*")</f>
        <v>4</v>
      </c>
      <c r="FU55" s="8">
        <f>COUNTIFS('Raw data'!$D:$D,"*Kaii Charles*", 'Raw data'!$H:$H,"*1v1 Attack*",'Raw data'!$H:$H,"*1v1 Attack*",'Raw data'!$M:$M,"*Kept Possession*")</f>
        <v>2</v>
      </c>
      <c r="FV55" s="8">
        <f>COUNTIFS('Raw data'!$D:$D,"*Kaii Charles*", 'Raw data'!$H:$H,"*1v1 Attack*",'Raw data'!$H:$H,"*1v1 Attack*",'Raw data'!$M:$M,"*Lost Possession*")</f>
        <v>2</v>
      </c>
      <c r="FW55" s="54">
        <f t="shared" si="313"/>
        <v>0.5</v>
      </c>
      <c r="FX55" s="54">
        <f t="shared" si="314"/>
        <v>0.5</v>
      </c>
      <c r="FY55" s="8">
        <f>COUNTIFS('Raw data'!$D:$D,"*Kaii Charles*", 'Raw data'!$I:$I,"*Cross*")</f>
        <v>2</v>
      </c>
      <c r="FZ55" s="8">
        <f>COUNTIFS('Raw data'!$D:$D,"*Kaii Charles*", 'Raw data'!$I:$I,"*Cross*",'Raw data'!$M:$M,"*Pass Completed*")</f>
        <v>0</v>
      </c>
      <c r="GA55" s="8">
        <f>COUNTIFS('Raw data'!$D:$D,"*Kaii Charles*", 'Raw data'!$I:$I,"*Cross*",'Raw data'!$M:$M,"*Pass Uncompleted*")</f>
        <v>2</v>
      </c>
      <c r="GB55" s="54">
        <f t="shared" si="315"/>
        <v>0</v>
      </c>
      <c r="GC55" s="54">
        <f t="shared" si="316"/>
        <v>1</v>
      </c>
      <c r="GD55" s="8">
        <f t="shared" si="317"/>
        <v>0</v>
      </c>
      <c r="GE55" s="8">
        <f>COUNTIFS('Raw data'!$D:$D,"*Kaii Charles*", 'Raw data'!$L:$L,"*On Target*")</f>
        <v>0</v>
      </c>
      <c r="GF55" s="8">
        <f>COUNTIFS('Raw data'!$D:$D,"*Kaii Charles*", 'Raw data'!$L:$L,"*Off Target*")</f>
        <v>0</v>
      </c>
      <c r="GG55" s="8">
        <f>COUNTIFS('Raw data'!$D:$D,"*Kaii Charles*", 'Raw data'!$L:$L,"*Blocked*")</f>
        <v>0</v>
      </c>
      <c r="GH55" s="8">
        <f>COUNTIFS('Raw data'!$D:$D,"*Kaii Charles*", 'Raw data'!$M:$M,"*Goal*")</f>
        <v>0</v>
      </c>
      <c r="GI55" s="8">
        <f>COUNTIFS('Raw data'!$D:$D,"*Kaii Charles*", 'Raw data'!$M:$M,"*Assist*")</f>
        <v>0</v>
      </c>
      <c r="GJ55" s="8">
        <f>COUNTIFS('Raw data'!$D:$D,"*Kaii Charles*", 'Raw data'!$H:$H,"*Offensive duel*")</f>
        <v>1</v>
      </c>
      <c r="GK55" s="8">
        <f>COUNTIFS('Raw data'!$D:$D,"*Kaii Charles*", 'Raw data'!$H:$H,"*Offensive Duel*",'Raw data'!$H:$H,"*Offensive Duel*",'Raw data'!$M:$M,"*Kept Possession*")</f>
        <v>0</v>
      </c>
      <c r="GL55" s="8">
        <f>COUNTIFS('Raw data'!$D:$D,"*Kaii Charles*", 'Raw data'!$H:$H,"*Offensive Duel*",'Raw data'!$H:$H,"*Offensive Duel*",'Raw data'!$M:$M,"*Lost Possession*")</f>
        <v>1</v>
      </c>
      <c r="GM55" s="54">
        <f t="shared" si="318"/>
        <v>0</v>
      </c>
      <c r="GN55" s="54">
        <f t="shared" si="319"/>
        <v>1</v>
      </c>
      <c r="GO55" s="8">
        <f>COUNTIFS('Raw data'!$D:$D,"*Kaii Charles*", 'Raw data'!$H:$H,"*Acceleration*")</f>
        <v>0</v>
      </c>
      <c r="GP55" s="8">
        <f>COUNTIFS('Raw data'!$D:$D,"*Kaii Charles*", 'Raw data'!$H:$H,"*Move into Pocket*")</f>
        <v>0</v>
      </c>
      <c r="GQ55" s="8">
        <f>COUNTIFS('Raw data'!$D:$D,"*Kaii Charles*", 'Raw data'!$H:$H,"*Wide area*")</f>
        <v>7</v>
      </c>
      <c r="GR55" s="8">
        <f>COUNTIFS('Raw data'!$D:$D,"*Kaii Charles*", 'Raw data'!$H:$H,"*Back to goal*")</f>
        <v>0</v>
      </c>
      <c r="GS55" s="8">
        <f>COUNTIFS('Raw data'!$D:$D,"*Kaii Charles*", 'Raw data'!$H:$H,"*Over/Underlaps*")</f>
        <v>0</v>
      </c>
      <c r="GT55" s="8">
        <f>COUNTIFS('Raw data'!$D:$D,"*Kaii Charles*", 'Raw data'!$H:$H,"*Runs in Behind*")</f>
        <v>0</v>
      </c>
      <c r="GU55" s="8">
        <f>COUNTIFS('Raw data'!$D:$D,"*Kaii Charles*", 'Raw data'!$H:$H,"*Half-space Runs*")</f>
        <v>0</v>
      </c>
      <c r="GV55" s="8">
        <f t="shared" si="320"/>
        <v>4</v>
      </c>
      <c r="GW55" s="8">
        <f t="shared" si="321"/>
        <v>0</v>
      </c>
      <c r="GX55" s="8">
        <f t="shared" si="322"/>
        <v>4</v>
      </c>
      <c r="GY55" s="54">
        <f t="shared" si="323"/>
        <v>0</v>
      </c>
      <c r="GZ55" s="54">
        <f t="shared" si="324"/>
        <v>1</v>
      </c>
      <c r="HA55" s="8">
        <f>COUNTIFS('Raw data'!$D:$D,"*Kaii Charles*", 'Raw data'!$K:$K,"*Ground duel*")</f>
        <v>3</v>
      </c>
      <c r="HB55" s="8">
        <f>COUNTIFS('Raw data'!$D:$D,"*Kaii Charles*", 'Raw data'!$K:$K,"*Ground duel*",'Raw data'!$M:$M,"*Duel Succeeded*")</f>
        <v>0</v>
      </c>
      <c r="HC55" s="8">
        <f>COUNTIFS('Raw data'!$D:$D,"*Kaii Charles*", 'Raw data'!$K:$K,"*Ground duel*",'Raw data'!$M:$M,"*Duel Unsucceeded*")</f>
        <v>3</v>
      </c>
      <c r="HD55" s="54">
        <f t="shared" si="325"/>
        <v>0</v>
      </c>
      <c r="HE55" s="54">
        <f t="shared" si="326"/>
        <v>1</v>
      </c>
      <c r="HF55" s="8">
        <f>COUNTIFS('Raw data'!$D:$D,"*Kaii Charles*", 'Raw data'!$K:$K,"*Aerial duel*")</f>
        <v>0</v>
      </c>
      <c r="HG55" s="8">
        <f>COUNTIFS('Raw data'!$D:$D,"*Kaii Charles*", 'Raw data'!$K:$K,"*Aerial duel*",'Raw data'!$M:$M,"*Duel Succeeded*")</f>
        <v>0</v>
      </c>
      <c r="HH55" s="8">
        <f>COUNTIFS('Raw data'!$D:$D,"*Kaii Charles*", 'Raw data'!$K:$K,"*Aerial duel*",'Raw data'!$M:$M,"*Duel Unsucceeded*")</f>
        <v>0</v>
      </c>
      <c r="HI55" s="54" t="str">
        <f t="shared" si="327"/>
        <v>-</v>
      </c>
      <c r="HJ55" s="54" t="str">
        <f t="shared" si="328"/>
        <v>-</v>
      </c>
      <c r="HK55" s="8">
        <f>COUNTIFS('Raw data'!$D:$D,"*Kaii Charles*", 'Raw data'!$K:$K,"*1v1 defense*")</f>
        <v>2</v>
      </c>
      <c r="HL55" s="8">
        <f>COUNTIFS('Raw data'!$D:$D,"*Kaii Charles*", 'Raw data'!$K:$K,"*1v1 defense*",'Raw data'!$M:$M,"*Duel Succeeded*")</f>
        <v>0</v>
      </c>
      <c r="HM55" s="8">
        <f>COUNTIFS('Raw data'!$D:$D,"*Kaii Charles*", 'Raw data'!$K:$K,"*1v1 defense*",'Raw data'!$M:$M,"*Duel Unsucceeded*")</f>
        <v>2</v>
      </c>
      <c r="HN55" s="54">
        <f t="shared" si="329"/>
        <v>0</v>
      </c>
      <c r="HO55" s="54">
        <f t="shared" si="330"/>
        <v>1</v>
      </c>
      <c r="HP55" s="8">
        <f>COUNTIFS('Raw data'!$D:$D,"*Kaii Charles*", 'Raw data'!$J:$J,"*Tackles*")</f>
        <v>0</v>
      </c>
      <c r="HQ55" s="8">
        <f>COUNTIFS('Raw data'!$D:$D,"*Kaii Charles*", 'Raw data'!$J:$J,"*Tackles*", 'Raw data'!$M:$M,"*Duel Succeeded*")</f>
        <v>0</v>
      </c>
      <c r="HR55" s="8">
        <f>COUNTIFS('Raw data'!$D:$D,"*Kaii Charles*", 'Raw data'!$J:$J,"*Tackles*", 'Raw data'!$M:$M,"*Duel Unsucceeded*")</f>
        <v>0</v>
      </c>
      <c r="HS55" s="54" t="str">
        <f t="shared" si="331"/>
        <v>-</v>
      </c>
      <c r="HT55" s="54" t="str">
        <f t="shared" si="332"/>
        <v>-</v>
      </c>
      <c r="HU55" s="8">
        <f>COUNTIFS('Raw data'!$D:$D,"*Kaii Charles*", 'Raw data'!$K:$K,"*2nd Balls*")</f>
        <v>0</v>
      </c>
      <c r="HV55" s="8">
        <f>COUNTIFS('Raw data'!$D:$D,"*Kaii Charles*", 'Raw data'!$K:$K,"*2nd Balls*", 'Raw data'!$M:$M,"*Duel Succeeded*")</f>
        <v>0</v>
      </c>
      <c r="HW55" s="8">
        <f>COUNTIFS('Raw data'!$D:$D,"*Kaii Charles*", 'Raw data'!$K:$K,"*2nd Balls*", 'Raw data'!$M:$M,"*Duel Unsucceeded*")</f>
        <v>0</v>
      </c>
      <c r="HX55" s="54" t="str">
        <f t="shared" si="333"/>
        <v>-</v>
      </c>
      <c r="HY55" s="54" t="str">
        <f t="shared" si="334"/>
        <v>-</v>
      </c>
      <c r="HZ55" s="8">
        <f>COUNTIFS('Raw data'!$D:$D,"*Kaii Charles*", 'Raw data'!$J:$J,"*Clearance*")</f>
        <v>0</v>
      </c>
      <c r="IA55" s="8">
        <f>COUNTIFS('Raw data'!$D:$D,"*Kaii Charles*", 'Raw data'!$J:$J,"*Interception*")</f>
        <v>1</v>
      </c>
      <c r="IB55" s="8">
        <f>COUNTIFS('Raw data'!$D:$D,"*Kaii Charles*", 'Raw data'!$J:$J,"*Turnover Won*")</f>
        <v>0</v>
      </c>
      <c r="IC55" s="8">
        <f>COUNTIFS('Raw data'!$D:$D,"*Kaii Charles*", 'Raw data'!$J:$J,"*Recovery*")</f>
        <v>0</v>
      </c>
      <c r="ID55" s="8">
        <f>COUNTIFS('Raw data'!$D:$D,"*Kaii Charles*", 'Raw data'!$J:$J,"*Blocked Shots*")</f>
        <v>0</v>
      </c>
      <c r="IE55" s="8">
        <f>COUNTIFS('Raw data'!$D:$D,"*Kaii Charles*", 'Raw data'!$J:$J,"*Man-marking*")</f>
        <v>0</v>
      </c>
      <c r="IF55" s="8">
        <f>COUNTIFS('Raw data'!$D:$D,"*Kaii Charles*", 'Raw data'!$J:$J,"*Fouls*")</f>
        <v>0</v>
      </c>
      <c r="IG55" s="8">
        <f>COUNTIFS('Raw data'!$D:$D,"*Kaii Charles*", 'Raw data'!$J:$J,"*Won F*")</f>
        <v>0</v>
      </c>
      <c r="IH55" s="8">
        <f>COUNTIFS('Raw data'!$D:$D,"*Kaii Charles*", 'Raw data'!$G:$G,"*1v1*")</f>
        <v>0</v>
      </c>
      <c r="II55" s="8">
        <f>COUNTIFS('Raw data'!$D:$D,"*Kaii Charles*", 'Raw data'!$G:$G,"*On Target*")</f>
        <v>0</v>
      </c>
      <c r="IJ55" s="8">
        <f>COUNTIFS('Raw data'!$D:$D,"*Kaii Charles*", 'Raw data'!$G:$G,"*Off Target*")</f>
        <v>0</v>
      </c>
      <c r="IK55" s="8">
        <f>COUNTIFS('Raw data'!$D:$D,"*Kaii Charles*", 'Raw data'!$G:$G,"*Defend the Space*")</f>
        <v>0</v>
      </c>
      <c r="IL55" s="8">
        <f>COUNTIFS('Raw data'!$D:$D,"*Kaii Charles*", 'Raw data'!$G:$G,"*Conceded*")</f>
        <v>0</v>
      </c>
      <c r="IM55" s="8">
        <f>COUNTIFS('Raw data'!$D:$D,"*Kaii Charles*", 'Raw data'!$G:$G,"*Save*")</f>
        <v>0</v>
      </c>
      <c r="IN55" s="8">
        <f>COUNTIFS('Raw data'!$D:$D,"*Kaii Charles*", 'Raw data'!$G:$G,"*Defend the line (Cross)*")</f>
        <v>0</v>
      </c>
      <c r="IO55" s="8">
        <f>COUNTIFS('Raw data'!$D:$D,"*Kaii Charles*", 'Raw data'!$G:$G,"*Counter Kick*")</f>
        <v>0</v>
      </c>
      <c r="IP55" t="s">
        <v>788</v>
      </c>
    </row>
    <row r="56" spans="127:250">
      <c r="DW56" t="s">
        <v>500</v>
      </c>
      <c r="DX56" t="s">
        <v>687</v>
      </c>
      <c r="DY56">
        <v>40</v>
      </c>
      <c r="DZ56" t="s">
        <v>643</v>
      </c>
      <c r="EA56">
        <f t="shared" si="293"/>
        <v>28</v>
      </c>
      <c r="EB56" s="8">
        <f t="shared" si="294"/>
        <v>19</v>
      </c>
      <c r="EC56" s="8">
        <f t="shared" si="295"/>
        <v>9</v>
      </c>
      <c r="ED56" s="54">
        <f t="shared" si="296"/>
        <v>0.6785714285714286</v>
      </c>
      <c r="EE56" s="54">
        <f t="shared" si="297"/>
        <v>0.32142857142857145</v>
      </c>
      <c r="EF56">
        <f t="shared" si="298"/>
        <v>9</v>
      </c>
      <c r="EG56">
        <f>COUNTIFS('Raw data'!$D:$D,"*Sebastian Bixby-Gutierrez*", 'Raw data'!$I:$I,"*Forward Pass*",'Raw data'!$M:$M,"*Pass completed*")</f>
        <v>4</v>
      </c>
      <c r="EH56">
        <f>COUNTIFS('Raw data'!$D:$D,"*Sebastian Bixby-Gutierrez*", 'Raw data'!$I:$I,"*Forward Pass*",'Raw data'!$M:$M,"*Pass Uncompleted*")</f>
        <v>5</v>
      </c>
      <c r="EI56" s="54">
        <f t="shared" si="299"/>
        <v>0.44444444444444442</v>
      </c>
      <c r="EJ56" s="54">
        <f t="shared" si="300"/>
        <v>0.55555555555555558</v>
      </c>
      <c r="EK56">
        <f t="shared" si="301"/>
        <v>8</v>
      </c>
      <c r="EL56" s="8">
        <f>COUNTIFS('Raw data'!$D:$D,"*Sebastian Bixby-Gutierrez*", 'Raw data'!$I:$I,"*Lateral Pass*",'Raw data'!$M:$M,"*Pass completed*")</f>
        <v>5</v>
      </c>
      <c r="EM56" s="8">
        <f>COUNTIFS('Raw data'!$D:$D,"*Sebastian Bixby-Gutierrez*", 'Raw data'!$I:$I,"*Lateral Pass*",'Raw data'!$M:$M,"*Pass Uncompleted*")</f>
        <v>3</v>
      </c>
      <c r="EN56" s="54">
        <f t="shared" si="302"/>
        <v>0.625</v>
      </c>
      <c r="EO56" s="54">
        <f t="shared" si="303"/>
        <v>0.375</v>
      </c>
      <c r="EP56">
        <f t="shared" si="304"/>
        <v>11</v>
      </c>
      <c r="EQ56" s="8">
        <f>COUNTIFS('Raw data'!$D:$D,"*Sebastian Bixby-Gutierrez*", 'Raw data'!$I:$I,"*Backward Pass*",'Raw data'!$M:$M,"*Pass completed*")</f>
        <v>10</v>
      </c>
      <c r="ER56" s="8">
        <f>COUNTIFS('Raw data'!$D:$D,"*Sebastian Bixby-Gutierrez*", 'Raw data'!$I:$I,"*Backward Pass*",'Raw data'!$M:$M,"*Pass Uncompleted*")</f>
        <v>1</v>
      </c>
      <c r="ES56" s="54">
        <f t="shared" si="305"/>
        <v>1</v>
      </c>
      <c r="ET56" s="54">
        <f t="shared" si="306"/>
        <v>0.1</v>
      </c>
      <c r="EU56" s="8">
        <f>COUNTIFS('Raw data'!$D:$D,"*Sebastian Bixby-Gutierrez*", 'Raw data'!$I:$I,"*Long Kick*")</f>
        <v>1</v>
      </c>
      <c r="EV56" s="8">
        <f>COUNTIFS('Raw data'!$D:$D,"*Sebastian Bixby-Gutierrez*", 'Raw data'!$I:$I,"*Long Kick*",'Raw data'!$M:$M,"*Pass completed*")</f>
        <v>0</v>
      </c>
      <c r="EW56" s="8">
        <f>COUNTIFS('Raw data'!$D:$D,"*Sebastian Bixby-Gutierrez*", 'Raw data'!$I:$I,"*Long Kick*",'Raw data'!$M:$M,"*Pass Uncompleted*")</f>
        <v>1</v>
      </c>
      <c r="EX56" s="54">
        <f t="shared" si="307"/>
        <v>0</v>
      </c>
      <c r="EY56" s="54">
        <f t="shared" si="308"/>
        <v>1</v>
      </c>
      <c r="EZ56" s="8">
        <f>COUNTIFS('Raw data'!$D:$D,"*Sebastian Bixby-Gutierrez*", 'Raw data'!$I:$I,"*Balls in Behind*")</f>
        <v>3</v>
      </c>
      <c r="FA56" s="8">
        <f>COUNTIFS('Raw data'!$D:$D,"*Sebastian Bixby-Gutierrez*", 'Raw data'!$I:$I,"*Balls in Behind*",'Raw data'!$M:$M,"*Pass completed*")</f>
        <v>1</v>
      </c>
      <c r="FB56" s="8">
        <f>COUNTIFS('Raw data'!$D:$D,"*Sebastian Bixby-Gutierrez*", 'Raw data'!$I:$I,"*Balls in Behind*",'Raw data'!$M:$M,"*Pass Uncompleted*")</f>
        <v>2</v>
      </c>
      <c r="FC56" s="54">
        <f t="shared" si="309"/>
        <v>0.33333333333333331</v>
      </c>
      <c r="FD56" s="54">
        <f t="shared" si="310"/>
        <v>0.66666666666666663</v>
      </c>
      <c r="FE56" s="8">
        <f>COUNTIFS('Raw data'!$D:$D,"*Sebastian Bixby-Gutierrez*", 'Raw data'!$I:$I,"*Key/Through pass*")</f>
        <v>0</v>
      </c>
      <c r="FF56" s="8">
        <f>COUNTIFS('Raw data'!$D:$D,"*Sebastian Bixby-Gutierrez*", 'Raw data'!$I:$I,"*Diagonal pass*")</f>
        <v>0</v>
      </c>
      <c r="FG56" s="8">
        <f>COUNTIFS('Raw data'!$D:$D,"*Sebastian Bixby-Gutierrez*", 'Raw data'!$I:$I,"*Diagonal pass*",'Raw data'!$M:$M,"*Pass completed*")</f>
        <v>0</v>
      </c>
      <c r="FH56" s="8">
        <f>COUNTIFS('Raw data'!$D:$D,"*Sebastian Bixby-Gutierrez*", 'Raw data'!$I:$I,"*Diagonal pass*",'Raw data'!$M:$M,"*Pass Uncompleted*")</f>
        <v>0</v>
      </c>
      <c r="FI56" s="54" t="str">
        <f t="shared" si="311"/>
        <v>-</v>
      </c>
      <c r="FJ56" s="54" t="str">
        <f t="shared" si="312"/>
        <v>-</v>
      </c>
      <c r="FK56" s="8">
        <f>COUNTIFS('Raw data'!$D:$D,"*Sebastian Bixby-Gutierrez*", 'Raw data'!$M:$M,"*Pass Received*")</f>
        <v>23</v>
      </c>
      <c r="FL56" s="8">
        <f>COUNTIFS('Raw data'!$D:$D,"*Sebastian Bixby-Gutierrez*", 'Raw data'!$M:$M,"*Pass Completed*",'Raw data'!$M:$M,"*Pass Received*")</f>
        <v>12</v>
      </c>
      <c r="FM56" s="8">
        <f>COUNTIFS('Raw data'!$D:$D,"*Sebastian Bixby-Gutierrez*", 'Raw data'!$M:$M,"*Pass Uncompleted*",'Raw data'!$M:$M,"*Pass Received*")</f>
        <v>7</v>
      </c>
      <c r="FN56" s="8">
        <f>COUNTIFS('Raw data'!$D:$D,"*Sebastian Bixby-Gutierrez*", 'Raw data'!$M:$M,"*Kept Possession*",'Raw data'!$M:$M,"*Pass Received*")</f>
        <v>7</v>
      </c>
      <c r="FO56" s="8">
        <f>COUNTIFS('Raw data'!$D:$D,"*Sebastian Bixby-Gutierrez*", 'Raw data'!$M:$M,"*Lost Possession*")</f>
        <v>5</v>
      </c>
      <c r="FP56" s="8">
        <f>COUNTIFS('Raw data'!$D:$D,"*Sebastian Bixby-Gutierrez*", 'Raw data'!$M:$M,"*Lost Possession*",'Raw data'!$M:$M,"*Lost Final 1/3*")</f>
        <v>3</v>
      </c>
      <c r="FQ56" s="8">
        <f>COUNTIFS('Raw data'!$D:$D,"*Sebastian Bixby-Gutierrez*", 'Raw data'!$M:$M,"*Lost Possession*",'Raw data'!$M:$M,"*Lost Middle 1/3*")</f>
        <v>2</v>
      </c>
      <c r="FR56" s="8">
        <f>COUNTIFS('Raw data'!$D:$D,"*Sebastian Bixby-Gutierrez*", 'Raw data'!$M:$M,"*Lost Possession*",'Raw data'!$M:$M,"*Lost Own 1/3*")</f>
        <v>0</v>
      </c>
      <c r="FS56" s="8">
        <f>COUNTIFS('Raw data'!$D:$D,"*Sebastian Bixby-Gutierrez*", 'Raw data'!$H:$H,"*Touches in the Box*")</f>
        <v>7</v>
      </c>
      <c r="FT56" s="8">
        <f>COUNTIFS('Raw data'!$D:$D,"*Sebastian Bixby-Gutierrez*", 'Raw data'!$H:$H,"*1v1 Attack*")</f>
        <v>3</v>
      </c>
      <c r="FU56" s="8">
        <f>COUNTIFS('Raw data'!$D:$D,"*Sebastian Bixby-Gutierrez*", 'Raw data'!$H:$H,"*1v1 Attack*",'Raw data'!$H:$H,"*1v1 Attack*",'Raw data'!$M:$M,"*Kept Possession*")</f>
        <v>3</v>
      </c>
      <c r="FV56" s="8">
        <f>COUNTIFS('Raw data'!$D:$D,"*Sebastian Bixby-Gutierrez*", 'Raw data'!$H:$H,"*1v1 Attack*",'Raw data'!$H:$H,"*1v1 Attack*",'Raw data'!$M:$M,"*Lost Possession*")</f>
        <v>0</v>
      </c>
      <c r="FW56" s="54">
        <f t="shared" si="313"/>
        <v>1</v>
      </c>
      <c r="FX56" s="54">
        <f t="shared" si="314"/>
        <v>0</v>
      </c>
      <c r="FY56" s="8">
        <f>COUNTIFS('Raw data'!$D:$D,"*Sebastian Bixby-Gutierrez*", 'Raw data'!$I:$I,"*Cross*")</f>
        <v>2</v>
      </c>
      <c r="FZ56" s="8">
        <f>COUNTIFS('Raw data'!$D:$D,"*Sebastian Bixby-Gutierrez*", 'Raw data'!$I:$I,"*Cross*",'Raw data'!$M:$M,"*Pass Completed*")</f>
        <v>1</v>
      </c>
      <c r="GA56" s="8">
        <f>COUNTIFS('Raw data'!$D:$D,"*Sebastian Bixby-Gutierrez*", 'Raw data'!$I:$I,"*Cross*",'Raw data'!$M:$M,"*Pass Uncompleted*")</f>
        <v>1</v>
      </c>
      <c r="GB56" s="54">
        <f t="shared" si="315"/>
        <v>0.5</v>
      </c>
      <c r="GC56" s="54">
        <f t="shared" si="316"/>
        <v>0.5</v>
      </c>
      <c r="GD56" s="8">
        <f t="shared" si="317"/>
        <v>7</v>
      </c>
      <c r="GE56" s="8">
        <f>COUNTIFS('Raw data'!$D:$D,"*Sebastian Bixby-Gutierrez*", 'Raw data'!$L:$L,"*On Target*")</f>
        <v>4</v>
      </c>
      <c r="GF56" s="8">
        <f>COUNTIFS('Raw data'!$D:$D,"*Sebastian Bixby-Gutierrez*", 'Raw data'!$L:$L,"*Off Target*")</f>
        <v>1</v>
      </c>
      <c r="GG56" s="8">
        <f>COUNTIFS('Raw data'!$D:$D,"*Sebastian Bixby-Gutierrez*", 'Raw data'!$L:$L,"*Blocked*")</f>
        <v>2</v>
      </c>
      <c r="GH56" s="8">
        <f>COUNTIFS('Raw data'!$D:$D,"*Sebastian Bixby-Gutierrez*", 'Raw data'!$M:$M,"*Goal*")</f>
        <v>4</v>
      </c>
      <c r="GI56" s="8">
        <f>COUNTIFS('Raw data'!$D:$D,"*Sebastian Bixby-Gutierrez*", 'Raw data'!$M:$M,"*Assist*")</f>
        <v>0</v>
      </c>
      <c r="GJ56" s="8">
        <f>COUNTIFS('Raw data'!$D:$D,"*Sebastian Bixby-Gutierrez*", 'Raw data'!$H:$H,"*Offensive duel*")</f>
        <v>7</v>
      </c>
      <c r="GK56" s="8">
        <f>COUNTIFS('Raw data'!$D:$D,"*Sebastian Bixby-Gutierrez*", 'Raw data'!$H:$H,"*Offensive Duel*",'Raw data'!$H:$H,"*Offensive Duel*",'Raw data'!$M:$M,"*Kept Possession*")</f>
        <v>7</v>
      </c>
      <c r="GL56" s="8">
        <f>COUNTIFS('Raw data'!$D:$D,"*Sebastian Bixby-Gutierrez*", 'Raw data'!$H:$H,"*Offensive Duel*",'Raw data'!$H:$H,"*Offensive Duel*",'Raw data'!$M:$M,"*Lost Possession*")</f>
        <v>0</v>
      </c>
      <c r="GM56" s="54">
        <f t="shared" si="318"/>
        <v>1</v>
      </c>
      <c r="GN56" s="54">
        <f t="shared" si="319"/>
        <v>0</v>
      </c>
      <c r="GO56" s="8">
        <f>COUNTIFS('Raw data'!$D:$D,"*Sebastian Bixby-Gutierrez*", 'Raw data'!$H:$H,"*Acceleration*")</f>
        <v>1</v>
      </c>
      <c r="GP56" s="8">
        <f>COUNTIFS('Raw data'!$D:$D,"*Sebastian Bixby-Gutierrez*", 'Raw data'!$H:$H,"*Move into Pocket*")</f>
        <v>3</v>
      </c>
      <c r="GQ56" s="8">
        <f>COUNTIFS('Raw data'!$D:$D,"*Sebastian Bixby-Gutierrez*", 'Raw data'!$H:$H,"*Wide area*")</f>
        <v>0</v>
      </c>
      <c r="GR56" s="8">
        <f>COUNTIFS('Raw data'!$D:$D,"*Sebastian Bixby-Gutierrez*", 'Raw data'!$H:$H,"*Back to goal*")</f>
        <v>9</v>
      </c>
      <c r="GS56" s="8">
        <f>COUNTIFS('Raw data'!$D:$D,"*Sebastian Bixby-Gutierrez*", 'Raw data'!$H:$H,"*Over/Underlaps*")</f>
        <v>0</v>
      </c>
      <c r="GT56" s="8">
        <f>COUNTIFS('Raw data'!$D:$D,"*Sebastian Bixby-Gutierrez*", 'Raw data'!$H:$H,"*Runs in Behind*")</f>
        <v>7</v>
      </c>
      <c r="GU56" s="8">
        <f>COUNTIFS('Raw data'!$D:$D,"*Sebastian Bixby-Gutierrez*", 'Raw data'!$H:$H,"*Half-space Runs*")</f>
        <v>0</v>
      </c>
      <c r="GV56" s="8">
        <f t="shared" si="320"/>
        <v>12</v>
      </c>
      <c r="GW56" s="8">
        <f t="shared" si="321"/>
        <v>10</v>
      </c>
      <c r="GX56" s="8">
        <f t="shared" si="322"/>
        <v>2</v>
      </c>
      <c r="GY56" s="54">
        <f t="shared" si="323"/>
        <v>0.83333333333333337</v>
      </c>
      <c r="GZ56" s="54">
        <f t="shared" si="324"/>
        <v>0.16666666666666666</v>
      </c>
      <c r="HA56" s="8">
        <f>COUNTIFS('Raw data'!$D:$D,"*Sebastian Bixby-Gutierrez*", 'Raw data'!$K:$K,"*Ground duel*")</f>
        <v>2</v>
      </c>
      <c r="HB56" s="8">
        <f>COUNTIFS('Raw data'!$D:$D,"*Sebastian Bixby-Gutierrez*", 'Raw data'!$K:$K,"*Ground duel*",'Raw data'!$M:$M,"*Duel Succeeded*")</f>
        <v>1</v>
      </c>
      <c r="HC56" s="8">
        <f>COUNTIFS('Raw data'!$D:$D,"*Sebastian Bixby-Gutierrez*", 'Raw data'!$K:$K,"*Ground duel*",'Raw data'!$M:$M,"*Duel Unsucceeded*")</f>
        <v>1</v>
      </c>
      <c r="HD56" s="54">
        <f t="shared" si="325"/>
        <v>0.5</v>
      </c>
      <c r="HE56" s="54">
        <f t="shared" si="326"/>
        <v>0.5</v>
      </c>
      <c r="HF56" s="8">
        <f>COUNTIFS('Raw data'!$D:$D,"*Sebastian Bixby-Gutierrez*", 'Raw data'!$K:$K,"*Aerial duel*")</f>
        <v>3</v>
      </c>
      <c r="HG56" s="8">
        <f>COUNTIFS('Raw data'!$D:$D,"*Sebastian Bixby-Gutierrez*", 'Raw data'!$K:$K,"*Aerial duel*",'Raw data'!$M:$M,"*Duel Succeeded*")</f>
        <v>2</v>
      </c>
      <c r="HH56" s="8">
        <f>COUNTIFS('Raw data'!$D:$D,"*Sebastian Bixby-Gutierrez*", 'Raw data'!$K:$K,"*Aerial duel*",'Raw data'!$M:$M,"*Duel Unsucceeded*")</f>
        <v>1</v>
      </c>
      <c r="HI56" s="54">
        <f t="shared" si="327"/>
        <v>1</v>
      </c>
      <c r="HJ56" s="54">
        <f t="shared" si="328"/>
        <v>0.5</v>
      </c>
      <c r="HK56" s="8">
        <f>COUNTIFS('Raw data'!$D:$D,"*Sebastian Bixby-Gutierrez*", 'Raw data'!$K:$K,"*1v1 defense*")</f>
        <v>0</v>
      </c>
      <c r="HL56" s="8">
        <f>COUNTIFS('Raw data'!$D:$D,"*Sebastian Bixby-Gutierrez*", 'Raw data'!$K:$K,"*1v1 defense*",'Raw data'!$M:$M,"*Duel Succeeded*")</f>
        <v>0</v>
      </c>
      <c r="HM56" s="8">
        <f>COUNTIFS('Raw data'!$D:$D,"*Sebastian Bixby-Gutierrez*", 'Raw data'!$K:$K,"*1v1 defense*",'Raw data'!$M:$M,"*Duel Unsucceeded*")</f>
        <v>0</v>
      </c>
      <c r="HN56" s="54" t="str">
        <f t="shared" si="329"/>
        <v>-</v>
      </c>
      <c r="HO56" s="54" t="str">
        <f t="shared" si="330"/>
        <v>-</v>
      </c>
      <c r="HP56" s="8">
        <f>COUNTIFS('Raw data'!$D:$D,"*Sebastian Bixby-Gutierrez*", 'Raw data'!$J:$J,"*Tackles*")</f>
        <v>1</v>
      </c>
      <c r="HQ56" s="8">
        <f>COUNTIFS('Raw data'!$D:$D,"*Sebastian Bixby-Gutierrez*", 'Raw data'!$J:$J,"*Tackles*", 'Raw data'!$M:$M,"*Duel Succeeded*")</f>
        <v>1</v>
      </c>
      <c r="HR56" s="8">
        <f>COUNTIFS('Raw data'!$D:$D,"*Sebastian Bixby-Gutierrez*", 'Raw data'!$J:$J,"*Tackles*", 'Raw data'!$M:$M,"*Duel Unsucceeded*")</f>
        <v>0</v>
      </c>
      <c r="HS56" s="54">
        <f t="shared" si="331"/>
        <v>1</v>
      </c>
      <c r="HT56" s="54">
        <f t="shared" si="332"/>
        <v>0</v>
      </c>
      <c r="HU56" s="8">
        <f>COUNTIFS('Raw data'!$D:$D,"*Sebastian Bixby-Gutierrez*", 'Raw data'!$K:$K,"*2nd Balls*")</f>
        <v>2</v>
      </c>
      <c r="HV56" s="8">
        <f>COUNTIFS('Raw data'!$D:$D,"*Sebastian Bixby-Gutierrez*", 'Raw data'!$K:$K,"*2nd Balls*", 'Raw data'!$M:$M,"*Duel Succeeded*")</f>
        <v>1</v>
      </c>
      <c r="HW56" s="8">
        <f>COUNTIFS('Raw data'!$D:$D,"*Sebastian Bixby-Gutierrez*", 'Raw data'!$K:$K,"*2nd Balls*", 'Raw data'!$M:$M,"*Duel Unsucceeded*")</f>
        <v>1</v>
      </c>
      <c r="HX56" s="54">
        <f t="shared" si="333"/>
        <v>0.5</v>
      </c>
      <c r="HY56" s="54">
        <f t="shared" si="334"/>
        <v>0.5</v>
      </c>
      <c r="HZ56" s="8">
        <f>COUNTIFS('Raw data'!$D:$D,"*Sebastian Bixby-Gutierrez*", 'Raw data'!$J:$J,"*Clearance*")</f>
        <v>1</v>
      </c>
      <c r="IA56" s="8">
        <f>COUNTIFS('Raw data'!$D:$D,"*Sebastian Bixby-Gutierrez*", 'Raw data'!$J:$J,"*Interception*")</f>
        <v>0</v>
      </c>
      <c r="IB56" s="8">
        <f>COUNTIFS('Raw data'!$D:$D,"*Sebastian Bixby-Gutierrez*", 'Raw data'!$J:$J,"*Turnover Won*")</f>
        <v>0</v>
      </c>
      <c r="IC56" s="8">
        <f>COUNTIFS('Raw data'!$D:$D,"*Sebastian Bixby-Gutierrez*", 'Raw data'!$J:$J,"*Recovery*")</f>
        <v>0</v>
      </c>
      <c r="ID56" s="8">
        <f>COUNTIFS('Raw data'!$D:$D,"*Sebastian Bixby-Gutierrez*", 'Raw data'!$J:$J,"*Blocked Shots*")</f>
        <v>0</v>
      </c>
      <c r="IE56" s="8">
        <f>COUNTIFS('Raw data'!$D:$D,"*Sebastian Bixby-Gutierrez*", 'Raw data'!$J:$J,"*Man-marking*")</f>
        <v>0</v>
      </c>
      <c r="IF56" s="8">
        <f>COUNTIFS('Raw data'!$D:$D,"*Sebastian Bixby-Gutierrez*", 'Raw data'!$J:$J,"*Fouls*")</f>
        <v>1</v>
      </c>
      <c r="IG56" s="8">
        <f>COUNTIFS('Raw data'!$D:$D,"*Sebastian Bixby-Gutierrez*", 'Raw data'!$J:$J,"*Won F*")</f>
        <v>0</v>
      </c>
      <c r="IH56" s="8">
        <f>COUNTIFS('Raw data'!$D:$D,"*Sebastian Bixby-Gutierrez*", 'Raw data'!$G:$G,"*1v1*")</f>
        <v>0</v>
      </c>
      <c r="II56" s="8">
        <f>COUNTIFS('Raw data'!$D:$D,"*Sebastian Bixby-Gutierrez*", 'Raw data'!$G:$G,"*On Target*")</f>
        <v>0</v>
      </c>
      <c r="IJ56" s="8">
        <f>COUNTIFS('Raw data'!$D:$D,"*Sebastian Bixby-Gutierrez*", 'Raw data'!$G:$G,"*Off Target*")</f>
        <v>0</v>
      </c>
      <c r="IK56" s="8">
        <f>COUNTIFS('Raw data'!$D:$D,"*Sebastian Bixby-Gutierrez*", 'Raw data'!$G:$G,"*Defend the Space*")</f>
        <v>0</v>
      </c>
      <c r="IL56" s="8">
        <f>COUNTIFS('Raw data'!$D:$D,"*Sebastian Bixby-Gutierrez*", 'Raw data'!$G:$G,"*Conceded*")</f>
        <v>0</v>
      </c>
      <c r="IM56" s="8">
        <f>COUNTIFS('Raw data'!$D:$D,"*Sebastian Bixby-Gutierrez*", 'Raw data'!$G:$G,"*Save*")</f>
        <v>0</v>
      </c>
      <c r="IN56" s="8">
        <f>COUNTIFS('Raw data'!$D:$D,"*Sebastian Bixby-Gutierrez*", 'Raw data'!$G:$G,"*Defend the line (Cross)*")</f>
        <v>0</v>
      </c>
      <c r="IO56" s="8">
        <f>COUNTIFS('Raw data'!$D:$D,"*Sebastian Bixby-Gutierrez*", 'Raw data'!$G:$G,"*Counter Kick*")</f>
        <v>0</v>
      </c>
      <c r="IP56" t="s">
        <v>687</v>
      </c>
    </row>
    <row r="57" spans="127:250">
      <c r="ED57" s="54"/>
      <c r="EE57" s="54"/>
      <c r="EI57" s="54"/>
      <c r="EJ57" s="54"/>
      <c r="EK57" s="8"/>
      <c r="EL57" s="8"/>
      <c r="EM57" s="8"/>
      <c r="EN57" s="54"/>
      <c r="EO57" s="54"/>
      <c r="EP57" s="8"/>
      <c r="EQ57" s="8"/>
      <c r="ER57" s="8"/>
      <c r="ES57" s="54"/>
      <c r="ET57" s="54"/>
      <c r="EU57" s="8"/>
      <c r="EV57" s="8"/>
      <c r="EW57" s="8"/>
      <c r="EX57" s="54"/>
      <c r="EY57" s="54"/>
      <c r="EZ57" s="8"/>
      <c r="FA57" s="8"/>
      <c r="FB57" s="8"/>
      <c r="FC57" s="54"/>
      <c r="FD57" s="54"/>
      <c r="FE57" s="8"/>
      <c r="FF57" s="8"/>
      <c r="FG57" s="8"/>
      <c r="FH57" s="8"/>
      <c r="FI57" s="54"/>
      <c r="FJ57" s="54"/>
      <c r="FK57" s="54"/>
      <c r="FL57" s="54"/>
      <c r="FM57" s="54"/>
      <c r="FN57" s="8"/>
      <c r="FO57" s="8"/>
      <c r="FP57" s="8"/>
      <c r="FQ57" s="8"/>
      <c r="FR57" s="8"/>
      <c r="FS57" s="8"/>
      <c r="FT57" s="8"/>
      <c r="FU57" s="8"/>
      <c r="FV57" s="8"/>
      <c r="FW57" s="54"/>
      <c r="FX57" s="54"/>
      <c r="FY57" s="8"/>
      <c r="FZ57" s="8"/>
      <c r="GA57" s="8"/>
      <c r="GB57" s="54"/>
      <c r="GC57" s="54"/>
      <c r="GD57" s="8"/>
      <c r="GE57" s="8"/>
      <c r="GF57" s="8"/>
      <c r="GG57" s="8"/>
      <c r="GH57" s="8"/>
      <c r="GI57" s="8"/>
      <c r="GJ57" s="8"/>
      <c r="GK57" s="8"/>
      <c r="GL57" s="8"/>
      <c r="GM57" s="54"/>
      <c r="GN57" s="54"/>
      <c r="GO57" s="8"/>
      <c r="GP57" s="54"/>
      <c r="GQ57" s="54"/>
      <c r="GR57" s="54"/>
      <c r="GS57" s="54"/>
      <c r="GT57" s="54"/>
      <c r="GU57" s="54"/>
      <c r="GV57" s="8"/>
      <c r="GW57" s="8"/>
      <c r="GX57" s="8"/>
      <c r="GY57" s="54"/>
      <c r="GZ57" s="54"/>
      <c r="HA57" s="8"/>
      <c r="HB57" s="8"/>
      <c r="HC57" s="8"/>
      <c r="HD57" s="54"/>
      <c r="HE57" s="54"/>
      <c r="HF57" s="8"/>
      <c r="HG57" s="8"/>
      <c r="HH57" s="8"/>
      <c r="HI57" s="54"/>
      <c r="HJ57" s="54"/>
      <c r="HK57" s="8"/>
      <c r="HL57" s="8"/>
      <c r="HM57" s="8"/>
      <c r="HN57" s="54"/>
      <c r="HO57" s="54"/>
      <c r="HP57" s="8"/>
      <c r="HQ57" s="8"/>
      <c r="HR57" s="8"/>
      <c r="HS57" s="54"/>
      <c r="HT57" s="54"/>
      <c r="HU57" s="8"/>
      <c r="HV57" s="8"/>
      <c r="HW57" s="8"/>
      <c r="HX57" s="54"/>
      <c r="HY57" s="54"/>
      <c r="HZ57" s="8"/>
      <c r="IA57" s="8"/>
      <c r="IB57" s="8"/>
      <c r="IC57" s="8"/>
      <c r="ID57" s="8"/>
      <c r="IE57" s="8"/>
      <c r="IF57" s="8"/>
      <c r="IG57" s="8"/>
      <c r="IH57" s="8"/>
      <c r="II57" s="8"/>
      <c r="IJ57" s="8"/>
      <c r="IK57" s="8"/>
      <c r="IL57" s="8"/>
      <c r="IM57" s="8"/>
    </row>
    <row r="58" spans="127:250">
      <c r="ED58" s="59"/>
      <c r="EE58" s="59"/>
      <c r="EI58" s="59"/>
      <c r="EJ58" s="59"/>
      <c r="EK58" s="8"/>
      <c r="EL58" s="8"/>
      <c r="EM58" s="8"/>
      <c r="EN58" s="59"/>
      <c r="EO58" s="59"/>
      <c r="EP58" s="8"/>
      <c r="EQ58" s="8"/>
      <c r="ER58" s="8"/>
      <c r="ES58" s="59"/>
      <c r="ET58" s="59"/>
      <c r="EU58" s="8"/>
      <c r="EV58" s="8"/>
      <c r="EW58" s="8"/>
      <c r="EX58" s="59"/>
      <c r="EY58" s="59"/>
      <c r="EZ58" s="8"/>
      <c r="FA58" s="8"/>
      <c r="FB58" s="8"/>
      <c r="FC58" s="59"/>
      <c r="FD58" s="59"/>
      <c r="FE58" s="8"/>
      <c r="FF58" s="8"/>
      <c r="FG58" s="8"/>
      <c r="FH58" s="8"/>
      <c r="FI58" s="59"/>
      <c r="FJ58" s="59"/>
      <c r="FK58" s="59"/>
      <c r="FL58" s="59"/>
      <c r="FM58" s="59"/>
      <c r="FN58" s="8"/>
      <c r="FO58" s="8"/>
      <c r="FP58" s="8"/>
      <c r="FQ58" s="8"/>
      <c r="FR58" s="8"/>
      <c r="FS58" s="8"/>
      <c r="FT58" s="8"/>
      <c r="FU58" s="8"/>
      <c r="FV58" s="8"/>
      <c r="FW58" s="59"/>
      <c r="FX58" s="59"/>
      <c r="FY58" s="8"/>
      <c r="FZ58" s="8"/>
      <c r="GA58" s="8"/>
      <c r="GB58" s="59"/>
      <c r="GC58" s="59"/>
      <c r="GD58" s="8"/>
      <c r="GE58" s="8"/>
      <c r="GF58" s="8"/>
      <c r="GG58" s="8"/>
      <c r="GH58" s="8"/>
      <c r="GI58" s="8"/>
      <c r="GJ58" s="8"/>
      <c r="GK58" s="8"/>
      <c r="GL58" s="8"/>
      <c r="GM58" s="59"/>
      <c r="GN58" s="59"/>
      <c r="GO58" s="8"/>
      <c r="GP58" s="59"/>
      <c r="GQ58" s="59"/>
      <c r="GR58" s="59"/>
      <c r="GS58" s="59"/>
      <c r="GT58" s="59"/>
      <c r="GU58" s="59"/>
      <c r="GV58" s="8"/>
      <c r="GW58" s="8"/>
      <c r="GX58" s="8"/>
      <c r="GY58" s="59"/>
      <c r="GZ58" s="59"/>
      <c r="HA58" s="8"/>
      <c r="HB58" s="8"/>
      <c r="HC58" s="8"/>
      <c r="HD58" s="59"/>
      <c r="HE58" s="59"/>
      <c r="HF58" s="8"/>
      <c r="HG58" s="8"/>
      <c r="HH58" s="8"/>
      <c r="HI58" s="59"/>
      <c r="HJ58" s="59"/>
      <c r="HK58" s="8"/>
      <c r="HL58" s="8"/>
      <c r="HM58" s="8"/>
      <c r="HN58" s="59"/>
      <c r="HO58" s="59"/>
      <c r="HP58" s="8"/>
      <c r="HQ58" s="8"/>
      <c r="HR58" s="8"/>
      <c r="HS58" s="59"/>
      <c r="HT58" s="59"/>
      <c r="HU58" s="8"/>
      <c r="HV58" s="8"/>
      <c r="HW58" s="8"/>
      <c r="HX58" s="59"/>
      <c r="HY58" s="59"/>
      <c r="HZ58" s="8"/>
      <c r="IA58" s="8"/>
      <c r="IB58" s="8"/>
      <c r="IC58" s="8"/>
      <c r="ID58" s="8"/>
      <c r="IE58" s="8"/>
      <c r="IF58" s="8"/>
      <c r="IG58" s="8"/>
      <c r="IH58" s="8"/>
      <c r="II58" s="8"/>
      <c r="IJ58" s="8"/>
      <c r="IK58" s="8"/>
      <c r="IL58" s="8"/>
      <c r="IM58" s="8"/>
    </row>
  </sheetData>
  <phoneticPr fontId="3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CC1E4-27BA-6C44-AC02-51AC5E55817E}">
  <dimension ref="A1:CF22"/>
  <sheetViews>
    <sheetView topLeftCell="A4" workbookViewId="0">
      <selection activeCell="E6" sqref="E6"/>
    </sheetView>
  </sheetViews>
  <sheetFormatPr baseColWidth="10" defaultRowHeight="16"/>
  <cols>
    <col min="1" max="1" width="22.5" bestFit="1" customWidth="1"/>
    <col min="2" max="2" width="18.33203125" bestFit="1" customWidth="1"/>
    <col min="3" max="3" width="25.5" bestFit="1" customWidth="1"/>
    <col min="4" max="4" width="30.83203125" bestFit="1" customWidth="1"/>
    <col min="5" max="5" width="29.6640625" bestFit="1" customWidth="1"/>
    <col min="6" max="6" width="24.33203125" bestFit="1" customWidth="1"/>
    <col min="7" max="7" width="22.33203125" bestFit="1" customWidth="1"/>
    <col min="8" max="8" width="21" bestFit="1" customWidth="1"/>
    <col min="9" max="9" width="20" bestFit="1" customWidth="1"/>
    <col min="10" max="10" width="22.1640625" bestFit="1" customWidth="1"/>
    <col min="11" max="11" width="24.6640625" bestFit="1" customWidth="1"/>
    <col min="12" max="13" width="23.83203125" bestFit="1" customWidth="1"/>
    <col min="14" max="14" width="20.33203125" bestFit="1" customWidth="1"/>
    <col min="15" max="15" width="11" bestFit="1" customWidth="1"/>
    <col min="16" max="16" width="19.83203125" bestFit="1" customWidth="1"/>
    <col min="17" max="17" width="18" bestFit="1" customWidth="1"/>
    <col min="18" max="18" width="26.6640625" bestFit="1" customWidth="1"/>
    <col min="19" max="19" width="22.83203125" bestFit="1" customWidth="1"/>
    <col min="20" max="20" width="18.33203125" bestFit="1" customWidth="1"/>
    <col min="21" max="21" width="17.83203125" bestFit="1" customWidth="1"/>
    <col min="22" max="22" width="12.83203125" bestFit="1" customWidth="1"/>
    <col min="23" max="23" width="11.6640625" bestFit="1" customWidth="1"/>
    <col min="24" max="24" width="15.6640625" bestFit="1" customWidth="1"/>
    <col min="25" max="25" width="24.83203125" bestFit="1" customWidth="1"/>
    <col min="26" max="26" width="19" bestFit="1" customWidth="1"/>
    <col min="27" max="27" width="14.6640625" bestFit="1" customWidth="1"/>
    <col min="28" max="28" width="17.33203125" bestFit="1" customWidth="1"/>
    <col min="29" max="29" width="15.6640625" bestFit="1" customWidth="1"/>
    <col min="30" max="30" width="25.6640625" bestFit="1" customWidth="1"/>
    <col min="31" max="31" width="23.5" bestFit="1" customWidth="1"/>
    <col min="32" max="32" width="18.1640625" bestFit="1" customWidth="1"/>
    <col min="33" max="33" width="25.5" bestFit="1" customWidth="1"/>
    <col min="34" max="34" width="23.33203125" bestFit="1" customWidth="1"/>
    <col min="35" max="35" width="18" bestFit="1" customWidth="1"/>
    <col min="36" max="36" width="29.5" bestFit="1" customWidth="1"/>
    <col min="37" max="37" width="27.33203125" bestFit="1" customWidth="1"/>
    <col min="38" max="38" width="22" bestFit="1" customWidth="1"/>
    <col min="39" max="39" width="28.33203125" bestFit="1" customWidth="1"/>
    <col min="40" max="40" width="25" bestFit="1" customWidth="1"/>
    <col min="41" max="41" width="20.6640625" bestFit="1" customWidth="1"/>
    <col min="42" max="42" width="31.5" bestFit="1" customWidth="1"/>
    <col min="43" max="43" width="29.33203125" bestFit="1" customWidth="1"/>
    <col min="44" max="44" width="24" bestFit="1" customWidth="1"/>
    <col min="45" max="45" width="12.5" bestFit="1" customWidth="1"/>
    <col min="46" max="46" width="11" bestFit="1" customWidth="1"/>
    <col min="47" max="47" width="13.83203125" bestFit="1" customWidth="1"/>
    <col min="48" max="48" width="15" bestFit="1" customWidth="1"/>
    <col min="49" max="49" width="15.33203125" bestFit="1" customWidth="1"/>
    <col min="50" max="50" width="16.33203125" bestFit="1" customWidth="1"/>
    <col min="51" max="51" width="23.83203125" bestFit="1" customWidth="1"/>
    <col min="52" max="52" width="22" bestFit="1" customWidth="1"/>
    <col min="53" max="53" width="16.6640625" bestFit="1" customWidth="1"/>
    <col min="54" max="54" width="22" bestFit="1" customWidth="1"/>
    <col min="55" max="55" width="19.6640625" bestFit="1" customWidth="1"/>
    <col min="56" max="56" width="14.33203125" bestFit="1" customWidth="1"/>
    <col min="57" max="57" width="22.5" bestFit="1" customWidth="1"/>
    <col min="58" max="58" width="23.5" bestFit="1" customWidth="1"/>
    <col min="59" max="59" width="25.33203125" bestFit="1" customWidth="1"/>
    <col min="60" max="60" width="23.83203125" bestFit="1" customWidth="1"/>
    <col min="61" max="61" width="14.33203125" bestFit="1" customWidth="1"/>
    <col min="62" max="62" width="14.5" bestFit="1" customWidth="1"/>
    <col min="63" max="63" width="33" bestFit="1" customWidth="1"/>
    <col min="64" max="64" width="31" bestFit="1" customWidth="1"/>
    <col min="65" max="65" width="25.6640625" bestFit="1" customWidth="1"/>
    <col min="66" max="66" width="24.83203125" bestFit="1" customWidth="1"/>
    <col min="67" max="67" width="31" bestFit="1" customWidth="1"/>
    <col min="68" max="68" width="29.1640625" bestFit="1" customWidth="1"/>
    <col min="69" max="69" width="23.83203125" bestFit="1" customWidth="1"/>
    <col min="70" max="70" width="29.5" bestFit="1" customWidth="1"/>
    <col min="71" max="71" width="27.6640625" bestFit="1" customWidth="1"/>
    <col min="72" max="72" width="22.33203125" bestFit="1" customWidth="1"/>
    <col min="73" max="73" width="33.83203125" bestFit="1" customWidth="1"/>
    <col min="74" max="74" width="32" bestFit="1" customWidth="1"/>
    <col min="75" max="75" width="26.6640625" bestFit="1" customWidth="1"/>
    <col min="76" max="76" width="31.33203125" bestFit="1" customWidth="1"/>
    <col min="77" max="77" width="29.5" bestFit="1" customWidth="1"/>
    <col min="78" max="78" width="24.1640625" bestFit="1" customWidth="1"/>
    <col min="79" max="79" width="32.33203125" bestFit="1" customWidth="1"/>
    <col min="80" max="80" width="30.33203125" bestFit="1" customWidth="1"/>
    <col min="81" max="82" width="25" bestFit="1" customWidth="1"/>
    <col min="83" max="83" width="23.1640625" bestFit="1" customWidth="1"/>
    <col min="84" max="84" width="17.83203125" bestFit="1" customWidth="1"/>
    <col min="85" max="86" width="25" bestFit="1" customWidth="1"/>
    <col min="87" max="87" width="23.1640625" bestFit="1" customWidth="1"/>
    <col min="88" max="88" width="17.83203125" bestFit="1" customWidth="1"/>
  </cols>
  <sheetData>
    <row r="1" spans="1:84">
      <c r="A1" s="3" t="s">
        <v>151</v>
      </c>
      <c r="B1" t="s">
        <v>149</v>
      </c>
    </row>
    <row r="2" spans="1:84">
      <c r="A2" s="3" t="s">
        <v>541</v>
      </c>
      <c r="B2" t="s">
        <v>149</v>
      </c>
    </row>
    <row r="3" spans="1:84">
      <c r="A3" s="3" t="s">
        <v>464</v>
      </c>
      <c r="B3" t="s">
        <v>500</v>
      </c>
    </row>
    <row r="4" spans="1:84">
      <c r="A4" s="3" t="s">
        <v>414</v>
      </c>
      <c r="B4" t="s">
        <v>149</v>
      </c>
    </row>
    <row r="6" spans="1:84">
      <c r="B6" t="s">
        <v>656</v>
      </c>
      <c r="C6" t="s">
        <v>655</v>
      </c>
      <c r="D6" t="s">
        <v>584</v>
      </c>
      <c r="E6" t="s">
        <v>585</v>
      </c>
      <c r="F6" t="s">
        <v>586</v>
      </c>
      <c r="G6" t="s">
        <v>587</v>
      </c>
      <c r="H6" t="s">
        <v>588</v>
      </c>
      <c r="I6" t="s">
        <v>589</v>
      </c>
      <c r="J6" t="s">
        <v>590</v>
      </c>
      <c r="K6" t="s">
        <v>591</v>
      </c>
      <c r="L6" t="s">
        <v>592</v>
      </c>
      <c r="M6" t="s">
        <v>571</v>
      </c>
      <c r="N6" t="s">
        <v>572</v>
      </c>
      <c r="O6" t="s">
        <v>413</v>
      </c>
      <c r="P6" t="s">
        <v>412</v>
      </c>
      <c r="Q6" t="s">
        <v>573</v>
      </c>
      <c r="R6" t="s">
        <v>574</v>
      </c>
      <c r="S6" t="s">
        <v>411</v>
      </c>
      <c r="T6" t="s">
        <v>410</v>
      </c>
      <c r="U6" t="s">
        <v>409</v>
      </c>
      <c r="V6" t="s">
        <v>408</v>
      </c>
      <c r="W6" t="s">
        <v>407</v>
      </c>
      <c r="X6" t="s">
        <v>406</v>
      </c>
      <c r="Y6" t="s">
        <v>405</v>
      </c>
      <c r="Z6" t="s">
        <v>404</v>
      </c>
      <c r="AA6" t="s">
        <v>146</v>
      </c>
      <c r="AB6" t="s">
        <v>143</v>
      </c>
      <c r="AC6" t="s">
        <v>142</v>
      </c>
      <c r="AD6" t="s">
        <v>403</v>
      </c>
      <c r="AE6" t="s">
        <v>402</v>
      </c>
      <c r="AF6" t="s">
        <v>401</v>
      </c>
      <c r="AG6" t="s">
        <v>400</v>
      </c>
      <c r="AH6" t="s">
        <v>399</v>
      </c>
      <c r="AI6" t="s">
        <v>398</v>
      </c>
      <c r="AJ6" t="s">
        <v>397</v>
      </c>
      <c r="AK6" t="s">
        <v>396</v>
      </c>
      <c r="AL6" t="s">
        <v>395</v>
      </c>
      <c r="AM6" t="s">
        <v>394</v>
      </c>
      <c r="AN6" t="s">
        <v>393</v>
      </c>
      <c r="AO6" t="s">
        <v>392</v>
      </c>
      <c r="AP6" t="s">
        <v>391</v>
      </c>
      <c r="AQ6" t="s">
        <v>390</v>
      </c>
      <c r="AR6" t="s">
        <v>389</v>
      </c>
      <c r="AS6" t="s">
        <v>148</v>
      </c>
      <c r="AT6" t="s">
        <v>147</v>
      </c>
      <c r="AU6" t="s">
        <v>141</v>
      </c>
      <c r="AV6" t="s">
        <v>388</v>
      </c>
      <c r="AW6" t="s">
        <v>387</v>
      </c>
      <c r="AX6" t="s">
        <v>386</v>
      </c>
      <c r="AY6" t="s">
        <v>385</v>
      </c>
      <c r="AZ6" t="s">
        <v>384</v>
      </c>
      <c r="BA6" t="s">
        <v>383</v>
      </c>
      <c r="BB6" t="s">
        <v>583</v>
      </c>
      <c r="BC6" t="s">
        <v>582</v>
      </c>
      <c r="BD6" t="s">
        <v>382</v>
      </c>
      <c r="BE6" t="s">
        <v>381</v>
      </c>
      <c r="BF6" t="s">
        <v>380</v>
      </c>
      <c r="BG6" t="s">
        <v>379</v>
      </c>
      <c r="BH6" t="s">
        <v>378</v>
      </c>
      <c r="BI6" t="s">
        <v>377</v>
      </c>
      <c r="BJ6" t="s">
        <v>376</v>
      </c>
      <c r="BK6" t="s">
        <v>375</v>
      </c>
      <c r="BL6" t="s">
        <v>374</v>
      </c>
      <c r="BM6" t="s">
        <v>373</v>
      </c>
      <c r="BN6" t="s">
        <v>372</v>
      </c>
      <c r="BO6" t="s">
        <v>371</v>
      </c>
      <c r="BP6" t="s">
        <v>370</v>
      </c>
      <c r="BQ6" t="s">
        <v>369</v>
      </c>
      <c r="BR6" t="s">
        <v>368</v>
      </c>
      <c r="BS6" t="s">
        <v>367</v>
      </c>
      <c r="BT6" t="s">
        <v>366</v>
      </c>
      <c r="BU6" t="s">
        <v>365</v>
      </c>
      <c r="BV6" t="s">
        <v>364</v>
      </c>
      <c r="BW6" t="s">
        <v>363</v>
      </c>
      <c r="BX6" t="s">
        <v>362</v>
      </c>
      <c r="BY6" t="s">
        <v>361</v>
      </c>
      <c r="BZ6" t="s">
        <v>360</v>
      </c>
      <c r="CA6" t="s">
        <v>359</v>
      </c>
      <c r="CB6" t="s">
        <v>358</v>
      </c>
      <c r="CC6" t="s">
        <v>357</v>
      </c>
      <c r="CD6" t="s">
        <v>356</v>
      </c>
      <c r="CE6" t="s">
        <v>355</v>
      </c>
      <c r="CF6" t="s">
        <v>354</v>
      </c>
    </row>
    <row r="7" spans="1:84">
      <c r="A7" s="4" t="s">
        <v>642</v>
      </c>
      <c r="B7" s="265">
        <v>0</v>
      </c>
      <c r="C7" s="265">
        <v>0</v>
      </c>
      <c r="D7" s="265">
        <v>2</v>
      </c>
      <c r="E7" s="265">
        <v>0</v>
      </c>
      <c r="F7" s="265">
        <v>2</v>
      </c>
      <c r="G7" s="265">
        <v>1</v>
      </c>
      <c r="H7" s="265">
        <v>0</v>
      </c>
      <c r="I7" s="265">
        <v>1</v>
      </c>
      <c r="J7" s="265">
        <v>0</v>
      </c>
      <c r="K7" s="265">
        <v>0</v>
      </c>
      <c r="L7" s="265">
        <v>0</v>
      </c>
      <c r="M7" s="265">
        <v>12</v>
      </c>
      <c r="N7" s="265">
        <v>40</v>
      </c>
      <c r="O7" s="8">
        <v>0</v>
      </c>
      <c r="P7" s="8">
        <v>0</v>
      </c>
      <c r="Q7" s="265">
        <v>0</v>
      </c>
      <c r="R7" s="265">
        <v>0</v>
      </c>
      <c r="S7" s="8">
        <v>0</v>
      </c>
      <c r="T7" s="8">
        <v>0</v>
      </c>
      <c r="U7" s="8">
        <v>0</v>
      </c>
      <c r="V7" s="8">
        <v>0</v>
      </c>
      <c r="W7" s="8">
        <v>1</v>
      </c>
      <c r="X7" s="8">
        <v>0</v>
      </c>
      <c r="Y7" s="8">
        <v>1</v>
      </c>
      <c r="Z7" s="8">
        <v>2</v>
      </c>
      <c r="AA7" s="8">
        <v>1</v>
      </c>
      <c r="AB7" s="8">
        <v>1</v>
      </c>
      <c r="AC7" s="8">
        <v>3</v>
      </c>
      <c r="AD7" s="8">
        <v>0</v>
      </c>
      <c r="AE7" s="8">
        <v>0</v>
      </c>
      <c r="AF7" s="8">
        <v>0</v>
      </c>
      <c r="AG7" s="8">
        <v>0</v>
      </c>
      <c r="AH7" s="8">
        <v>0</v>
      </c>
      <c r="AI7" s="8">
        <v>0</v>
      </c>
      <c r="AJ7" s="8">
        <v>0</v>
      </c>
      <c r="AK7" s="8">
        <v>0</v>
      </c>
      <c r="AL7" s="8">
        <v>0</v>
      </c>
      <c r="AM7" s="8">
        <v>1</v>
      </c>
      <c r="AN7" s="8">
        <v>2</v>
      </c>
      <c r="AO7" s="8">
        <v>3</v>
      </c>
      <c r="AP7" s="8">
        <v>0</v>
      </c>
      <c r="AQ7" s="8">
        <v>0</v>
      </c>
      <c r="AR7" s="8">
        <v>0</v>
      </c>
      <c r="AS7" s="8">
        <v>0</v>
      </c>
      <c r="AT7" s="8">
        <v>0</v>
      </c>
      <c r="AU7" s="8">
        <v>0</v>
      </c>
      <c r="AV7" s="8">
        <v>0</v>
      </c>
      <c r="AW7" s="8">
        <v>0</v>
      </c>
      <c r="AX7" s="8">
        <v>0</v>
      </c>
      <c r="AY7" s="8">
        <v>0</v>
      </c>
      <c r="AZ7" s="8">
        <v>0</v>
      </c>
      <c r="BA7" s="8">
        <v>0</v>
      </c>
      <c r="BB7" s="265">
        <v>0</v>
      </c>
      <c r="BC7" s="265">
        <v>1</v>
      </c>
      <c r="BD7" s="8">
        <v>1</v>
      </c>
      <c r="BE7" s="8">
        <v>0</v>
      </c>
      <c r="BF7" s="8">
        <v>0</v>
      </c>
      <c r="BG7" s="8">
        <v>0</v>
      </c>
      <c r="BH7" s="8">
        <v>0</v>
      </c>
      <c r="BI7" s="8">
        <v>0</v>
      </c>
      <c r="BJ7" s="8">
        <v>1</v>
      </c>
      <c r="BK7" s="8">
        <v>0</v>
      </c>
      <c r="BL7" s="8">
        <v>0</v>
      </c>
      <c r="BM7" s="8">
        <v>0</v>
      </c>
      <c r="BN7" s="8">
        <v>0</v>
      </c>
      <c r="BO7" s="8">
        <v>0</v>
      </c>
      <c r="BP7" s="8">
        <v>0</v>
      </c>
      <c r="BQ7" s="8">
        <v>0</v>
      </c>
      <c r="BR7" s="8">
        <v>0</v>
      </c>
      <c r="BS7" s="8">
        <v>0</v>
      </c>
      <c r="BT7" s="8">
        <v>0</v>
      </c>
      <c r="BU7" s="8">
        <v>0</v>
      </c>
      <c r="BV7" s="8">
        <v>8</v>
      </c>
      <c r="BW7" s="8">
        <v>8</v>
      </c>
      <c r="BX7" s="8">
        <v>0</v>
      </c>
      <c r="BY7" s="8">
        <v>5</v>
      </c>
      <c r="BZ7" s="8">
        <v>5</v>
      </c>
      <c r="CA7" s="265">
        <v>4</v>
      </c>
      <c r="CB7" s="265">
        <v>3</v>
      </c>
      <c r="CC7" s="265">
        <v>7</v>
      </c>
      <c r="CD7" s="265">
        <v>4</v>
      </c>
      <c r="CE7" s="265">
        <v>16</v>
      </c>
      <c r="CF7" s="265">
        <v>20</v>
      </c>
    </row>
    <row r="8" spans="1:84">
      <c r="A8" s="4" t="s">
        <v>783</v>
      </c>
      <c r="B8" s="265">
        <v>1</v>
      </c>
      <c r="C8" s="265">
        <v>0</v>
      </c>
      <c r="D8" s="265">
        <v>0</v>
      </c>
      <c r="E8" s="265">
        <v>0</v>
      </c>
      <c r="F8" s="265">
        <v>0</v>
      </c>
      <c r="G8" s="265">
        <v>1</v>
      </c>
      <c r="H8" s="265">
        <v>2</v>
      </c>
      <c r="I8" s="265">
        <v>6</v>
      </c>
      <c r="J8" s="265">
        <v>1</v>
      </c>
      <c r="K8" s="265">
        <v>0</v>
      </c>
      <c r="L8" s="265">
        <v>0</v>
      </c>
      <c r="M8" s="265">
        <v>12</v>
      </c>
      <c r="N8" s="265">
        <v>40</v>
      </c>
      <c r="O8" s="8">
        <v>0</v>
      </c>
      <c r="P8" s="8">
        <v>0</v>
      </c>
      <c r="Q8" s="265">
        <v>0</v>
      </c>
      <c r="R8" s="265">
        <v>0</v>
      </c>
      <c r="S8" s="8">
        <v>0</v>
      </c>
      <c r="T8" s="8">
        <v>0</v>
      </c>
      <c r="U8" s="8">
        <v>0</v>
      </c>
      <c r="V8" s="8">
        <v>0</v>
      </c>
      <c r="W8" s="8">
        <v>0</v>
      </c>
      <c r="X8" s="8">
        <v>0</v>
      </c>
      <c r="Y8" s="8">
        <v>0</v>
      </c>
      <c r="Z8" s="8">
        <v>0</v>
      </c>
      <c r="AA8" s="8">
        <v>0</v>
      </c>
      <c r="AB8" s="8">
        <v>1</v>
      </c>
      <c r="AC8" s="8">
        <v>0</v>
      </c>
      <c r="AD8" s="8">
        <v>0</v>
      </c>
      <c r="AE8" s="8">
        <v>0</v>
      </c>
      <c r="AF8" s="8">
        <v>0</v>
      </c>
      <c r="AG8" s="8">
        <v>0</v>
      </c>
      <c r="AH8" s="8">
        <v>0</v>
      </c>
      <c r="AI8" s="8">
        <v>0</v>
      </c>
      <c r="AJ8" s="8">
        <v>0</v>
      </c>
      <c r="AK8" s="8">
        <v>0</v>
      </c>
      <c r="AL8" s="8">
        <v>0</v>
      </c>
      <c r="AM8" s="8">
        <v>2</v>
      </c>
      <c r="AN8" s="8">
        <v>0</v>
      </c>
      <c r="AO8" s="8">
        <v>2</v>
      </c>
      <c r="AP8" s="8">
        <v>0</v>
      </c>
      <c r="AQ8" s="8">
        <v>1</v>
      </c>
      <c r="AR8" s="8">
        <v>1</v>
      </c>
      <c r="AS8" s="8">
        <v>0</v>
      </c>
      <c r="AT8" s="8">
        <v>0</v>
      </c>
      <c r="AU8" s="8">
        <v>0</v>
      </c>
      <c r="AV8" s="8">
        <v>0</v>
      </c>
      <c r="AW8" s="8">
        <v>0</v>
      </c>
      <c r="AX8" s="8">
        <v>0</v>
      </c>
      <c r="AY8" s="8">
        <v>1</v>
      </c>
      <c r="AZ8" s="8">
        <v>1</v>
      </c>
      <c r="BA8" s="8">
        <v>2</v>
      </c>
      <c r="BB8" s="265">
        <v>0</v>
      </c>
      <c r="BC8" s="265">
        <v>2</v>
      </c>
      <c r="BD8" s="8">
        <v>2</v>
      </c>
      <c r="BE8" s="8">
        <v>1</v>
      </c>
      <c r="BF8" s="8">
        <v>0</v>
      </c>
      <c r="BG8" s="8">
        <v>1</v>
      </c>
      <c r="BH8" s="8">
        <v>1</v>
      </c>
      <c r="BI8" s="8">
        <v>2</v>
      </c>
      <c r="BJ8" s="8">
        <v>3</v>
      </c>
      <c r="BK8" s="8">
        <v>0</v>
      </c>
      <c r="BL8" s="8">
        <v>0</v>
      </c>
      <c r="BM8" s="8">
        <v>0</v>
      </c>
      <c r="BN8" s="8">
        <v>1</v>
      </c>
      <c r="BO8" s="8">
        <v>0</v>
      </c>
      <c r="BP8" s="8">
        <v>1</v>
      </c>
      <c r="BQ8" s="8">
        <v>1</v>
      </c>
      <c r="BR8" s="8">
        <v>0</v>
      </c>
      <c r="BS8" s="8">
        <v>0</v>
      </c>
      <c r="BT8" s="8">
        <v>0</v>
      </c>
      <c r="BU8" s="8">
        <v>0</v>
      </c>
      <c r="BV8" s="8">
        <v>3</v>
      </c>
      <c r="BW8" s="8">
        <v>3</v>
      </c>
      <c r="BX8" s="8">
        <v>2</v>
      </c>
      <c r="BY8" s="8">
        <v>2</v>
      </c>
      <c r="BZ8" s="8">
        <v>4</v>
      </c>
      <c r="CA8" s="265">
        <v>0</v>
      </c>
      <c r="CB8" s="265">
        <v>2</v>
      </c>
      <c r="CC8" s="265">
        <v>2</v>
      </c>
      <c r="CD8" s="265">
        <v>2</v>
      </c>
      <c r="CE8" s="265">
        <v>7</v>
      </c>
      <c r="CF8" s="265">
        <v>9</v>
      </c>
    </row>
    <row r="9" spans="1:84">
      <c r="A9" s="4" t="s">
        <v>687</v>
      </c>
      <c r="B9" s="265">
        <v>0</v>
      </c>
      <c r="C9" s="265">
        <v>0</v>
      </c>
      <c r="D9" s="265">
        <v>1</v>
      </c>
      <c r="E9" s="265">
        <v>1</v>
      </c>
      <c r="F9" s="265">
        <v>2</v>
      </c>
      <c r="G9" s="265">
        <v>1</v>
      </c>
      <c r="H9" s="265">
        <v>3</v>
      </c>
      <c r="I9" s="265">
        <v>0</v>
      </c>
      <c r="J9" s="265">
        <v>9</v>
      </c>
      <c r="K9" s="265">
        <v>0</v>
      </c>
      <c r="L9" s="265">
        <v>7</v>
      </c>
      <c r="M9" s="265">
        <v>23</v>
      </c>
      <c r="N9" s="265">
        <v>40</v>
      </c>
      <c r="O9" s="8">
        <v>0</v>
      </c>
      <c r="P9" s="8">
        <v>0</v>
      </c>
      <c r="Q9" s="265">
        <v>0</v>
      </c>
      <c r="R9" s="265">
        <v>0</v>
      </c>
      <c r="S9" s="8">
        <v>0</v>
      </c>
      <c r="T9" s="8">
        <v>0</v>
      </c>
      <c r="U9" s="8">
        <v>0</v>
      </c>
      <c r="V9" s="8">
        <v>0</v>
      </c>
      <c r="W9" s="8">
        <v>1</v>
      </c>
      <c r="X9" s="8">
        <v>0</v>
      </c>
      <c r="Y9" s="8">
        <v>0</v>
      </c>
      <c r="Z9" s="8">
        <v>0</v>
      </c>
      <c r="AA9" s="8">
        <v>0</v>
      </c>
      <c r="AB9" s="8">
        <v>0</v>
      </c>
      <c r="AC9" s="8">
        <v>1</v>
      </c>
      <c r="AD9" s="8">
        <v>1</v>
      </c>
      <c r="AE9" s="8">
        <v>1</v>
      </c>
      <c r="AF9" s="8">
        <v>2</v>
      </c>
      <c r="AG9" s="8">
        <v>0</v>
      </c>
      <c r="AH9" s="8">
        <v>1</v>
      </c>
      <c r="AI9" s="8">
        <v>1</v>
      </c>
      <c r="AJ9" s="8">
        <v>0</v>
      </c>
      <c r="AK9" s="8">
        <v>0</v>
      </c>
      <c r="AL9" s="8">
        <v>0</v>
      </c>
      <c r="AM9" s="8">
        <v>1</v>
      </c>
      <c r="AN9" s="8">
        <v>2</v>
      </c>
      <c r="AO9" s="8">
        <v>3</v>
      </c>
      <c r="AP9" s="8">
        <v>0</v>
      </c>
      <c r="AQ9" s="8">
        <v>7</v>
      </c>
      <c r="AR9" s="8">
        <v>7</v>
      </c>
      <c r="AS9" s="8">
        <v>0</v>
      </c>
      <c r="AT9" s="8">
        <v>4</v>
      </c>
      <c r="AU9" s="8">
        <v>2</v>
      </c>
      <c r="AV9" s="8">
        <v>4</v>
      </c>
      <c r="AW9" s="8">
        <v>1</v>
      </c>
      <c r="AX9" s="8">
        <v>7</v>
      </c>
      <c r="AY9" s="8">
        <v>1</v>
      </c>
      <c r="AZ9" s="8">
        <v>1</v>
      </c>
      <c r="BA9" s="8">
        <v>2</v>
      </c>
      <c r="BB9" s="265">
        <v>0</v>
      </c>
      <c r="BC9" s="265">
        <v>3</v>
      </c>
      <c r="BD9" s="8">
        <v>3</v>
      </c>
      <c r="BE9" s="8">
        <v>7</v>
      </c>
      <c r="BF9" s="8">
        <v>0</v>
      </c>
      <c r="BG9" s="8">
        <v>2</v>
      </c>
      <c r="BH9" s="8">
        <v>3</v>
      </c>
      <c r="BI9" s="8">
        <v>5</v>
      </c>
      <c r="BJ9" s="8">
        <v>7</v>
      </c>
      <c r="BK9" s="8">
        <v>0</v>
      </c>
      <c r="BL9" s="8">
        <v>0</v>
      </c>
      <c r="BM9" s="8">
        <v>0</v>
      </c>
      <c r="BN9" s="8">
        <v>0</v>
      </c>
      <c r="BO9" s="8">
        <v>2</v>
      </c>
      <c r="BP9" s="8">
        <v>1</v>
      </c>
      <c r="BQ9" s="8">
        <v>3</v>
      </c>
      <c r="BR9" s="8">
        <v>1</v>
      </c>
      <c r="BS9" s="8">
        <v>0</v>
      </c>
      <c r="BT9" s="8">
        <v>1</v>
      </c>
      <c r="BU9" s="8">
        <v>1</v>
      </c>
      <c r="BV9" s="8">
        <v>10</v>
      </c>
      <c r="BW9" s="8">
        <v>11</v>
      </c>
      <c r="BX9" s="8">
        <v>3</v>
      </c>
      <c r="BY9" s="8">
        <v>5</v>
      </c>
      <c r="BZ9" s="8">
        <v>8</v>
      </c>
      <c r="CA9" s="265">
        <v>5</v>
      </c>
      <c r="CB9" s="265">
        <v>4</v>
      </c>
      <c r="CC9" s="265">
        <v>9</v>
      </c>
      <c r="CD9" s="265">
        <v>9</v>
      </c>
      <c r="CE9" s="265">
        <v>19</v>
      </c>
      <c r="CF9" s="265">
        <v>28</v>
      </c>
    </row>
    <row r="10" spans="1:84">
      <c r="A10" s="4" t="s">
        <v>638</v>
      </c>
      <c r="B10" s="265">
        <v>0</v>
      </c>
      <c r="C10" s="265">
        <v>0</v>
      </c>
      <c r="D10" s="265">
        <v>0</v>
      </c>
      <c r="E10" s="265">
        <v>0</v>
      </c>
      <c r="F10" s="265">
        <v>0</v>
      </c>
      <c r="G10" s="265">
        <v>1</v>
      </c>
      <c r="H10" s="265">
        <v>0</v>
      </c>
      <c r="I10" s="265">
        <v>0</v>
      </c>
      <c r="J10" s="265">
        <v>0</v>
      </c>
      <c r="K10" s="265">
        <v>0</v>
      </c>
      <c r="L10" s="265">
        <v>0</v>
      </c>
      <c r="M10" s="265">
        <v>53</v>
      </c>
      <c r="N10" s="265">
        <v>20</v>
      </c>
      <c r="O10" s="8">
        <v>3</v>
      </c>
      <c r="P10" s="8">
        <v>4</v>
      </c>
      <c r="Q10" s="265">
        <v>2</v>
      </c>
      <c r="R10" s="265">
        <v>3</v>
      </c>
      <c r="S10" s="8">
        <v>4</v>
      </c>
      <c r="T10" s="8">
        <v>7</v>
      </c>
      <c r="U10" s="8">
        <v>10</v>
      </c>
      <c r="V10" s="8">
        <v>2</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1</v>
      </c>
      <c r="AT10" s="8">
        <v>0</v>
      </c>
      <c r="AU10" s="8">
        <v>0</v>
      </c>
      <c r="AV10" s="8">
        <v>0</v>
      </c>
      <c r="AW10" s="8">
        <v>0</v>
      </c>
      <c r="AX10" s="8">
        <v>0</v>
      </c>
      <c r="AY10" s="8">
        <v>0</v>
      </c>
      <c r="AZ10" s="8">
        <v>0</v>
      </c>
      <c r="BA10" s="8">
        <v>0</v>
      </c>
      <c r="BB10" s="265">
        <v>0</v>
      </c>
      <c r="BC10" s="265">
        <v>0</v>
      </c>
      <c r="BD10" s="8">
        <v>0</v>
      </c>
      <c r="BE10" s="8">
        <v>0</v>
      </c>
      <c r="BF10" s="8">
        <v>1</v>
      </c>
      <c r="BG10" s="8">
        <v>0</v>
      </c>
      <c r="BH10" s="8">
        <v>0</v>
      </c>
      <c r="BI10" s="8">
        <v>1</v>
      </c>
      <c r="BJ10" s="8">
        <v>0</v>
      </c>
      <c r="BK10" s="8">
        <v>0</v>
      </c>
      <c r="BL10" s="8">
        <v>0</v>
      </c>
      <c r="BM10" s="8">
        <v>0</v>
      </c>
      <c r="BN10" s="8">
        <v>0</v>
      </c>
      <c r="BO10" s="8">
        <v>2</v>
      </c>
      <c r="BP10" s="8">
        <v>1</v>
      </c>
      <c r="BQ10" s="8">
        <v>2</v>
      </c>
      <c r="BR10" s="8">
        <v>12</v>
      </c>
      <c r="BS10" s="8">
        <v>12</v>
      </c>
      <c r="BT10" s="8">
        <v>24</v>
      </c>
      <c r="BU10" s="8">
        <v>0</v>
      </c>
      <c r="BV10" s="8">
        <v>0</v>
      </c>
      <c r="BW10" s="8">
        <v>0</v>
      </c>
      <c r="BX10" s="8">
        <v>2</v>
      </c>
      <c r="BY10" s="8">
        <v>9</v>
      </c>
      <c r="BZ10" s="8">
        <v>11</v>
      </c>
      <c r="CA10" s="265">
        <v>20</v>
      </c>
      <c r="CB10" s="265">
        <v>42</v>
      </c>
      <c r="CC10" s="265">
        <v>62</v>
      </c>
      <c r="CD10" s="265">
        <v>22</v>
      </c>
      <c r="CE10" s="265">
        <v>51</v>
      </c>
      <c r="CF10" s="265">
        <v>73</v>
      </c>
    </row>
    <row r="11" spans="1:84">
      <c r="A11" s="4" t="s">
        <v>636</v>
      </c>
      <c r="B11" s="265">
        <v>4</v>
      </c>
      <c r="C11" s="265">
        <v>0</v>
      </c>
      <c r="D11" s="265">
        <v>0</v>
      </c>
      <c r="E11" s="265">
        <v>1</v>
      </c>
      <c r="F11" s="265">
        <v>1</v>
      </c>
      <c r="G11" s="265">
        <v>7</v>
      </c>
      <c r="H11" s="265">
        <v>1</v>
      </c>
      <c r="I11" s="265">
        <v>5</v>
      </c>
      <c r="J11" s="265">
        <v>0</v>
      </c>
      <c r="K11" s="265">
        <v>0</v>
      </c>
      <c r="L11" s="265">
        <v>0</v>
      </c>
      <c r="M11" s="265">
        <v>24</v>
      </c>
      <c r="N11" s="265">
        <v>80</v>
      </c>
      <c r="O11" s="8">
        <v>0</v>
      </c>
      <c r="P11" s="8">
        <v>0</v>
      </c>
      <c r="Q11" s="265">
        <v>0</v>
      </c>
      <c r="R11" s="265">
        <v>0</v>
      </c>
      <c r="S11" s="8">
        <v>0</v>
      </c>
      <c r="T11" s="8">
        <v>0</v>
      </c>
      <c r="U11" s="8">
        <v>0</v>
      </c>
      <c r="V11" s="8">
        <v>0</v>
      </c>
      <c r="W11" s="8">
        <v>0</v>
      </c>
      <c r="X11" s="8">
        <v>0</v>
      </c>
      <c r="Y11" s="8">
        <v>1</v>
      </c>
      <c r="Z11" s="8">
        <v>1</v>
      </c>
      <c r="AA11" s="8">
        <v>2</v>
      </c>
      <c r="AB11" s="8">
        <v>1</v>
      </c>
      <c r="AC11" s="8">
        <v>4</v>
      </c>
      <c r="AD11" s="8">
        <v>0</v>
      </c>
      <c r="AE11" s="8">
        <v>0</v>
      </c>
      <c r="AF11" s="8">
        <v>0</v>
      </c>
      <c r="AG11" s="8">
        <v>0</v>
      </c>
      <c r="AH11" s="8">
        <v>1</v>
      </c>
      <c r="AI11" s="8">
        <v>1</v>
      </c>
      <c r="AJ11" s="8">
        <v>0</v>
      </c>
      <c r="AK11" s="8">
        <v>1</v>
      </c>
      <c r="AL11" s="8">
        <v>1</v>
      </c>
      <c r="AM11" s="8">
        <v>0</v>
      </c>
      <c r="AN11" s="8">
        <v>3</v>
      </c>
      <c r="AO11" s="8">
        <v>3</v>
      </c>
      <c r="AP11" s="8">
        <v>0</v>
      </c>
      <c r="AQ11" s="8">
        <v>1</v>
      </c>
      <c r="AR11" s="8">
        <v>1</v>
      </c>
      <c r="AS11" s="8">
        <v>0</v>
      </c>
      <c r="AT11" s="8">
        <v>0</v>
      </c>
      <c r="AU11" s="8">
        <v>0</v>
      </c>
      <c r="AV11" s="8">
        <v>0</v>
      </c>
      <c r="AW11" s="8">
        <v>0</v>
      </c>
      <c r="AX11" s="8">
        <v>0</v>
      </c>
      <c r="AY11" s="8">
        <v>0</v>
      </c>
      <c r="AZ11" s="8">
        <v>0</v>
      </c>
      <c r="BA11" s="8">
        <v>0</v>
      </c>
      <c r="BB11" s="265">
        <v>0</v>
      </c>
      <c r="BC11" s="265">
        <v>2</v>
      </c>
      <c r="BD11" s="8">
        <v>2</v>
      </c>
      <c r="BE11" s="8">
        <v>0</v>
      </c>
      <c r="BF11" s="8">
        <v>0</v>
      </c>
      <c r="BG11" s="8">
        <v>1</v>
      </c>
      <c r="BH11" s="8">
        <v>0</v>
      </c>
      <c r="BI11" s="8">
        <v>1</v>
      </c>
      <c r="BJ11" s="8">
        <v>2</v>
      </c>
      <c r="BK11" s="8">
        <v>0</v>
      </c>
      <c r="BL11" s="8">
        <v>0</v>
      </c>
      <c r="BM11" s="8">
        <v>0</v>
      </c>
      <c r="BN11" s="8">
        <v>1</v>
      </c>
      <c r="BO11" s="8">
        <v>1</v>
      </c>
      <c r="BP11" s="8">
        <v>1</v>
      </c>
      <c r="BQ11" s="8">
        <v>2</v>
      </c>
      <c r="BR11" s="8">
        <v>1</v>
      </c>
      <c r="BS11" s="8">
        <v>2</v>
      </c>
      <c r="BT11" s="8">
        <v>3</v>
      </c>
      <c r="BU11" s="8">
        <v>0</v>
      </c>
      <c r="BV11" s="8">
        <v>11</v>
      </c>
      <c r="BW11" s="8">
        <v>11</v>
      </c>
      <c r="BX11" s="8">
        <v>0</v>
      </c>
      <c r="BY11" s="8">
        <v>10</v>
      </c>
      <c r="BZ11" s="8">
        <v>10</v>
      </c>
      <c r="CA11" s="265">
        <v>4</v>
      </c>
      <c r="CB11" s="265">
        <v>14</v>
      </c>
      <c r="CC11" s="265">
        <v>18</v>
      </c>
      <c r="CD11" s="265">
        <v>4</v>
      </c>
      <c r="CE11" s="265">
        <v>35</v>
      </c>
      <c r="CF11" s="265">
        <v>39</v>
      </c>
    </row>
    <row r="12" spans="1:84">
      <c r="A12" s="4" t="s">
        <v>637</v>
      </c>
      <c r="B12" s="265">
        <v>3</v>
      </c>
      <c r="C12" s="265">
        <v>0</v>
      </c>
      <c r="D12" s="265">
        <v>1</v>
      </c>
      <c r="E12" s="265">
        <v>3</v>
      </c>
      <c r="F12" s="265">
        <v>4</v>
      </c>
      <c r="G12" s="265">
        <v>4</v>
      </c>
      <c r="H12" s="265">
        <v>3</v>
      </c>
      <c r="I12" s="265">
        <v>9</v>
      </c>
      <c r="J12" s="265">
        <v>0</v>
      </c>
      <c r="K12" s="265">
        <v>1</v>
      </c>
      <c r="L12" s="265">
        <v>1</v>
      </c>
      <c r="M12" s="265">
        <v>26</v>
      </c>
      <c r="N12" s="265">
        <v>40</v>
      </c>
      <c r="O12" s="8">
        <v>0</v>
      </c>
      <c r="P12" s="8">
        <v>0</v>
      </c>
      <c r="Q12" s="265">
        <v>0</v>
      </c>
      <c r="R12" s="265">
        <v>0</v>
      </c>
      <c r="S12" s="8">
        <v>0</v>
      </c>
      <c r="T12" s="8">
        <v>0</v>
      </c>
      <c r="U12" s="8">
        <v>0</v>
      </c>
      <c r="V12" s="8">
        <v>0</v>
      </c>
      <c r="W12" s="8">
        <v>3</v>
      </c>
      <c r="X12" s="8">
        <v>3</v>
      </c>
      <c r="Y12" s="8">
        <v>2</v>
      </c>
      <c r="Z12" s="8">
        <v>1</v>
      </c>
      <c r="AA12" s="8">
        <v>1</v>
      </c>
      <c r="AB12" s="8">
        <v>8</v>
      </c>
      <c r="AC12" s="8">
        <v>1</v>
      </c>
      <c r="AD12" s="8">
        <v>1</v>
      </c>
      <c r="AE12" s="8">
        <v>0</v>
      </c>
      <c r="AF12" s="8">
        <v>1</v>
      </c>
      <c r="AG12" s="8">
        <v>0</v>
      </c>
      <c r="AH12" s="8">
        <v>1</v>
      </c>
      <c r="AI12" s="8">
        <v>1</v>
      </c>
      <c r="AJ12" s="8">
        <v>1</v>
      </c>
      <c r="AK12" s="8">
        <v>2</v>
      </c>
      <c r="AL12" s="8">
        <v>3</v>
      </c>
      <c r="AM12" s="8">
        <v>1</v>
      </c>
      <c r="AN12" s="8">
        <v>0</v>
      </c>
      <c r="AO12" s="8">
        <v>1</v>
      </c>
      <c r="AP12" s="8">
        <v>0</v>
      </c>
      <c r="AQ12" s="8">
        <v>3</v>
      </c>
      <c r="AR12" s="8">
        <v>3</v>
      </c>
      <c r="AS12" s="8">
        <v>2</v>
      </c>
      <c r="AT12" s="8">
        <v>0</v>
      </c>
      <c r="AU12" s="8">
        <v>0</v>
      </c>
      <c r="AV12" s="8">
        <v>0</v>
      </c>
      <c r="AW12" s="8">
        <v>0</v>
      </c>
      <c r="AX12" s="8">
        <v>0</v>
      </c>
      <c r="AY12" s="8">
        <v>2</v>
      </c>
      <c r="AZ12" s="8">
        <v>0</v>
      </c>
      <c r="BA12" s="8">
        <v>2</v>
      </c>
      <c r="BB12" s="265">
        <v>0</v>
      </c>
      <c r="BC12" s="265">
        <v>1</v>
      </c>
      <c r="BD12" s="8">
        <v>1</v>
      </c>
      <c r="BE12" s="8">
        <v>0</v>
      </c>
      <c r="BF12" s="8">
        <v>1</v>
      </c>
      <c r="BG12" s="8">
        <v>1</v>
      </c>
      <c r="BH12" s="8">
        <v>0</v>
      </c>
      <c r="BI12" s="8">
        <v>2</v>
      </c>
      <c r="BJ12" s="8">
        <v>2</v>
      </c>
      <c r="BK12" s="8">
        <v>0</v>
      </c>
      <c r="BL12" s="8">
        <v>0</v>
      </c>
      <c r="BM12" s="8">
        <v>0</v>
      </c>
      <c r="BN12" s="8">
        <v>3</v>
      </c>
      <c r="BO12" s="8">
        <v>3</v>
      </c>
      <c r="BP12" s="8">
        <v>3</v>
      </c>
      <c r="BQ12" s="8">
        <v>6</v>
      </c>
      <c r="BR12" s="8">
        <v>1</v>
      </c>
      <c r="BS12" s="8">
        <v>2</v>
      </c>
      <c r="BT12" s="8">
        <v>3</v>
      </c>
      <c r="BU12" s="8">
        <v>0</v>
      </c>
      <c r="BV12" s="8">
        <v>14</v>
      </c>
      <c r="BW12" s="8">
        <v>14</v>
      </c>
      <c r="BX12" s="8">
        <v>0</v>
      </c>
      <c r="BY12" s="8">
        <v>3</v>
      </c>
      <c r="BZ12" s="8">
        <v>3</v>
      </c>
      <c r="CA12" s="265">
        <v>8</v>
      </c>
      <c r="CB12" s="265">
        <v>10</v>
      </c>
      <c r="CC12" s="265">
        <v>18</v>
      </c>
      <c r="CD12" s="265">
        <v>8</v>
      </c>
      <c r="CE12" s="265">
        <v>27</v>
      </c>
      <c r="CF12" s="265">
        <v>35</v>
      </c>
    </row>
    <row r="13" spans="1:84">
      <c r="A13" s="4" t="s">
        <v>777</v>
      </c>
      <c r="B13" s="265">
        <v>2</v>
      </c>
      <c r="C13" s="265">
        <v>0</v>
      </c>
      <c r="D13" s="265">
        <v>6</v>
      </c>
      <c r="E13" s="265">
        <v>2</v>
      </c>
      <c r="F13" s="265">
        <v>8</v>
      </c>
      <c r="G13" s="265">
        <v>3</v>
      </c>
      <c r="H13" s="265">
        <v>0</v>
      </c>
      <c r="I13" s="265">
        <v>16</v>
      </c>
      <c r="J13" s="265">
        <v>0</v>
      </c>
      <c r="K13" s="265">
        <v>0</v>
      </c>
      <c r="L13" s="265">
        <v>0</v>
      </c>
      <c r="M13" s="265">
        <v>21</v>
      </c>
      <c r="N13" s="265">
        <v>80</v>
      </c>
      <c r="O13" s="8">
        <v>0</v>
      </c>
      <c r="P13" s="8">
        <v>0</v>
      </c>
      <c r="Q13" s="265">
        <v>0</v>
      </c>
      <c r="R13" s="265">
        <v>0</v>
      </c>
      <c r="S13" s="8">
        <v>0</v>
      </c>
      <c r="T13" s="8">
        <v>0</v>
      </c>
      <c r="U13" s="8">
        <v>0</v>
      </c>
      <c r="V13" s="8">
        <v>0</v>
      </c>
      <c r="W13" s="8">
        <v>2</v>
      </c>
      <c r="X13" s="8">
        <v>2</v>
      </c>
      <c r="Y13" s="8">
        <v>0</v>
      </c>
      <c r="Z13" s="8">
        <v>1</v>
      </c>
      <c r="AA13" s="8">
        <v>3</v>
      </c>
      <c r="AB13" s="8">
        <v>6</v>
      </c>
      <c r="AC13" s="8">
        <v>2</v>
      </c>
      <c r="AD13" s="8">
        <v>0</v>
      </c>
      <c r="AE13" s="8">
        <v>1</v>
      </c>
      <c r="AF13" s="8">
        <v>1</v>
      </c>
      <c r="AG13" s="8">
        <v>0</v>
      </c>
      <c r="AH13" s="8">
        <v>2</v>
      </c>
      <c r="AI13" s="8">
        <v>2</v>
      </c>
      <c r="AJ13" s="8">
        <v>0</v>
      </c>
      <c r="AK13" s="8">
        <v>2</v>
      </c>
      <c r="AL13" s="8">
        <v>2</v>
      </c>
      <c r="AM13" s="8">
        <v>0</v>
      </c>
      <c r="AN13" s="8">
        <v>2</v>
      </c>
      <c r="AO13" s="8">
        <v>2</v>
      </c>
      <c r="AP13" s="8">
        <v>0</v>
      </c>
      <c r="AQ13" s="8">
        <v>0</v>
      </c>
      <c r="AR13" s="8">
        <v>0</v>
      </c>
      <c r="AS13" s="8">
        <v>0</v>
      </c>
      <c r="AT13" s="8">
        <v>0</v>
      </c>
      <c r="AU13" s="8">
        <v>0</v>
      </c>
      <c r="AV13" s="8">
        <v>0</v>
      </c>
      <c r="AW13" s="8">
        <v>0</v>
      </c>
      <c r="AX13" s="8">
        <v>0</v>
      </c>
      <c r="AY13" s="8">
        <v>1</v>
      </c>
      <c r="AZ13" s="8">
        <v>0</v>
      </c>
      <c r="BA13" s="8">
        <v>1</v>
      </c>
      <c r="BB13" s="265">
        <v>0</v>
      </c>
      <c r="BC13" s="265">
        <v>2</v>
      </c>
      <c r="BD13" s="8">
        <v>2</v>
      </c>
      <c r="BE13" s="8">
        <v>0</v>
      </c>
      <c r="BF13" s="8">
        <v>0</v>
      </c>
      <c r="BG13" s="8">
        <v>1</v>
      </c>
      <c r="BH13" s="8">
        <v>0</v>
      </c>
      <c r="BI13" s="8">
        <v>1</v>
      </c>
      <c r="BJ13" s="8">
        <v>2</v>
      </c>
      <c r="BK13" s="8">
        <v>0</v>
      </c>
      <c r="BL13" s="8">
        <v>0</v>
      </c>
      <c r="BM13" s="8">
        <v>0</v>
      </c>
      <c r="BN13" s="8">
        <v>0</v>
      </c>
      <c r="BO13" s="8">
        <v>0</v>
      </c>
      <c r="BP13" s="8">
        <v>0</v>
      </c>
      <c r="BQ13" s="8">
        <v>0</v>
      </c>
      <c r="BR13" s="8">
        <v>2</v>
      </c>
      <c r="BS13" s="8">
        <v>2</v>
      </c>
      <c r="BT13" s="8">
        <v>3</v>
      </c>
      <c r="BU13" s="8">
        <v>1</v>
      </c>
      <c r="BV13" s="8">
        <v>13</v>
      </c>
      <c r="BW13" s="8">
        <v>14</v>
      </c>
      <c r="BX13" s="8">
        <v>1</v>
      </c>
      <c r="BY13" s="8">
        <v>5</v>
      </c>
      <c r="BZ13" s="8">
        <v>6</v>
      </c>
      <c r="CA13" s="265">
        <v>9</v>
      </c>
      <c r="CB13" s="265">
        <v>8</v>
      </c>
      <c r="CC13" s="265">
        <v>17</v>
      </c>
      <c r="CD13" s="265">
        <v>11</v>
      </c>
      <c r="CE13" s="265">
        <v>26</v>
      </c>
      <c r="CF13" s="265">
        <v>37</v>
      </c>
    </row>
    <row r="14" spans="1:84">
      <c r="A14" s="4" t="s">
        <v>770</v>
      </c>
      <c r="B14" s="265">
        <v>1</v>
      </c>
      <c r="C14" s="265">
        <v>0</v>
      </c>
      <c r="D14" s="265">
        <v>2</v>
      </c>
      <c r="E14" s="265">
        <v>1</v>
      </c>
      <c r="F14" s="265">
        <v>4</v>
      </c>
      <c r="G14" s="265">
        <v>1</v>
      </c>
      <c r="H14" s="265">
        <v>11</v>
      </c>
      <c r="I14" s="265">
        <v>1</v>
      </c>
      <c r="J14" s="265">
        <v>0</v>
      </c>
      <c r="K14" s="265">
        <v>0</v>
      </c>
      <c r="L14" s="265">
        <v>0</v>
      </c>
      <c r="M14" s="265">
        <v>15</v>
      </c>
      <c r="N14" s="265">
        <v>80</v>
      </c>
      <c r="O14" s="8">
        <v>0</v>
      </c>
      <c r="P14" s="8">
        <v>0</v>
      </c>
      <c r="Q14" s="265">
        <v>0</v>
      </c>
      <c r="R14" s="265">
        <v>0</v>
      </c>
      <c r="S14" s="8">
        <v>0</v>
      </c>
      <c r="T14" s="8">
        <v>0</v>
      </c>
      <c r="U14" s="8">
        <v>0</v>
      </c>
      <c r="V14" s="8">
        <v>0</v>
      </c>
      <c r="W14" s="8">
        <v>0</v>
      </c>
      <c r="X14" s="8">
        <v>0</v>
      </c>
      <c r="Y14" s="8">
        <v>0</v>
      </c>
      <c r="Z14" s="8">
        <v>0</v>
      </c>
      <c r="AA14" s="8">
        <v>0</v>
      </c>
      <c r="AB14" s="8">
        <v>0</v>
      </c>
      <c r="AC14" s="8">
        <v>0</v>
      </c>
      <c r="AD14" s="8">
        <v>2</v>
      </c>
      <c r="AE14" s="8">
        <v>1</v>
      </c>
      <c r="AF14" s="8">
        <v>3</v>
      </c>
      <c r="AG14" s="8">
        <v>0</v>
      </c>
      <c r="AH14" s="8">
        <v>2</v>
      </c>
      <c r="AI14" s="8">
        <v>2</v>
      </c>
      <c r="AJ14" s="8">
        <v>0</v>
      </c>
      <c r="AK14" s="8">
        <v>0</v>
      </c>
      <c r="AL14" s="8">
        <v>0</v>
      </c>
      <c r="AM14" s="8">
        <v>1</v>
      </c>
      <c r="AN14" s="8">
        <v>0</v>
      </c>
      <c r="AO14" s="8">
        <v>1</v>
      </c>
      <c r="AP14" s="8">
        <v>0</v>
      </c>
      <c r="AQ14" s="8">
        <v>0</v>
      </c>
      <c r="AR14" s="8">
        <v>0</v>
      </c>
      <c r="AS14" s="8">
        <v>1</v>
      </c>
      <c r="AT14" s="8">
        <v>0</v>
      </c>
      <c r="AU14" s="8">
        <v>0</v>
      </c>
      <c r="AV14" s="8">
        <v>0</v>
      </c>
      <c r="AW14" s="8">
        <v>0</v>
      </c>
      <c r="AX14" s="8">
        <v>0</v>
      </c>
      <c r="AY14" s="8">
        <v>0</v>
      </c>
      <c r="AZ14" s="8">
        <v>0</v>
      </c>
      <c r="BA14" s="8">
        <v>0</v>
      </c>
      <c r="BB14" s="265">
        <v>0</v>
      </c>
      <c r="BC14" s="265">
        <v>1</v>
      </c>
      <c r="BD14" s="8">
        <v>1</v>
      </c>
      <c r="BE14" s="8">
        <v>0</v>
      </c>
      <c r="BF14" s="8">
        <v>2</v>
      </c>
      <c r="BG14" s="8">
        <v>2</v>
      </c>
      <c r="BH14" s="8">
        <v>0</v>
      </c>
      <c r="BI14" s="8">
        <v>4</v>
      </c>
      <c r="BJ14" s="8">
        <v>0</v>
      </c>
      <c r="BK14" s="8">
        <v>0</v>
      </c>
      <c r="BL14" s="8">
        <v>0</v>
      </c>
      <c r="BM14" s="8">
        <v>0</v>
      </c>
      <c r="BN14" s="8">
        <v>1</v>
      </c>
      <c r="BO14" s="8">
        <v>0</v>
      </c>
      <c r="BP14" s="8">
        <v>1</v>
      </c>
      <c r="BQ14" s="8">
        <v>1</v>
      </c>
      <c r="BR14" s="8">
        <v>0</v>
      </c>
      <c r="BS14" s="8">
        <v>1</v>
      </c>
      <c r="BT14" s="8">
        <v>1</v>
      </c>
      <c r="BU14" s="8">
        <v>1</v>
      </c>
      <c r="BV14" s="8">
        <v>7</v>
      </c>
      <c r="BW14" s="8">
        <v>8</v>
      </c>
      <c r="BX14" s="8">
        <v>0</v>
      </c>
      <c r="BY14" s="8">
        <v>12</v>
      </c>
      <c r="BZ14" s="8">
        <v>12</v>
      </c>
      <c r="CA14" s="265">
        <v>0</v>
      </c>
      <c r="CB14" s="265">
        <v>2</v>
      </c>
      <c r="CC14" s="265">
        <v>2</v>
      </c>
      <c r="CD14" s="265">
        <v>1</v>
      </c>
      <c r="CE14" s="265">
        <v>21</v>
      </c>
      <c r="CF14" s="265">
        <v>22</v>
      </c>
    </row>
    <row r="15" spans="1:84">
      <c r="A15" s="4" t="s">
        <v>795</v>
      </c>
      <c r="B15" s="265">
        <v>2</v>
      </c>
      <c r="C15" s="265">
        <v>0</v>
      </c>
      <c r="D15" s="265">
        <v>4</v>
      </c>
      <c r="E15" s="265">
        <v>1</v>
      </c>
      <c r="F15" s="265">
        <v>5</v>
      </c>
      <c r="G15" s="265">
        <v>0</v>
      </c>
      <c r="H15" s="265">
        <v>0</v>
      </c>
      <c r="I15" s="265">
        <v>10</v>
      </c>
      <c r="J15" s="265">
        <v>0</v>
      </c>
      <c r="K15" s="265">
        <v>0</v>
      </c>
      <c r="L15" s="265">
        <v>1</v>
      </c>
      <c r="M15" s="265">
        <v>16</v>
      </c>
      <c r="N15" s="265">
        <v>80</v>
      </c>
      <c r="O15" s="8">
        <v>0</v>
      </c>
      <c r="P15" s="8">
        <v>0</v>
      </c>
      <c r="Q15" s="265">
        <v>0</v>
      </c>
      <c r="R15" s="265">
        <v>0</v>
      </c>
      <c r="S15" s="8">
        <v>0</v>
      </c>
      <c r="T15" s="8">
        <v>0</v>
      </c>
      <c r="U15" s="8">
        <v>0</v>
      </c>
      <c r="V15" s="8">
        <v>0</v>
      </c>
      <c r="W15" s="8">
        <v>2</v>
      </c>
      <c r="X15" s="8">
        <v>0</v>
      </c>
      <c r="Y15" s="8">
        <v>0</v>
      </c>
      <c r="Z15" s="8">
        <v>0</v>
      </c>
      <c r="AA15" s="8">
        <v>1</v>
      </c>
      <c r="AB15" s="8">
        <v>0</v>
      </c>
      <c r="AC15" s="8">
        <v>0</v>
      </c>
      <c r="AD15" s="8">
        <v>1</v>
      </c>
      <c r="AE15" s="8">
        <v>0</v>
      </c>
      <c r="AF15" s="8">
        <v>1</v>
      </c>
      <c r="AG15" s="8">
        <v>0</v>
      </c>
      <c r="AH15" s="8">
        <v>0</v>
      </c>
      <c r="AI15" s="8">
        <v>0</v>
      </c>
      <c r="AJ15" s="8">
        <v>0</v>
      </c>
      <c r="AK15" s="8">
        <v>0</v>
      </c>
      <c r="AL15" s="8">
        <v>0</v>
      </c>
      <c r="AM15" s="8">
        <v>0</v>
      </c>
      <c r="AN15" s="8">
        <v>0</v>
      </c>
      <c r="AO15" s="8">
        <v>0</v>
      </c>
      <c r="AP15" s="8">
        <v>0</v>
      </c>
      <c r="AQ15" s="8">
        <v>2</v>
      </c>
      <c r="AR15" s="8">
        <v>2</v>
      </c>
      <c r="AS15" s="8">
        <v>0</v>
      </c>
      <c r="AT15" s="8">
        <v>0</v>
      </c>
      <c r="AU15" s="8">
        <v>0</v>
      </c>
      <c r="AV15" s="8">
        <v>0</v>
      </c>
      <c r="AW15" s="8">
        <v>2</v>
      </c>
      <c r="AX15" s="8">
        <v>2</v>
      </c>
      <c r="AY15" s="8">
        <v>2</v>
      </c>
      <c r="AZ15" s="8">
        <v>0</v>
      </c>
      <c r="BA15" s="8">
        <v>2</v>
      </c>
      <c r="BB15" s="265">
        <v>0</v>
      </c>
      <c r="BC15" s="265">
        <v>1</v>
      </c>
      <c r="BD15" s="8">
        <v>1</v>
      </c>
      <c r="BE15" s="8">
        <v>3</v>
      </c>
      <c r="BF15" s="8">
        <v>0</v>
      </c>
      <c r="BG15" s="8">
        <v>2</v>
      </c>
      <c r="BH15" s="8">
        <v>1</v>
      </c>
      <c r="BI15" s="8">
        <v>3</v>
      </c>
      <c r="BJ15" s="8">
        <v>2</v>
      </c>
      <c r="BK15" s="8">
        <v>0</v>
      </c>
      <c r="BL15" s="8">
        <v>0</v>
      </c>
      <c r="BM15" s="8">
        <v>0</v>
      </c>
      <c r="BN15" s="8">
        <v>0</v>
      </c>
      <c r="BO15" s="8">
        <v>1</v>
      </c>
      <c r="BP15" s="8">
        <v>1</v>
      </c>
      <c r="BQ15" s="8">
        <v>2</v>
      </c>
      <c r="BR15" s="8">
        <v>1</v>
      </c>
      <c r="BS15" s="8">
        <v>0</v>
      </c>
      <c r="BT15" s="8">
        <v>1</v>
      </c>
      <c r="BU15" s="8">
        <v>0</v>
      </c>
      <c r="BV15" s="8">
        <v>3</v>
      </c>
      <c r="BW15" s="8">
        <v>3</v>
      </c>
      <c r="BX15" s="8">
        <v>2</v>
      </c>
      <c r="BY15" s="8">
        <v>1</v>
      </c>
      <c r="BZ15" s="8">
        <v>3</v>
      </c>
      <c r="CA15" s="265">
        <v>6</v>
      </c>
      <c r="CB15" s="265">
        <v>2</v>
      </c>
      <c r="CC15" s="265">
        <v>8</v>
      </c>
      <c r="CD15" s="265">
        <v>8</v>
      </c>
      <c r="CE15" s="265">
        <v>6</v>
      </c>
      <c r="CF15" s="265">
        <v>14</v>
      </c>
    </row>
    <row r="16" spans="1:84">
      <c r="A16" s="4" t="s">
        <v>685</v>
      </c>
      <c r="B16" s="265">
        <v>3</v>
      </c>
      <c r="C16" s="265">
        <v>0</v>
      </c>
      <c r="D16" s="265">
        <v>0</v>
      </c>
      <c r="E16" s="265">
        <v>0</v>
      </c>
      <c r="F16" s="265">
        <v>0</v>
      </c>
      <c r="G16" s="265">
        <v>0</v>
      </c>
      <c r="H16" s="265">
        <v>3</v>
      </c>
      <c r="I16" s="265">
        <v>0</v>
      </c>
      <c r="J16" s="265">
        <v>0</v>
      </c>
      <c r="K16" s="265">
        <v>0</v>
      </c>
      <c r="L16" s="265">
        <v>0</v>
      </c>
      <c r="M16" s="265">
        <v>4</v>
      </c>
      <c r="N16" s="265">
        <v>60</v>
      </c>
      <c r="O16" s="8">
        <v>0</v>
      </c>
      <c r="P16" s="8">
        <v>0</v>
      </c>
      <c r="Q16" s="265">
        <v>0</v>
      </c>
      <c r="R16" s="265">
        <v>0</v>
      </c>
      <c r="S16" s="8">
        <v>0</v>
      </c>
      <c r="T16" s="8">
        <v>0</v>
      </c>
      <c r="U16" s="8">
        <v>0</v>
      </c>
      <c r="V16" s="8">
        <v>0</v>
      </c>
      <c r="W16" s="8">
        <v>0</v>
      </c>
      <c r="X16" s="8">
        <v>0</v>
      </c>
      <c r="Y16" s="8">
        <v>0</v>
      </c>
      <c r="Z16" s="8">
        <v>1</v>
      </c>
      <c r="AA16" s="8">
        <v>1</v>
      </c>
      <c r="AB16" s="8">
        <v>1</v>
      </c>
      <c r="AC16" s="8">
        <v>0</v>
      </c>
      <c r="AD16" s="8">
        <v>0</v>
      </c>
      <c r="AE16" s="8">
        <v>2</v>
      </c>
      <c r="AF16" s="8">
        <v>2</v>
      </c>
      <c r="AG16" s="8">
        <v>0</v>
      </c>
      <c r="AH16" s="8">
        <v>1</v>
      </c>
      <c r="AI16" s="8">
        <v>1</v>
      </c>
      <c r="AJ16" s="8">
        <v>0</v>
      </c>
      <c r="AK16" s="8">
        <v>0</v>
      </c>
      <c r="AL16" s="8">
        <v>0</v>
      </c>
      <c r="AM16" s="8">
        <v>2</v>
      </c>
      <c r="AN16" s="8">
        <v>0</v>
      </c>
      <c r="AO16" s="8">
        <v>2</v>
      </c>
      <c r="AP16" s="8">
        <v>0</v>
      </c>
      <c r="AQ16" s="8">
        <v>0</v>
      </c>
      <c r="AR16" s="8">
        <v>0</v>
      </c>
      <c r="AS16" s="8">
        <v>1</v>
      </c>
      <c r="AT16" s="8">
        <v>0</v>
      </c>
      <c r="AU16" s="8">
        <v>0</v>
      </c>
      <c r="AV16" s="8">
        <v>0</v>
      </c>
      <c r="AW16" s="8">
        <v>0</v>
      </c>
      <c r="AX16" s="8">
        <v>0</v>
      </c>
      <c r="AY16" s="8">
        <v>0</v>
      </c>
      <c r="AZ16" s="8">
        <v>0</v>
      </c>
      <c r="BA16" s="8">
        <v>0</v>
      </c>
      <c r="BB16" s="265">
        <v>0</v>
      </c>
      <c r="BC16" s="265">
        <v>2</v>
      </c>
      <c r="BD16" s="8">
        <v>2</v>
      </c>
      <c r="BE16" s="8">
        <v>0</v>
      </c>
      <c r="BF16" s="8">
        <v>1</v>
      </c>
      <c r="BG16" s="8">
        <v>0</v>
      </c>
      <c r="BH16" s="8">
        <v>0</v>
      </c>
      <c r="BI16" s="8">
        <v>1</v>
      </c>
      <c r="BJ16" s="8">
        <v>1</v>
      </c>
      <c r="BK16" s="8">
        <v>0</v>
      </c>
      <c r="BL16" s="8">
        <v>0</v>
      </c>
      <c r="BM16" s="8">
        <v>0</v>
      </c>
      <c r="BN16" s="8">
        <v>0</v>
      </c>
      <c r="BO16" s="8">
        <v>1</v>
      </c>
      <c r="BP16" s="8">
        <v>1</v>
      </c>
      <c r="BQ16" s="8">
        <v>2</v>
      </c>
      <c r="BR16" s="8">
        <v>1</v>
      </c>
      <c r="BS16" s="8">
        <v>0</v>
      </c>
      <c r="BT16" s="8">
        <v>1</v>
      </c>
      <c r="BU16" s="8">
        <v>0</v>
      </c>
      <c r="BV16" s="8">
        <v>1</v>
      </c>
      <c r="BW16" s="8">
        <v>1</v>
      </c>
      <c r="BX16" s="8">
        <v>1</v>
      </c>
      <c r="BY16" s="8">
        <v>1</v>
      </c>
      <c r="BZ16" s="8">
        <v>2</v>
      </c>
      <c r="CA16" s="265">
        <v>2</v>
      </c>
      <c r="CB16" s="265">
        <v>2</v>
      </c>
      <c r="CC16" s="265">
        <v>4</v>
      </c>
      <c r="CD16" s="265">
        <v>3</v>
      </c>
      <c r="CE16" s="265">
        <v>4</v>
      </c>
      <c r="CF16" s="265">
        <v>7</v>
      </c>
    </row>
    <row r="17" spans="1:84">
      <c r="A17" s="4" t="s">
        <v>743</v>
      </c>
      <c r="B17" s="265">
        <v>2</v>
      </c>
      <c r="C17" s="265">
        <v>0</v>
      </c>
      <c r="D17" s="265">
        <v>0</v>
      </c>
      <c r="E17" s="265">
        <v>2</v>
      </c>
      <c r="F17" s="265">
        <v>2</v>
      </c>
      <c r="G17" s="265">
        <v>1</v>
      </c>
      <c r="H17" s="265">
        <v>0</v>
      </c>
      <c r="I17" s="265">
        <v>2</v>
      </c>
      <c r="J17" s="265">
        <v>0</v>
      </c>
      <c r="K17" s="265">
        <v>0</v>
      </c>
      <c r="L17" s="265">
        <v>0</v>
      </c>
      <c r="M17" s="265">
        <v>24</v>
      </c>
      <c r="N17" s="265">
        <v>40</v>
      </c>
      <c r="O17" s="8">
        <v>0</v>
      </c>
      <c r="P17" s="8">
        <v>0</v>
      </c>
      <c r="Q17" s="265">
        <v>0</v>
      </c>
      <c r="R17" s="265">
        <v>0</v>
      </c>
      <c r="S17" s="8">
        <v>0</v>
      </c>
      <c r="T17" s="8">
        <v>0</v>
      </c>
      <c r="U17" s="8">
        <v>0</v>
      </c>
      <c r="V17" s="8">
        <v>0</v>
      </c>
      <c r="W17" s="8">
        <v>0</v>
      </c>
      <c r="X17" s="8">
        <v>0</v>
      </c>
      <c r="Y17" s="8">
        <v>0</v>
      </c>
      <c r="Z17" s="8">
        <v>0</v>
      </c>
      <c r="AA17" s="8">
        <v>2</v>
      </c>
      <c r="AB17" s="8">
        <v>2</v>
      </c>
      <c r="AC17" s="8">
        <v>0</v>
      </c>
      <c r="AD17" s="8">
        <v>0</v>
      </c>
      <c r="AE17" s="8">
        <v>0</v>
      </c>
      <c r="AF17" s="8">
        <v>0</v>
      </c>
      <c r="AG17" s="8">
        <v>0</v>
      </c>
      <c r="AH17" s="8">
        <v>0</v>
      </c>
      <c r="AI17" s="8">
        <v>0</v>
      </c>
      <c r="AJ17" s="8">
        <v>0</v>
      </c>
      <c r="AK17" s="8">
        <v>1</v>
      </c>
      <c r="AL17" s="8">
        <v>1</v>
      </c>
      <c r="AM17" s="8">
        <v>0</v>
      </c>
      <c r="AN17" s="8">
        <v>2</v>
      </c>
      <c r="AO17" s="8">
        <v>2</v>
      </c>
      <c r="AP17" s="8">
        <v>0</v>
      </c>
      <c r="AQ17" s="8">
        <v>1</v>
      </c>
      <c r="AR17" s="8">
        <v>1</v>
      </c>
      <c r="AS17" s="8">
        <v>0</v>
      </c>
      <c r="AT17" s="8">
        <v>0</v>
      </c>
      <c r="AU17" s="8">
        <v>0</v>
      </c>
      <c r="AV17" s="8">
        <v>0</v>
      </c>
      <c r="AW17" s="8">
        <v>0</v>
      </c>
      <c r="AX17" s="8">
        <v>0</v>
      </c>
      <c r="AY17" s="8">
        <v>0</v>
      </c>
      <c r="AZ17" s="8">
        <v>0</v>
      </c>
      <c r="BA17" s="8">
        <v>0</v>
      </c>
      <c r="BB17" s="265">
        <v>0</v>
      </c>
      <c r="BC17" s="265">
        <v>1</v>
      </c>
      <c r="BD17" s="8">
        <v>1</v>
      </c>
      <c r="BE17" s="8">
        <v>0</v>
      </c>
      <c r="BF17" s="8">
        <v>0</v>
      </c>
      <c r="BG17" s="8">
        <v>0</v>
      </c>
      <c r="BH17" s="8">
        <v>0</v>
      </c>
      <c r="BI17" s="8">
        <v>0</v>
      </c>
      <c r="BJ17" s="8">
        <v>2</v>
      </c>
      <c r="BK17" s="8">
        <v>0</v>
      </c>
      <c r="BL17" s="8">
        <v>0</v>
      </c>
      <c r="BM17" s="8">
        <v>0</v>
      </c>
      <c r="BN17" s="8">
        <v>0</v>
      </c>
      <c r="BO17" s="8">
        <v>0</v>
      </c>
      <c r="BP17" s="8">
        <v>0</v>
      </c>
      <c r="BQ17" s="8">
        <v>0</v>
      </c>
      <c r="BR17" s="8">
        <v>3</v>
      </c>
      <c r="BS17" s="8">
        <v>1</v>
      </c>
      <c r="BT17" s="8">
        <v>4</v>
      </c>
      <c r="BU17" s="8">
        <v>1</v>
      </c>
      <c r="BV17" s="8">
        <v>13</v>
      </c>
      <c r="BW17" s="8">
        <v>14</v>
      </c>
      <c r="BX17" s="8">
        <v>1</v>
      </c>
      <c r="BY17" s="8">
        <v>18</v>
      </c>
      <c r="BZ17" s="8">
        <v>19</v>
      </c>
      <c r="CA17" s="265">
        <v>10</v>
      </c>
      <c r="CB17" s="265">
        <v>13</v>
      </c>
      <c r="CC17" s="265">
        <v>23</v>
      </c>
      <c r="CD17" s="265">
        <v>12</v>
      </c>
      <c r="CE17" s="265">
        <v>44</v>
      </c>
      <c r="CF17" s="265">
        <v>56</v>
      </c>
    </row>
    <row r="18" spans="1:84">
      <c r="A18" s="4" t="s">
        <v>774</v>
      </c>
      <c r="B18" s="265">
        <v>0</v>
      </c>
      <c r="C18" s="265">
        <v>0</v>
      </c>
      <c r="D18" s="265">
        <v>0</v>
      </c>
      <c r="E18" s="265">
        <v>0</v>
      </c>
      <c r="F18" s="265">
        <v>0</v>
      </c>
      <c r="G18" s="265">
        <v>1</v>
      </c>
      <c r="H18" s="265">
        <v>6</v>
      </c>
      <c r="I18" s="265">
        <v>0</v>
      </c>
      <c r="J18" s="265">
        <v>0</v>
      </c>
      <c r="K18" s="265">
        <v>0</v>
      </c>
      <c r="L18" s="265">
        <v>0</v>
      </c>
      <c r="M18" s="265">
        <v>15</v>
      </c>
      <c r="N18" s="265">
        <v>40</v>
      </c>
      <c r="O18" s="8">
        <v>0</v>
      </c>
      <c r="P18" s="8">
        <v>0</v>
      </c>
      <c r="Q18" s="265">
        <v>0</v>
      </c>
      <c r="R18" s="265">
        <v>0</v>
      </c>
      <c r="S18" s="8">
        <v>0</v>
      </c>
      <c r="T18" s="8">
        <v>0</v>
      </c>
      <c r="U18" s="8">
        <v>0</v>
      </c>
      <c r="V18" s="8">
        <v>0</v>
      </c>
      <c r="W18" s="8">
        <v>0</v>
      </c>
      <c r="X18" s="8">
        <v>0</v>
      </c>
      <c r="Y18" s="8">
        <v>0</v>
      </c>
      <c r="Z18" s="8">
        <v>0</v>
      </c>
      <c r="AA18" s="8">
        <v>0</v>
      </c>
      <c r="AB18" s="8">
        <v>2</v>
      </c>
      <c r="AC18" s="8">
        <v>0</v>
      </c>
      <c r="AD18" s="8">
        <v>1</v>
      </c>
      <c r="AE18" s="8">
        <v>3</v>
      </c>
      <c r="AF18" s="8">
        <v>4</v>
      </c>
      <c r="AG18" s="8">
        <v>0</v>
      </c>
      <c r="AH18" s="8">
        <v>1</v>
      </c>
      <c r="AI18" s="8">
        <v>1</v>
      </c>
      <c r="AJ18" s="8">
        <v>0</v>
      </c>
      <c r="AK18" s="8">
        <v>0</v>
      </c>
      <c r="AL18" s="8">
        <v>0</v>
      </c>
      <c r="AM18" s="8">
        <v>1</v>
      </c>
      <c r="AN18" s="8">
        <v>0</v>
      </c>
      <c r="AO18" s="8">
        <v>1</v>
      </c>
      <c r="AP18" s="8">
        <v>0</v>
      </c>
      <c r="AQ18" s="8">
        <v>1</v>
      </c>
      <c r="AR18" s="8">
        <v>1</v>
      </c>
      <c r="AS18" s="8">
        <v>0</v>
      </c>
      <c r="AT18" s="8">
        <v>0</v>
      </c>
      <c r="AU18" s="8">
        <v>1</v>
      </c>
      <c r="AV18" s="8">
        <v>0</v>
      </c>
      <c r="AW18" s="8">
        <v>0</v>
      </c>
      <c r="AX18" s="8">
        <v>1</v>
      </c>
      <c r="AY18" s="8">
        <v>0</v>
      </c>
      <c r="AZ18" s="8">
        <v>0</v>
      </c>
      <c r="BA18" s="8">
        <v>0</v>
      </c>
      <c r="BB18" s="265">
        <v>0</v>
      </c>
      <c r="BC18" s="265">
        <v>1</v>
      </c>
      <c r="BD18" s="8">
        <v>1</v>
      </c>
      <c r="BE18" s="8">
        <v>1</v>
      </c>
      <c r="BF18" s="8">
        <v>1</v>
      </c>
      <c r="BG18" s="8">
        <v>1</v>
      </c>
      <c r="BH18" s="8">
        <v>0</v>
      </c>
      <c r="BI18" s="8">
        <v>2</v>
      </c>
      <c r="BJ18" s="8">
        <v>2</v>
      </c>
      <c r="BK18" s="8">
        <v>0</v>
      </c>
      <c r="BL18" s="8">
        <v>0</v>
      </c>
      <c r="BM18" s="8">
        <v>0</v>
      </c>
      <c r="BN18" s="8">
        <v>1</v>
      </c>
      <c r="BO18" s="8">
        <v>0</v>
      </c>
      <c r="BP18" s="8">
        <v>0</v>
      </c>
      <c r="BQ18" s="8">
        <v>0</v>
      </c>
      <c r="BR18" s="8">
        <v>1</v>
      </c>
      <c r="BS18" s="8">
        <v>0</v>
      </c>
      <c r="BT18" s="8">
        <v>1</v>
      </c>
      <c r="BU18" s="8">
        <v>0</v>
      </c>
      <c r="BV18" s="8">
        <v>10</v>
      </c>
      <c r="BW18" s="8">
        <v>10</v>
      </c>
      <c r="BX18" s="8">
        <v>0</v>
      </c>
      <c r="BY18" s="8">
        <v>6</v>
      </c>
      <c r="BZ18" s="8">
        <v>6</v>
      </c>
      <c r="CA18" s="265">
        <v>1</v>
      </c>
      <c r="CB18" s="265">
        <v>6</v>
      </c>
      <c r="CC18" s="265">
        <v>7</v>
      </c>
      <c r="CD18" s="265">
        <v>1</v>
      </c>
      <c r="CE18" s="265">
        <v>22</v>
      </c>
      <c r="CF18" s="265">
        <v>23</v>
      </c>
    </row>
    <row r="19" spans="1:84">
      <c r="A19" s="4" t="s">
        <v>791</v>
      </c>
      <c r="B19" s="265">
        <v>1</v>
      </c>
      <c r="C19" s="265">
        <v>0</v>
      </c>
      <c r="D19" s="265">
        <v>2</v>
      </c>
      <c r="E19" s="265">
        <v>0</v>
      </c>
      <c r="F19" s="265">
        <v>2</v>
      </c>
      <c r="G19" s="265">
        <v>0</v>
      </c>
      <c r="H19" s="265">
        <v>2</v>
      </c>
      <c r="I19" s="265">
        <v>0</v>
      </c>
      <c r="J19" s="265">
        <v>3</v>
      </c>
      <c r="K19" s="265">
        <v>0</v>
      </c>
      <c r="L19" s="265">
        <v>0</v>
      </c>
      <c r="M19" s="265">
        <v>7</v>
      </c>
      <c r="N19" s="265">
        <v>60</v>
      </c>
      <c r="O19" s="8">
        <v>0</v>
      </c>
      <c r="P19" s="8">
        <v>0</v>
      </c>
      <c r="Q19" s="265">
        <v>0</v>
      </c>
      <c r="R19" s="265">
        <v>0</v>
      </c>
      <c r="S19" s="8">
        <v>0</v>
      </c>
      <c r="T19" s="8">
        <v>0</v>
      </c>
      <c r="U19" s="8">
        <v>0</v>
      </c>
      <c r="V19" s="8">
        <v>0</v>
      </c>
      <c r="W19" s="8">
        <v>1</v>
      </c>
      <c r="X19" s="8">
        <v>0</v>
      </c>
      <c r="Y19" s="8">
        <v>0</v>
      </c>
      <c r="Z19" s="8">
        <v>0</v>
      </c>
      <c r="AA19" s="8">
        <v>2</v>
      </c>
      <c r="AB19" s="8">
        <v>1</v>
      </c>
      <c r="AC19" s="8">
        <v>0</v>
      </c>
      <c r="AD19" s="8">
        <v>0</v>
      </c>
      <c r="AE19" s="8">
        <v>0</v>
      </c>
      <c r="AF19" s="8">
        <v>0</v>
      </c>
      <c r="AG19" s="8">
        <v>0</v>
      </c>
      <c r="AH19" s="8">
        <v>0</v>
      </c>
      <c r="AI19" s="8">
        <v>0</v>
      </c>
      <c r="AJ19" s="8">
        <v>0</v>
      </c>
      <c r="AK19" s="8">
        <v>0</v>
      </c>
      <c r="AL19" s="8">
        <v>0</v>
      </c>
      <c r="AM19" s="8">
        <v>0</v>
      </c>
      <c r="AN19" s="8">
        <v>0</v>
      </c>
      <c r="AO19" s="8">
        <v>0</v>
      </c>
      <c r="AP19" s="8">
        <v>1</v>
      </c>
      <c r="AQ19" s="8">
        <v>1</v>
      </c>
      <c r="AR19" s="8">
        <v>2</v>
      </c>
      <c r="AS19" s="8">
        <v>0</v>
      </c>
      <c r="AT19" s="8">
        <v>0</v>
      </c>
      <c r="AU19" s="8">
        <v>0</v>
      </c>
      <c r="AV19" s="8">
        <v>0</v>
      </c>
      <c r="AW19" s="8">
        <v>0</v>
      </c>
      <c r="AX19" s="8">
        <v>0</v>
      </c>
      <c r="AY19" s="8">
        <v>1</v>
      </c>
      <c r="AZ19" s="8">
        <v>0</v>
      </c>
      <c r="BA19" s="8">
        <v>1</v>
      </c>
      <c r="BB19" s="265">
        <v>0</v>
      </c>
      <c r="BC19" s="265">
        <v>2</v>
      </c>
      <c r="BD19" s="8">
        <v>2</v>
      </c>
      <c r="BE19" s="8">
        <v>0</v>
      </c>
      <c r="BF19" s="8">
        <v>1</v>
      </c>
      <c r="BG19" s="8">
        <v>1</v>
      </c>
      <c r="BH19" s="8">
        <v>0</v>
      </c>
      <c r="BI19" s="8">
        <v>2</v>
      </c>
      <c r="BJ19" s="8">
        <v>3</v>
      </c>
      <c r="BK19" s="8">
        <v>0</v>
      </c>
      <c r="BL19" s="8">
        <v>0</v>
      </c>
      <c r="BM19" s="8">
        <v>0</v>
      </c>
      <c r="BN19" s="8">
        <v>0</v>
      </c>
      <c r="BO19" s="8">
        <v>3</v>
      </c>
      <c r="BP19" s="8">
        <v>0</v>
      </c>
      <c r="BQ19" s="8">
        <v>3</v>
      </c>
      <c r="BR19" s="8">
        <v>1</v>
      </c>
      <c r="BS19" s="8">
        <v>0</v>
      </c>
      <c r="BT19" s="8">
        <v>1</v>
      </c>
      <c r="BU19" s="8">
        <v>0</v>
      </c>
      <c r="BV19" s="8">
        <v>3</v>
      </c>
      <c r="BW19" s="8">
        <v>3</v>
      </c>
      <c r="BX19" s="8">
        <v>0</v>
      </c>
      <c r="BY19" s="8">
        <v>0</v>
      </c>
      <c r="BZ19" s="8">
        <v>0</v>
      </c>
      <c r="CA19" s="265">
        <v>4</v>
      </c>
      <c r="CB19" s="265">
        <v>2</v>
      </c>
      <c r="CC19" s="265">
        <v>6</v>
      </c>
      <c r="CD19" s="265">
        <v>4</v>
      </c>
      <c r="CE19" s="265">
        <v>5</v>
      </c>
      <c r="CF19" s="265">
        <v>9</v>
      </c>
    </row>
    <row r="20" spans="1:84">
      <c r="A20" s="4" t="s">
        <v>793</v>
      </c>
      <c r="B20" s="265">
        <v>1</v>
      </c>
      <c r="C20" s="265">
        <v>0</v>
      </c>
      <c r="D20" s="265">
        <v>2</v>
      </c>
      <c r="E20" s="265">
        <v>0</v>
      </c>
      <c r="F20" s="265">
        <v>2</v>
      </c>
      <c r="G20" s="265">
        <v>0</v>
      </c>
      <c r="H20" s="265">
        <v>4</v>
      </c>
      <c r="I20" s="265">
        <v>0</v>
      </c>
      <c r="J20" s="265">
        <v>0</v>
      </c>
      <c r="K20" s="265">
        <v>0</v>
      </c>
      <c r="L20" s="265">
        <v>0</v>
      </c>
      <c r="M20" s="265">
        <v>10</v>
      </c>
      <c r="N20" s="265">
        <v>60</v>
      </c>
      <c r="O20" s="8">
        <v>0</v>
      </c>
      <c r="P20" s="8">
        <v>0</v>
      </c>
      <c r="Q20" s="265">
        <v>0</v>
      </c>
      <c r="R20" s="265">
        <v>0</v>
      </c>
      <c r="S20" s="8">
        <v>0</v>
      </c>
      <c r="T20" s="8">
        <v>0</v>
      </c>
      <c r="U20" s="8">
        <v>0</v>
      </c>
      <c r="V20" s="8">
        <v>0</v>
      </c>
      <c r="W20" s="8">
        <v>2</v>
      </c>
      <c r="X20" s="8">
        <v>1</v>
      </c>
      <c r="Y20" s="8">
        <v>0</v>
      </c>
      <c r="Z20" s="8">
        <v>0</v>
      </c>
      <c r="AA20" s="8">
        <v>0</v>
      </c>
      <c r="AB20" s="8">
        <v>2</v>
      </c>
      <c r="AC20" s="8">
        <v>0</v>
      </c>
      <c r="AD20" s="8">
        <v>1</v>
      </c>
      <c r="AE20" s="8">
        <v>0</v>
      </c>
      <c r="AF20" s="8">
        <v>1</v>
      </c>
      <c r="AG20" s="8">
        <v>0</v>
      </c>
      <c r="AH20" s="8">
        <v>0</v>
      </c>
      <c r="AI20" s="8">
        <v>0</v>
      </c>
      <c r="AJ20" s="8">
        <v>0</v>
      </c>
      <c r="AK20" s="8">
        <v>0</v>
      </c>
      <c r="AL20" s="8">
        <v>0</v>
      </c>
      <c r="AM20" s="8">
        <v>0</v>
      </c>
      <c r="AN20" s="8">
        <v>0</v>
      </c>
      <c r="AO20" s="8">
        <v>0</v>
      </c>
      <c r="AP20" s="8">
        <v>0</v>
      </c>
      <c r="AQ20" s="8">
        <v>0</v>
      </c>
      <c r="AR20" s="8">
        <v>0</v>
      </c>
      <c r="AS20" s="8">
        <v>0</v>
      </c>
      <c r="AT20" s="8">
        <v>0</v>
      </c>
      <c r="AU20" s="8">
        <v>0</v>
      </c>
      <c r="AV20" s="8">
        <v>0</v>
      </c>
      <c r="AW20" s="8">
        <v>0</v>
      </c>
      <c r="AX20" s="8">
        <v>0</v>
      </c>
      <c r="AY20" s="8">
        <v>0</v>
      </c>
      <c r="AZ20" s="8">
        <v>0</v>
      </c>
      <c r="BA20" s="8">
        <v>0</v>
      </c>
      <c r="BB20" s="265">
        <v>0</v>
      </c>
      <c r="BC20" s="265">
        <v>0</v>
      </c>
      <c r="BD20" s="8">
        <v>0</v>
      </c>
      <c r="BE20" s="8">
        <v>0</v>
      </c>
      <c r="BF20" s="8">
        <v>2</v>
      </c>
      <c r="BG20" s="8">
        <v>0</v>
      </c>
      <c r="BH20" s="8">
        <v>0</v>
      </c>
      <c r="BI20" s="8">
        <v>2</v>
      </c>
      <c r="BJ20" s="8">
        <v>0</v>
      </c>
      <c r="BK20" s="8">
        <v>0</v>
      </c>
      <c r="BL20" s="8">
        <v>0</v>
      </c>
      <c r="BM20" s="8">
        <v>0</v>
      </c>
      <c r="BN20" s="8">
        <v>0</v>
      </c>
      <c r="BO20" s="8">
        <v>0</v>
      </c>
      <c r="BP20" s="8">
        <v>0</v>
      </c>
      <c r="BQ20" s="8">
        <v>0</v>
      </c>
      <c r="BR20" s="8">
        <v>0</v>
      </c>
      <c r="BS20" s="8">
        <v>0</v>
      </c>
      <c r="BT20" s="8">
        <v>0</v>
      </c>
      <c r="BU20" s="8">
        <v>0</v>
      </c>
      <c r="BV20" s="8">
        <v>3</v>
      </c>
      <c r="BW20" s="8">
        <v>3</v>
      </c>
      <c r="BX20" s="8">
        <v>1</v>
      </c>
      <c r="BY20" s="8">
        <v>0</v>
      </c>
      <c r="BZ20" s="8">
        <v>1</v>
      </c>
      <c r="CA20" s="265">
        <v>3</v>
      </c>
      <c r="CB20" s="265">
        <v>5</v>
      </c>
      <c r="CC20" s="265">
        <v>8</v>
      </c>
      <c r="CD20" s="265">
        <v>4</v>
      </c>
      <c r="CE20" s="265">
        <v>8</v>
      </c>
      <c r="CF20" s="265">
        <v>12</v>
      </c>
    </row>
    <row r="21" spans="1:84">
      <c r="A21" s="4" t="s">
        <v>788</v>
      </c>
      <c r="B21" s="265">
        <v>0</v>
      </c>
      <c r="C21" s="265">
        <v>0</v>
      </c>
      <c r="D21" s="265">
        <v>3</v>
      </c>
      <c r="E21" s="265">
        <v>0</v>
      </c>
      <c r="F21" s="265">
        <v>3</v>
      </c>
      <c r="G21" s="265">
        <v>0</v>
      </c>
      <c r="H21" s="265">
        <v>0</v>
      </c>
      <c r="I21" s="265">
        <v>7</v>
      </c>
      <c r="J21" s="265">
        <v>0</v>
      </c>
      <c r="K21" s="265">
        <v>0</v>
      </c>
      <c r="L21" s="265">
        <v>0</v>
      </c>
      <c r="M21" s="265">
        <v>10</v>
      </c>
      <c r="N21" s="265">
        <v>80</v>
      </c>
      <c r="O21" s="8">
        <v>0</v>
      </c>
      <c r="P21" s="8">
        <v>0</v>
      </c>
      <c r="Q21" s="265">
        <v>0</v>
      </c>
      <c r="R21" s="265">
        <v>0</v>
      </c>
      <c r="S21" s="8">
        <v>0</v>
      </c>
      <c r="T21" s="8">
        <v>0</v>
      </c>
      <c r="U21" s="8">
        <v>0</v>
      </c>
      <c r="V21" s="8">
        <v>0</v>
      </c>
      <c r="W21" s="8">
        <v>0</v>
      </c>
      <c r="X21" s="8">
        <v>0</v>
      </c>
      <c r="Y21" s="8">
        <v>0</v>
      </c>
      <c r="Z21" s="8">
        <v>0</v>
      </c>
      <c r="AA21" s="8">
        <v>0</v>
      </c>
      <c r="AB21" s="8">
        <v>1</v>
      </c>
      <c r="AC21" s="8">
        <v>0</v>
      </c>
      <c r="AD21" s="8">
        <v>0</v>
      </c>
      <c r="AE21" s="8">
        <v>0</v>
      </c>
      <c r="AF21" s="8">
        <v>0</v>
      </c>
      <c r="AG21" s="8">
        <v>0</v>
      </c>
      <c r="AH21" s="8">
        <v>0</v>
      </c>
      <c r="AI21" s="8">
        <v>0</v>
      </c>
      <c r="AJ21" s="8">
        <v>2</v>
      </c>
      <c r="AK21" s="8">
        <v>0</v>
      </c>
      <c r="AL21" s="8">
        <v>2</v>
      </c>
      <c r="AM21" s="8">
        <v>0</v>
      </c>
      <c r="AN21" s="8">
        <v>0</v>
      </c>
      <c r="AO21" s="8">
        <v>0</v>
      </c>
      <c r="AP21" s="8">
        <v>1</v>
      </c>
      <c r="AQ21" s="8">
        <v>0</v>
      </c>
      <c r="AR21" s="8">
        <v>1</v>
      </c>
      <c r="AS21" s="8">
        <v>0</v>
      </c>
      <c r="AT21" s="8">
        <v>0</v>
      </c>
      <c r="AU21" s="8">
        <v>0</v>
      </c>
      <c r="AV21" s="8">
        <v>0</v>
      </c>
      <c r="AW21" s="8">
        <v>0</v>
      </c>
      <c r="AX21" s="8">
        <v>0</v>
      </c>
      <c r="AY21" s="8">
        <v>2</v>
      </c>
      <c r="AZ21" s="8">
        <v>0</v>
      </c>
      <c r="BA21" s="8">
        <v>2</v>
      </c>
      <c r="BB21" s="265">
        <v>2</v>
      </c>
      <c r="BC21" s="265">
        <v>2</v>
      </c>
      <c r="BD21" s="8">
        <v>4</v>
      </c>
      <c r="BE21" s="8">
        <v>1</v>
      </c>
      <c r="BF21" s="8">
        <v>0</v>
      </c>
      <c r="BG21" s="8">
        <v>3</v>
      </c>
      <c r="BH21" s="8">
        <v>2</v>
      </c>
      <c r="BI21" s="8">
        <v>5</v>
      </c>
      <c r="BJ21" s="8">
        <v>1</v>
      </c>
      <c r="BK21" s="8">
        <v>0</v>
      </c>
      <c r="BL21" s="8">
        <v>0</v>
      </c>
      <c r="BM21" s="8">
        <v>0</v>
      </c>
      <c r="BN21" s="8">
        <v>0</v>
      </c>
      <c r="BO21" s="8">
        <v>1</v>
      </c>
      <c r="BP21" s="8">
        <v>0</v>
      </c>
      <c r="BQ21" s="8">
        <v>1</v>
      </c>
      <c r="BR21" s="8">
        <v>0</v>
      </c>
      <c r="BS21" s="8">
        <v>0</v>
      </c>
      <c r="BT21" s="8">
        <v>0</v>
      </c>
      <c r="BU21" s="8">
        <v>1</v>
      </c>
      <c r="BV21" s="8">
        <v>1</v>
      </c>
      <c r="BW21" s="8">
        <v>2</v>
      </c>
      <c r="BX21" s="8">
        <v>0</v>
      </c>
      <c r="BY21" s="8">
        <v>0</v>
      </c>
      <c r="BZ21" s="8">
        <v>0</v>
      </c>
      <c r="CA21" s="265">
        <v>1</v>
      </c>
      <c r="CB21" s="265">
        <v>1</v>
      </c>
      <c r="CC21" s="265">
        <v>2</v>
      </c>
      <c r="CD21" s="265">
        <v>2</v>
      </c>
      <c r="CE21" s="265">
        <v>2</v>
      </c>
      <c r="CF21" s="265">
        <v>4</v>
      </c>
    </row>
    <row r="22" spans="1:84">
      <c r="A22" s="4" t="s">
        <v>120</v>
      </c>
      <c r="B22" s="265">
        <v>20</v>
      </c>
      <c r="C22" s="265">
        <v>0</v>
      </c>
      <c r="D22" s="265">
        <v>23</v>
      </c>
      <c r="E22" s="265">
        <v>11</v>
      </c>
      <c r="F22" s="265">
        <v>35</v>
      </c>
      <c r="G22" s="265">
        <v>21</v>
      </c>
      <c r="H22" s="265">
        <v>35</v>
      </c>
      <c r="I22" s="265">
        <v>57</v>
      </c>
      <c r="J22" s="265">
        <v>13</v>
      </c>
      <c r="K22" s="265">
        <v>1</v>
      </c>
      <c r="L22" s="265">
        <v>9</v>
      </c>
      <c r="M22" s="265">
        <v>272</v>
      </c>
      <c r="N22" s="265">
        <v>840</v>
      </c>
      <c r="O22" s="8">
        <v>3</v>
      </c>
      <c r="P22" s="8">
        <v>4</v>
      </c>
      <c r="Q22" s="265">
        <v>2</v>
      </c>
      <c r="R22" s="265">
        <v>3</v>
      </c>
      <c r="S22" s="8">
        <v>4</v>
      </c>
      <c r="T22" s="8">
        <v>7</v>
      </c>
      <c r="U22" s="8">
        <v>10</v>
      </c>
      <c r="V22" s="8">
        <v>2</v>
      </c>
      <c r="W22" s="8">
        <v>12</v>
      </c>
      <c r="X22" s="8">
        <v>6</v>
      </c>
      <c r="Y22" s="8">
        <v>4</v>
      </c>
      <c r="Z22" s="8">
        <v>6</v>
      </c>
      <c r="AA22" s="8">
        <v>13</v>
      </c>
      <c r="AB22" s="8">
        <v>26</v>
      </c>
      <c r="AC22" s="8">
        <v>11</v>
      </c>
      <c r="AD22" s="8">
        <v>7</v>
      </c>
      <c r="AE22" s="8">
        <v>8</v>
      </c>
      <c r="AF22" s="8">
        <v>15</v>
      </c>
      <c r="AG22" s="8">
        <v>0</v>
      </c>
      <c r="AH22" s="8">
        <v>9</v>
      </c>
      <c r="AI22" s="8">
        <v>9</v>
      </c>
      <c r="AJ22" s="8">
        <v>3</v>
      </c>
      <c r="AK22" s="8">
        <v>6</v>
      </c>
      <c r="AL22" s="8">
        <v>9</v>
      </c>
      <c r="AM22" s="8">
        <v>9</v>
      </c>
      <c r="AN22" s="8">
        <v>11</v>
      </c>
      <c r="AO22" s="8">
        <v>20</v>
      </c>
      <c r="AP22" s="8">
        <v>2</v>
      </c>
      <c r="AQ22" s="8">
        <v>17</v>
      </c>
      <c r="AR22" s="8">
        <v>19</v>
      </c>
      <c r="AS22" s="8">
        <v>5</v>
      </c>
      <c r="AT22" s="8">
        <v>4</v>
      </c>
      <c r="AU22" s="8">
        <v>3</v>
      </c>
      <c r="AV22" s="8">
        <v>4</v>
      </c>
      <c r="AW22" s="8">
        <v>3</v>
      </c>
      <c r="AX22" s="8">
        <v>10</v>
      </c>
      <c r="AY22" s="8">
        <v>10</v>
      </c>
      <c r="AZ22" s="8">
        <v>2</v>
      </c>
      <c r="BA22" s="8">
        <v>12</v>
      </c>
      <c r="BB22" s="265">
        <v>2</v>
      </c>
      <c r="BC22" s="265">
        <v>21</v>
      </c>
      <c r="BD22" s="8">
        <v>23</v>
      </c>
      <c r="BE22" s="8">
        <v>13</v>
      </c>
      <c r="BF22" s="8">
        <v>9</v>
      </c>
      <c r="BG22" s="8">
        <v>15</v>
      </c>
      <c r="BH22" s="8">
        <v>7</v>
      </c>
      <c r="BI22" s="8">
        <v>31</v>
      </c>
      <c r="BJ22" s="8">
        <v>28</v>
      </c>
      <c r="BK22" s="8">
        <v>0</v>
      </c>
      <c r="BL22" s="8">
        <v>0</v>
      </c>
      <c r="BM22" s="8">
        <v>0</v>
      </c>
      <c r="BN22" s="8">
        <v>7</v>
      </c>
      <c r="BO22" s="8">
        <v>14</v>
      </c>
      <c r="BP22" s="8">
        <v>10</v>
      </c>
      <c r="BQ22" s="8">
        <v>23</v>
      </c>
      <c r="BR22" s="8">
        <v>24</v>
      </c>
      <c r="BS22" s="8">
        <v>20</v>
      </c>
      <c r="BT22" s="8">
        <v>43</v>
      </c>
      <c r="BU22" s="8">
        <v>5</v>
      </c>
      <c r="BV22" s="8">
        <v>100</v>
      </c>
      <c r="BW22" s="8">
        <v>105</v>
      </c>
      <c r="BX22" s="8">
        <v>13</v>
      </c>
      <c r="BY22" s="8">
        <v>77</v>
      </c>
      <c r="BZ22" s="8">
        <v>90</v>
      </c>
      <c r="CA22" s="265">
        <v>77</v>
      </c>
      <c r="CB22" s="265">
        <v>116</v>
      </c>
      <c r="CC22" s="265">
        <v>193</v>
      </c>
      <c r="CD22" s="265">
        <v>95</v>
      </c>
      <c r="CE22" s="265">
        <v>293</v>
      </c>
      <c r="CF22" s="265">
        <v>388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7619A-E75B-FB45-8D38-295D2C6E3C68}">
  <dimension ref="A1:Y1523"/>
  <sheetViews>
    <sheetView topLeftCell="J715" zoomScale="109" workbookViewId="0">
      <selection activeCell="P741" sqref="A1:XFD1048576"/>
    </sheetView>
  </sheetViews>
  <sheetFormatPr baseColWidth="10" defaultRowHeight="16"/>
  <sheetData>
    <row r="1" spans="1:25">
      <c r="A1" t="s">
        <v>0</v>
      </c>
      <c r="B1" t="s">
        <v>1</v>
      </c>
      <c r="C1" t="s">
        <v>2</v>
      </c>
      <c r="D1" t="s">
        <v>3</v>
      </c>
      <c r="E1" t="s">
        <v>4</v>
      </c>
      <c r="F1" t="s">
        <v>337</v>
      </c>
      <c r="G1" t="s">
        <v>428</v>
      </c>
      <c r="H1" t="s">
        <v>429</v>
      </c>
      <c r="I1" t="s">
        <v>596</v>
      </c>
      <c r="J1" t="s">
        <v>430</v>
      </c>
      <c r="K1" t="s">
        <v>597</v>
      </c>
      <c r="L1" t="s">
        <v>598</v>
      </c>
      <c r="M1" t="s">
        <v>431</v>
      </c>
      <c r="N1" t="s">
        <v>193</v>
      </c>
      <c r="O1" t="s">
        <v>194</v>
      </c>
      <c r="P1" t="s">
        <v>184</v>
      </c>
      <c r="Q1" t="s">
        <v>185</v>
      </c>
      <c r="R1" t="s">
        <v>186</v>
      </c>
      <c r="S1" t="s">
        <v>187</v>
      </c>
      <c r="T1" t="s">
        <v>189</v>
      </c>
      <c r="U1" t="s">
        <v>188</v>
      </c>
      <c r="V1" t="s">
        <v>7</v>
      </c>
      <c r="W1" t="s">
        <v>8</v>
      </c>
      <c r="X1" t="s">
        <v>599</v>
      </c>
      <c r="Y1" t="s">
        <v>463</v>
      </c>
    </row>
    <row r="2" spans="1:25">
      <c r="A2" t="s">
        <v>693</v>
      </c>
      <c r="B2">
        <v>0</v>
      </c>
      <c r="C2">
        <v>18.591882417000001</v>
      </c>
      <c r="D2" t="s">
        <v>687</v>
      </c>
      <c r="E2">
        <v>1</v>
      </c>
      <c r="I2" t="s">
        <v>440</v>
      </c>
      <c r="M2" t="s">
        <v>626</v>
      </c>
      <c r="Y2" t="s">
        <v>544</v>
      </c>
    </row>
    <row r="3" spans="1:25">
      <c r="A3" t="s">
        <v>693</v>
      </c>
      <c r="B3">
        <v>0.898376401996829</v>
      </c>
      <c r="C3">
        <v>20</v>
      </c>
      <c r="D3" t="s">
        <v>743</v>
      </c>
      <c r="E3">
        <v>1</v>
      </c>
      <c r="I3" t="s">
        <v>442</v>
      </c>
      <c r="M3" t="s">
        <v>604</v>
      </c>
      <c r="Y3" t="s">
        <v>544</v>
      </c>
    </row>
    <row r="4" spans="1:25">
      <c r="A4" t="s">
        <v>693</v>
      </c>
      <c r="B4">
        <v>3.6980751636562501</v>
      </c>
      <c r="C4">
        <v>20</v>
      </c>
      <c r="D4" t="s">
        <v>636</v>
      </c>
      <c r="E4">
        <v>1</v>
      </c>
      <c r="I4" t="s">
        <v>442</v>
      </c>
      <c r="M4" t="s">
        <v>604</v>
      </c>
      <c r="Y4" t="s">
        <v>544</v>
      </c>
    </row>
    <row r="5" spans="1:25">
      <c r="A5" t="s">
        <v>693</v>
      </c>
      <c r="B5">
        <v>5.3948258829862903</v>
      </c>
      <c r="C5">
        <v>20</v>
      </c>
      <c r="D5" t="s">
        <v>637</v>
      </c>
      <c r="E5">
        <v>1</v>
      </c>
      <c r="H5" t="s">
        <v>621</v>
      </c>
      <c r="I5" t="s">
        <v>440</v>
      </c>
      <c r="M5" t="s">
        <v>604</v>
      </c>
      <c r="Y5" t="s">
        <v>544</v>
      </c>
    </row>
    <row r="6" spans="1:25">
      <c r="A6" t="s">
        <v>693</v>
      </c>
      <c r="B6">
        <v>5.4353928610000004</v>
      </c>
      <c r="C6">
        <v>23.6634762773303</v>
      </c>
      <c r="D6" t="s">
        <v>18</v>
      </c>
      <c r="E6">
        <v>1</v>
      </c>
      <c r="Y6" t="s">
        <v>544</v>
      </c>
    </row>
    <row r="7" spans="1:25">
      <c r="A7" t="s">
        <v>693</v>
      </c>
      <c r="B7">
        <v>8.4353928610000004</v>
      </c>
      <c r="C7">
        <v>1</v>
      </c>
      <c r="D7" t="s">
        <v>26</v>
      </c>
      <c r="E7">
        <v>1</v>
      </c>
      <c r="Y7" t="s">
        <v>544</v>
      </c>
    </row>
    <row r="8" spans="1:25">
      <c r="A8" t="s">
        <v>693</v>
      </c>
      <c r="B8">
        <v>8.4353928610000004</v>
      </c>
      <c r="C8">
        <v>32.159442340330003</v>
      </c>
      <c r="D8" t="s">
        <v>19</v>
      </c>
      <c r="E8">
        <v>1</v>
      </c>
      <c r="Y8" t="s">
        <v>544</v>
      </c>
    </row>
    <row r="9" spans="1:25">
      <c r="A9" t="s">
        <v>693</v>
      </c>
      <c r="B9">
        <v>11.198473089658499</v>
      </c>
      <c r="C9">
        <v>20</v>
      </c>
      <c r="D9" t="s">
        <v>638</v>
      </c>
      <c r="E9">
        <v>1</v>
      </c>
      <c r="I9" t="s">
        <v>439</v>
      </c>
      <c r="M9" t="s">
        <v>605</v>
      </c>
      <c r="Y9" t="s">
        <v>544</v>
      </c>
    </row>
    <row r="10" spans="1:25">
      <c r="A10" t="s">
        <v>693</v>
      </c>
      <c r="B10">
        <v>15.098265025995</v>
      </c>
      <c r="C10">
        <v>14.000604112335299</v>
      </c>
      <c r="D10" t="s">
        <v>121</v>
      </c>
      <c r="E10">
        <v>1</v>
      </c>
      <c r="P10" t="s">
        <v>30</v>
      </c>
      <c r="R10" t="s">
        <v>23</v>
      </c>
      <c r="Y10" t="s">
        <v>544</v>
      </c>
    </row>
    <row r="11" spans="1:25">
      <c r="A11" t="s">
        <v>693</v>
      </c>
      <c r="B11">
        <v>20.525650192000001</v>
      </c>
      <c r="C11">
        <v>20</v>
      </c>
      <c r="D11" t="s">
        <v>136</v>
      </c>
      <c r="E11">
        <v>1</v>
      </c>
      <c r="Y11" t="s">
        <v>544</v>
      </c>
    </row>
    <row r="12" spans="1:25">
      <c r="A12" t="s">
        <v>693</v>
      </c>
      <c r="B12">
        <v>20.682252253000001</v>
      </c>
      <c r="C12">
        <v>20</v>
      </c>
      <c r="D12" t="s">
        <v>770</v>
      </c>
      <c r="E12">
        <v>1</v>
      </c>
      <c r="J12" t="s">
        <v>335</v>
      </c>
      <c r="M12" t="s">
        <v>615</v>
      </c>
      <c r="Y12" t="s">
        <v>544</v>
      </c>
    </row>
    <row r="13" spans="1:25">
      <c r="A13" t="s">
        <v>693</v>
      </c>
      <c r="B13">
        <v>22.098869138330301</v>
      </c>
      <c r="C13">
        <v>17</v>
      </c>
      <c r="D13" t="s">
        <v>40</v>
      </c>
      <c r="E13">
        <v>1</v>
      </c>
      <c r="U13" t="s">
        <v>28</v>
      </c>
      <c r="Y13" t="s">
        <v>544</v>
      </c>
    </row>
    <row r="14" spans="1:25">
      <c r="A14" t="s">
        <v>693</v>
      </c>
      <c r="B14">
        <v>24.498406230999102</v>
      </c>
      <c r="C14">
        <v>20</v>
      </c>
      <c r="D14" t="s">
        <v>45</v>
      </c>
      <c r="E14">
        <v>1</v>
      </c>
      <c r="N14">
        <v>92</v>
      </c>
      <c r="O14">
        <v>30</v>
      </c>
      <c r="Q14" t="s">
        <v>713</v>
      </c>
      <c r="Y14" t="s">
        <v>544</v>
      </c>
    </row>
    <row r="15" spans="1:25">
      <c r="A15" t="s">
        <v>693</v>
      </c>
      <c r="B15">
        <v>24.498914803330901</v>
      </c>
      <c r="C15">
        <v>23.299906269334599</v>
      </c>
      <c r="D15" t="s">
        <v>136</v>
      </c>
      <c r="E15">
        <v>2</v>
      </c>
      <c r="Y15" t="s">
        <v>544</v>
      </c>
    </row>
    <row r="16" spans="1:25">
      <c r="A16" t="s">
        <v>693</v>
      </c>
      <c r="B16">
        <v>26.098869138330301</v>
      </c>
      <c r="C16">
        <v>14.495966062999599</v>
      </c>
      <c r="D16" t="s">
        <v>9</v>
      </c>
      <c r="E16">
        <v>1</v>
      </c>
      <c r="Y16" t="s">
        <v>544</v>
      </c>
    </row>
    <row r="17" spans="1:25">
      <c r="A17" t="s">
        <v>693</v>
      </c>
      <c r="B17">
        <v>30.094746919329499</v>
      </c>
      <c r="C17">
        <v>20</v>
      </c>
      <c r="D17" t="s">
        <v>638</v>
      </c>
      <c r="E17">
        <v>2</v>
      </c>
      <c r="G17" t="s">
        <v>448</v>
      </c>
      <c r="Y17" t="s">
        <v>544</v>
      </c>
    </row>
    <row r="18" spans="1:25">
      <c r="A18" t="s">
        <v>693</v>
      </c>
      <c r="B18">
        <v>40.59483520133</v>
      </c>
      <c r="C18">
        <v>22.3996180860007</v>
      </c>
      <c r="D18" t="s">
        <v>10</v>
      </c>
      <c r="E18">
        <v>1</v>
      </c>
      <c r="Y18" t="s">
        <v>544</v>
      </c>
    </row>
    <row r="19" spans="1:25">
      <c r="A19" t="s">
        <v>693</v>
      </c>
      <c r="B19">
        <v>53.999362893339097</v>
      </c>
      <c r="C19">
        <v>20</v>
      </c>
      <c r="D19" t="s">
        <v>743</v>
      </c>
      <c r="E19">
        <v>2</v>
      </c>
      <c r="I19" t="s">
        <v>633</v>
      </c>
      <c r="M19" t="s">
        <v>626</v>
      </c>
      <c r="Y19" t="s">
        <v>544</v>
      </c>
    </row>
    <row r="20" spans="1:25">
      <c r="A20" t="s">
        <v>693</v>
      </c>
      <c r="B20">
        <v>55.5970198519923</v>
      </c>
      <c r="C20">
        <v>20</v>
      </c>
      <c r="D20" t="s">
        <v>638</v>
      </c>
      <c r="E20">
        <v>3</v>
      </c>
      <c r="I20" t="s">
        <v>439</v>
      </c>
      <c r="M20" t="s">
        <v>604</v>
      </c>
      <c r="Y20" t="s">
        <v>544</v>
      </c>
    </row>
    <row r="21" spans="1:25">
      <c r="A21" t="s">
        <v>693</v>
      </c>
      <c r="B21">
        <v>55.9944532873307</v>
      </c>
      <c r="C21">
        <v>17</v>
      </c>
      <c r="D21" t="s">
        <v>6</v>
      </c>
      <c r="E21">
        <v>1</v>
      </c>
      <c r="T21" t="s">
        <v>25</v>
      </c>
      <c r="Y21" t="s">
        <v>544</v>
      </c>
    </row>
    <row r="22" spans="1:25">
      <c r="A22" t="s">
        <v>693</v>
      </c>
      <c r="B22">
        <v>56.998406484986099</v>
      </c>
      <c r="C22">
        <v>20</v>
      </c>
      <c r="D22" t="s">
        <v>774</v>
      </c>
      <c r="E22">
        <v>1</v>
      </c>
      <c r="H22" t="s">
        <v>445</v>
      </c>
      <c r="I22" t="s">
        <v>440</v>
      </c>
      <c r="M22" t="s">
        <v>604</v>
      </c>
      <c r="Y22" t="s">
        <v>544</v>
      </c>
    </row>
    <row r="23" spans="1:25">
      <c r="A23" t="s">
        <v>693</v>
      </c>
      <c r="B23">
        <v>59.9944532873307</v>
      </c>
      <c r="C23">
        <v>30.004637853333499</v>
      </c>
      <c r="D23" t="s">
        <v>18</v>
      </c>
      <c r="E23">
        <v>2</v>
      </c>
      <c r="Y23" t="s">
        <v>544</v>
      </c>
    </row>
    <row r="24" spans="1:25">
      <c r="A24" t="s">
        <v>693</v>
      </c>
      <c r="B24">
        <v>60.5979756696645</v>
      </c>
      <c r="C24">
        <v>29.401115470999699</v>
      </c>
      <c r="D24" t="s">
        <v>121</v>
      </c>
      <c r="E24">
        <v>2</v>
      </c>
      <c r="P24" t="s">
        <v>29</v>
      </c>
      <c r="R24" t="s">
        <v>20</v>
      </c>
      <c r="Y24" t="s">
        <v>544</v>
      </c>
    </row>
    <row r="25" spans="1:25">
      <c r="A25" t="s">
        <v>693</v>
      </c>
      <c r="B25">
        <v>61.898374038996401</v>
      </c>
      <c r="C25">
        <v>20</v>
      </c>
      <c r="D25" t="s">
        <v>743</v>
      </c>
      <c r="E25">
        <v>3</v>
      </c>
      <c r="H25" t="s">
        <v>5</v>
      </c>
      <c r="I25" t="s">
        <v>442</v>
      </c>
      <c r="M25" t="s">
        <v>622</v>
      </c>
      <c r="Y25" t="s">
        <v>544</v>
      </c>
    </row>
    <row r="26" spans="1:25">
      <c r="A26" t="s">
        <v>693</v>
      </c>
      <c r="B26">
        <v>62.9944532873307</v>
      </c>
      <c r="C26">
        <v>121.50450682333199</v>
      </c>
      <c r="D26" t="s">
        <v>19</v>
      </c>
      <c r="E26">
        <v>2</v>
      </c>
      <c r="Y26" t="s">
        <v>544</v>
      </c>
    </row>
    <row r="27" spans="1:25">
      <c r="A27" t="s">
        <v>693</v>
      </c>
      <c r="B27">
        <v>66.3987798189861</v>
      </c>
      <c r="C27">
        <v>20</v>
      </c>
      <c r="D27" t="s">
        <v>777</v>
      </c>
      <c r="E27">
        <v>1</v>
      </c>
      <c r="H27" t="s">
        <v>621</v>
      </c>
      <c r="I27" t="s">
        <v>442</v>
      </c>
      <c r="M27" t="s">
        <v>604</v>
      </c>
      <c r="Y27" t="s">
        <v>544</v>
      </c>
    </row>
    <row r="28" spans="1:25">
      <c r="A28" t="s">
        <v>693</v>
      </c>
      <c r="B28">
        <v>68.595663919000003</v>
      </c>
      <c r="C28">
        <v>20</v>
      </c>
      <c r="D28" t="s">
        <v>774</v>
      </c>
      <c r="E28">
        <v>2</v>
      </c>
      <c r="H28" t="s">
        <v>445</v>
      </c>
      <c r="M28" t="s">
        <v>739</v>
      </c>
      <c r="Y28" t="s">
        <v>544</v>
      </c>
    </row>
    <row r="29" spans="1:25">
      <c r="A29" t="s">
        <v>693</v>
      </c>
      <c r="B29">
        <v>70.333976836000005</v>
      </c>
      <c r="C29">
        <v>20</v>
      </c>
      <c r="D29" t="s">
        <v>777</v>
      </c>
      <c r="E29">
        <v>2</v>
      </c>
      <c r="J29" t="s">
        <v>608</v>
      </c>
      <c r="K29" t="s">
        <v>444</v>
      </c>
      <c r="M29" t="s">
        <v>615</v>
      </c>
      <c r="Y29" t="s">
        <v>544</v>
      </c>
    </row>
    <row r="30" spans="1:25">
      <c r="A30" t="s">
        <v>693</v>
      </c>
      <c r="B30">
        <v>73.997789542665302</v>
      </c>
      <c r="C30">
        <v>20</v>
      </c>
      <c r="D30" t="s">
        <v>783</v>
      </c>
      <c r="E30">
        <v>1</v>
      </c>
      <c r="H30" t="s">
        <v>621</v>
      </c>
      <c r="I30" t="s">
        <v>440</v>
      </c>
      <c r="M30" t="s">
        <v>604</v>
      </c>
      <c r="Y30" t="s">
        <v>544</v>
      </c>
    </row>
    <row r="31" spans="1:25">
      <c r="A31" t="s">
        <v>693</v>
      </c>
      <c r="B31">
        <v>76.265476214000003</v>
      </c>
      <c r="C31">
        <v>20</v>
      </c>
      <c r="D31" t="s">
        <v>743</v>
      </c>
      <c r="E31">
        <v>4</v>
      </c>
      <c r="I31" t="s">
        <v>439</v>
      </c>
      <c r="M31" t="s">
        <v>605</v>
      </c>
      <c r="Y31" t="s">
        <v>544</v>
      </c>
    </row>
    <row r="32" spans="1:25">
      <c r="A32" t="s">
        <v>693</v>
      </c>
      <c r="B32">
        <v>82.999091140664305</v>
      </c>
      <c r="C32">
        <v>17</v>
      </c>
      <c r="D32" t="s">
        <v>40</v>
      </c>
      <c r="E32">
        <v>2</v>
      </c>
      <c r="U32" t="s">
        <v>14</v>
      </c>
      <c r="Y32" t="s">
        <v>544</v>
      </c>
    </row>
    <row r="33" spans="1:25">
      <c r="A33" t="s">
        <v>693</v>
      </c>
      <c r="B33">
        <v>86.999091140664305</v>
      </c>
      <c r="C33">
        <v>7.1988266353374897</v>
      </c>
      <c r="D33" t="s">
        <v>9</v>
      </c>
      <c r="E33">
        <v>2</v>
      </c>
      <c r="Y33" t="s">
        <v>544</v>
      </c>
    </row>
    <row r="34" spans="1:25">
      <c r="A34" t="s">
        <v>693</v>
      </c>
      <c r="B34">
        <v>87.197917776001802</v>
      </c>
      <c r="C34">
        <v>17</v>
      </c>
      <c r="D34" t="s">
        <v>27</v>
      </c>
      <c r="E34">
        <v>1</v>
      </c>
      <c r="U34" t="s">
        <v>195</v>
      </c>
      <c r="Y34" t="s">
        <v>544</v>
      </c>
    </row>
    <row r="35" spans="1:25">
      <c r="A35" t="s">
        <v>693</v>
      </c>
      <c r="B35">
        <v>87.598910124339298</v>
      </c>
      <c r="C35">
        <v>20</v>
      </c>
      <c r="D35" t="s">
        <v>637</v>
      </c>
      <c r="E35">
        <v>2</v>
      </c>
      <c r="I35" t="s">
        <v>442</v>
      </c>
      <c r="M35" t="s">
        <v>438</v>
      </c>
      <c r="Y35" t="s">
        <v>544</v>
      </c>
    </row>
    <row r="36" spans="1:25">
      <c r="A36" t="s">
        <v>693</v>
      </c>
      <c r="B36">
        <v>87.698242665985106</v>
      </c>
      <c r="C36">
        <v>20</v>
      </c>
      <c r="D36" t="s">
        <v>770</v>
      </c>
      <c r="E36">
        <v>2</v>
      </c>
      <c r="I36" t="s">
        <v>671</v>
      </c>
      <c r="M36" t="s">
        <v>661</v>
      </c>
      <c r="Y36" t="s">
        <v>544</v>
      </c>
    </row>
    <row r="37" spans="1:25">
      <c r="A37" t="s">
        <v>693</v>
      </c>
      <c r="B37">
        <v>89.797980456663794</v>
      </c>
      <c r="C37">
        <v>20</v>
      </c>
      <c r="D37" t="s">
        <v>636</v>
      </c>
      <c r="E37">
        <v>2</v>
      </c>
      <c r="I37" t="s">
        <v>679</v>
      </c>
      <c r="M37" t="s">
        <v>661</v>
      </c>
      <c r="Y37" t="s">
        <v>544</v>
      </c>
    </row>
    <row r="38" spans="1:25">
      <c r="A38" t="s">
        <v>693</v>
      </c>
      <c r="B38">
        <v>91.197917776001802</v>
      </c>
      <c r="C38">
        <v>31.900468996994501</v>
      </c>
      <c r="D38" t="s">
        <v>18</v>
      </c>
      <c r="E38">
        <v>3</v>
      </c>
      <c r="Y38" t="s">
        <v>544</v>
      </c>
    </row>
    <row r="39" spans="1:25">
      <c r="A39" t="s">
        <v>693</v>
      </c>
      <c r="B39">
        <v>91.598410205663598</v>
      </c>
      <c r="C39">
        <v>20</v>
      </c>
      <c r="D39" t="s">
        <v>637</v>
      </c>
      <c r="E39">
        <v>3</v>
      </c>
      <c r="I39" t="s">
        <v>442</v>
      </c>
      <c r="M39" t="s">
        <v>604</v>
      </c>
      <c r="Y39" t="s">
        <v>544</v>
      </c>
    </row>
    <row r="40" spans="1:25">
      <c r="A40" t="s">
        <v>693</v>
      </c>
      <c r="B40">
        <v>95.498274506335605</v>
      </c>
      <c r="C40">
        <v>20</v>
      </c>
      <c r="D40" t="s">
        <v>770</v>
      </c>
      <c r="E40">
        <v>3</v>
      </c>
      <c r="H40" t="s">
        <v>450</v>
      </c>
      <c r="I40" t="s">
        <v>660</v>
      </c>
      <c r="M40" t="s">
        <v>661</v>
      </c>
      <c r="Y40" t="s">
        <v>544</v>
      </c>
    </row>
    <row r="41" spans="1:25">
      <c r="A41" t="s">
        <v>693</v>
      </c>
      <c r="B41">
        <v>96.298568011998498</v>
      </c>
      <c r="C41">
        <v>26.799818760997798</v>
      </c>
      <c r="D41" t="s">
        <v>32</v>
      </c>
      <c r="E41">
        <v>1</v>
      </c>
      <c r="R41" t="s">
        <v>20</v>
      </c>
      <c r="Y41" t="s">
        <v>544</v>
      </c>
    </row>
    <row r="42" spans="1:25">
      <c r="A42" t="s">
        <v>693</v>
      </c>
      <c r="B42">
        <v>97.898024630668303</v>
      </c>
      <c r="C42">
        <v>20</v>
      </c>
      <c r="D42" t="s">
        <v>777</v>
      </c>
      <c r="E42">
        <v>3</v>
      </c>
      <c r="H42" t="s">
        <v>748</v>
      </c>
      <c r="I42" t="s">
        <v>440</v>
      </c>
      <c r="M42" t="s">
        <v>604</v>
      </c>
      <c r="Y42" t="s">
        <v>544</v>
      </c>
    </row>
    <row r="43" spans="1:25">
      <c r="A43" t="s">
        <v>693</v>
      </c>
      <c r="B43">
        <v>105.696992794998</v>
      </c>
      <c r="C43">
        <v>20</v>
      </c>
      <c r="D43" t="s">
        <v>774</v>
      </c>
      <c r="E43">
        <v>3</v>
      </c>
      <c r="I43" t="s">
        <v>439</v>
      </c>
      <c r="M43" t="s">
        <v>604</v>
      </c>
      <c r="Y43" t="s">
        <v>544</v>
      </c>
    </row>
    <row r="44" spans="1:25">
      <c r="A44" t="s">
        <v>693</v>
      </c>
      <c r="B44">
        <v>109.69715941666</v>
      </c>
      <c r="C44">
        <v>20</v>
      </c>
      <c r="D44" t="s">
        <v>783</v>
      </c>
      <c r="E44">
        <v>2</v>
      </c>
      <c r="H44" t="s">
        <v>621</v>
      </c>
      <c r="I44" t="s">
        <v>53</v>
      </c>
      <c r="M44" t="s">
        <v>605</v>
      </c>
      <c r="Y44" t="s">
        <v>544</v>
      </c>
    </row>
    <row r="45" spans="1:25">
      <c r="A45" t="s">
        <v>693</v>
      </c>
      <c r="B45">
        <v>116.09838677299599</v>
      </c>
      <c r="C45">
        <v>16.999999999999901</v>
      </c>
      <c r="D45" t="s">
        <v>40</v>
      </c>
      <c r="E45">
        <v>3</v>
      </c>
      <c r="U45" t="s">
        <v>14</v>
      </c>
      <c r="Y45" t="s">
        <v>544</v>
      </c>
    </row>
    <row r="46" spans="1:25">
      <c r="A46" t="s">
        <v>693</v>
      </c>
      <c r="B46">
        <v>120.09838677299599</v>
      </c>
      <c r="C46">
        <v>17.599406593667702</v>
      </c>
      <c r="D46" t="s">
        <v>9</v>
      </c>
      <c r="E46">
        <v>3</v>
      </c>
      <c r="Y46" t="s">
        <v>544</v>
      </c>
    </row>
    <row r="47" spans="1:25">
      <c r="A47" t="s">
        <v>693</v>
      </c>
      <c r="B47">
        <v>120.218443748</v>
      </c>
      <c r="C47">
        <v>20</v>
      </c>
      <c r="D47" t="s">
        <v>636</v>
      </c>
      <c r="E47">
        <v>3</v>
      </c>
      <c r="K47" t="s">
        <v>48</v>
      </c>
      <c r="M47" t="s">
        <v>615</v>
      </c>
      <c r="Y47" t="s">
        <v>544</v>
      </c>
    </row>
    <row r="48" spans="1:25">
      <c r="A48" t="s">
        <v>693</v>
      </c>
      <c r="B48">
        <v>122.89812566767</v>
      </c>
      <c r="C48">
        <v>20</v>
      </c>
      <c r="D48" t="s">
        <v>777</v>
      </c>
      <c r="E48">
        <v>4</v>
      </c>
      <c r="I48" t="s">
        <v>439</v>
      </c>
      <c r="M48" t="s">
        <v>443</v>
      </c>
      <c r="Y48" t="s">
        <v>544</v>
      </c>
    </row>
    <row r="49" spans="1:25">
      <c r="A49" t="s">
        <v>693</v>
      </c>
      <c r="B49">
        <v>127.577496623999</v>
      </c>
      <c r="C49">
        <v>20</v>
      </c>
      <c r="D49" t="s">
        <v>636</v>
      </c>
      <c r="E49">
        <v>4</v>
      </c>
      <c r="I49" t="s">
        <v>442</v>
      </c>
      <c r="J49" t="s">
        <v>608</v>
      </c>
      <c r="K49" t="s">
        <v>432</v>
      </c>
      <c r="M49" t="s">
        <v>618</v>
      </c>
      <c r="Y49" t="s">
        <v>544</v>
      </c>
    </row>
    <row r="50" spans="1:25">
      <c r="A50" t="s">
        <v>693</v>
      </c>
      <c r="B50">
        <v>130.697793366664</v>
      </c>
      <c r="C50">
        <v>17</v>
      </c>
      <c r="D50" t="s">
        <v>27</v>
      </c>
      <c r="E50">
        <v>2</v>
      </c>
      <c r="U50" t="s">
        <v>600</v>
      </c>
      <c r="Y50" t="s">
        <v>544</v>
      </c>
    </row>
    <row r="51" spans="1:25">
      <c r="A51" t="s">
        <v>693</v>
      </c>
      <c r="B51">
        <v>134.697793366664</v>
      </c>
      <c r="C51">
        <v>47.4006142356696</v>
      </c>
      <c r="D51" t="s">
        <v>18</v>
      </c>
      <c r="E51">
        <v>4</v>
      </c>
      <c r="Y51" t="s">
        <v>544</v>
      </c>
    </row>
    <row r="52" spans="1:25">
      <c r="A52" t="s">
        <v>693</v>
      </c>
      <c r="B52">
        <v>134.997583110996</v>
      </c>
      <c r="C52">
        <v>20</v>
      </c>
      <c r="D52" t="s">
        <v>637</v>
      </c>
      <c r="E52">
        <v>4</v>
      </c>
      <c r="I52" t="s">
        <v>440</v>
      </c>
      <c r="M52" t="s">
        <v>604</v>
      </c>
      <c r="Y52" t="s">
        <v>544</v>
      </c>
    </row>
    <row r="53" spans="1:25">
      <c r="A53" t="s">
        <v>693</v>
      </c>
      <c r="B53">
        <v>136.09721172800101</v>
      </c>
      <c r="C53">
        <v>39.401382854332397</v>
      </c>
      <c r="D53" t="s">
        <v>32</v>
      </c>
      <c r="E53">
        <v>2</v>
      </c>
      <c r="R53" t="s">
        <v>23</v>
      </c>
      <c r="Y53" t="s">
        <v>544</v>
      </c>
    </row>
    <row r="54" spans="1:25">
      <c r="A54" t="s">
        <v>693</v>
      </c>
      <c r="B54">
        <v>137.596364788995</v>
      </c>
      <c r="C54">
        <v>20</v>
      </c>
      <c r="D54" t="s">
        <v>638</v>
      </c>
      <c r="E54">
        <v>4</v>
      </c>
      <c r="I54" t="s">
        <v>442</v>
      </c>
      <c r="M54" t="s">
        <v>604</v>
      </c>
      <c r="Y54" t="s">
        <v>544</v>
      </c>
    </row>
    <row r="55" spans="1:25">
      <c r="A55" t="s">
        <v>693</v>
      </c>
      <c r="B55">
        <v>150.19908149899001</v>
      </c>
      <c r="C55">
        <v>20</v>
      </c>
      <c r="D55" t="s">
        <v>743</v>
      </c>
      <c r="E55">
        <v>5</v>
      </c>
      <c r="I55" t="s">
        <v>442</v>
      </c>
      <c r="M55" t="s">
        <v>604</v>
      </c>
      <c r="Y55" t="s">
        <v>544</v>
      </c>
    </row>
    <row r="56" spans="1:25">
      <c r="A56" t="s">
        <v>693</v>
      </c>
      <c r="B56">
        <v>152.397873884327</v>
      </c>
      <c r="C56">
        <v>20</v>
      </c>
      <c r="D56" t="s">
        <v>777</v>
      </c>
      <c r="E56">
        <v>5</v>
      </c>
      <c r="H56" t="s">
        <v>621</v>
      </c>
      <c r="I56" t="s">
        <v>678</v>
      </c>
      <c r="M56" t="s">
        <v>661</v>
      </c>
      <c r="Y56" t="s">
        <v>544</v>
      </c>
    </row>
    <row r="57" spans="1:25">
      <c r="A57" t="s">
        <v>693</v>
      </c>
      <c r="B57">
        <v>157.797309341664</v>
      </c>
      <c r="C57">
        <v>20</v>
      </c>
      <c r="D57" t="s">
        <v>743</v>
      </c>
      <c r="E57">
        <v>6</v>
      </c>
      <c r="I57" t="s">
        <v>678</v>
      </c>
      <c r="M57" t="s">
        <v>661</v>
      </c>
      <c r="Y57" t="s">
        <v>544</v>
      </c>
    </row>
    <row r="58" spans="1:25">
      <c r="A58" t="s">
        <v>693</v>
      </c>
      <c r="B58">
        <v>160.89717305065801</v>
      </c>
      <c r="C58">
        <v>20</v>
      </c>
      <c r="D58" t="s">
        <v>638</v>
      </c>
      <c r="E58">
        <v>5</v>
      </c>
      <c r="I58" t="s">
        <v>439</v>
      </c>
      <c r="M58" t="s">
        <v>604</v>
      </c>
      <c r="Y58" t="s">
        <v>544</v>
      </c>
    </row>
    <row r="59" spans="1:25">
      <c r="A59" t="s">
        <v>693</v>
      </c>
      <c r="B59">
        <v>167.39881219466301</v>
      </c>
      <c r="C59">
        <v>20</v>
      </c>
      <c r="D59" t="s">
        <v>45</v>
      </c>
      <c r="E59">
        <v>2</v>
      </c>
      <c r="N59">
        <v>81</v>
      </c>
      <c r="O59">
        <v>46</v>
      </c>
      <c r="Q59" t="s">
        <v>601</v>
      </c>
      <c r="Y59" t="s">
        <v>544</v>
      </c>
    </row>
    <row r="60" spans="1:25">
      <c r="A60" t="s">
        <v>693</v>
      </c>
      <c r="B60">
        <v>169.363116666</v>
      </c>
      <c r="C60">
        <v>20</v>
      </c>
      <c r="D60" t="s">
        <v>685</v>
      </c>
      <c r="E60">
        <v>1</v>
      </c>
      <c r="H60" t="s">
        <v>445</v>
      </c>
      <c r="I60" t="s">
        <v>442</v>
      </c>
      <c r="M60" t="s">
        <v>689</v>
      </c>
      <c r="Y60" t="s">
        <v>544</v>
      </c>
    </row>
    <row r="61" spans="1:25">
      <c r="A61" t="s">
        <v>693</v>
      </c>
      <c r="B61">
        <v>172.69783480566801</v>
      </c>
      <c r="C61">
        <v>9.4005727966655801</v>
      </c>
      <c r="D61" t="s">
        <v>121</v>
      </c>
      <c r="E61">
        <v>3</v>
      </c>
      <c r="P61" t="s">
        <v>30</v>
      </c>
      <c r="R61" t="s">
        <v>23</v>
      </c>
      <c r="Y61" t="s">
        <v>544</v>
      </c>
    </row>
    <row r="62" spans="1:25">
      <c r="A62" t="s">
        <v>693</v>
      </c>
      <c r="B62">
        <v>173.19941195866099</v>
      </c>
      <c r="C62">
        <v>20</v>
      </c>
      <c r="D62" t="s">
        <v>638</v>
      </c>
      <c r="E62">
        <v>6</v>
      </c>
      <c r="G62" t="s">
        <v>763</v>
      </c>
      <c r="Y62" t="s">
        <v>544</v>
      </c>
    </row>
    <row r="63" spans="1:25">
      <c r="A63" t="s">
        <v>693</v>
      </c>
      <c r="B63">
        <v>175.098407602333</v>
      </c>
      <c r="C63">
        <v>17</v>
      </c>
      <c r="D63" t="s">
        <v>40</v>
      </c>
      <c r="E63">
        <v>4</v>
      </c>
      <c r="U63" t="s">
        <v>28</v>
      </c>
      <c r="Y63" t="s">
        <v>544</v>
      </c>
    </row>
    <row r="64" spans="1:25">
      <c r="A64" t="s">
        <v>693</v>
      </c>
      <c r="B64">
        <v>179.098407602333</v>
      </c>
      <c r="C64">
        <v>5.4005525083294597</v>
      </c>
      <c r="D64" t="s">
        <v>9</v>
      </c>
      <c r="E64">
        <v>4</v>
      </c>
      <c r="Y64" t="s">
        <v>544</v>
      </c>
    </row>
    <row r="65" spans="1:25">
      <c r="A65" t="s">
        <v>693</v>
      </c>
      <c r="B65">
        <v>184.49896011066301</v>
      </c>
      <c r="C65">
        <v>16.800476766334501</v>
      </c>
      <c r="D65" t="s">
        <v>10</v>
      </c>
      <c r="E65">
        <v>2</v>
      </c>
      <c r="Y65" t="s">
        <v>544</v>
      </c>
    </row>
    <row r="66" spans="1:25">
      <c r="A66" t="s">
        <v>693</v>
      </c>
      <c r="B66">
        <v>192.69821119232401</v>
      </c>
      <c r="C66">
        <v>20</v>
      </c>
      <c r="D66" t="s">
        <v>743</v>
      </c>
      <c r="E66">
        <v>7</v>
      </c>
      <c r="I66" t="s">
        <v>682</v>
      </c>
      <c r="M66" t="s">
        <v>626</v>
      </c>
      <c r="Y66" t="s">
        <v>544</v>
      </c>
    </row>
    <row r="67" spans="1:25">
      <c r="A67" t="s">
        <v>693</v>
      </c>
      <c r="B67">
        <v>194.29943687699699</v>
      </c>
      <c r="C67">
        <v>17</v>
      </c>
      <c r="D67" t="s">
        <v>6</v>
      </c>
      <c r="E67">
        <v>2</v>
      </c>
      <c r="T67" t="s">
        <v>25</v>
      </c>
      <c r="Y67" t="s">
        <v>544</v>
      </c>
    </row>
    <row r="68" spans="1:25">
      <c r="A68" t="s">
        <v>693</v>
      </c>
      <c r="B68">
        <v>194.497992235331</v>
      </c>
      <c r="C68">
        <v>20</v>
      </c>
      <c r="D68" t="s">
        <v>638</v>
      </c>
      <c r="E68">
        <v>7</v>
      </c>
      <c r="I68" t="s">
        <v>447</v>
      </c>
      <c r="M68" t="s">
        <v>604</v>
      </c>
      <c r="Y68" t="s">
        <v>544</v>
      </c>
    </row>
    <row r="69" spans="1:25">
      <c r="A69" t="s">
        <v>693</v>
      </c>
      <c r="B69">
        <v>198.10369242100001</v>
      </c>
      <c r="C69">
        <v>15.293964774658599</v>
      </c>
      <c r="D69" t="s">
        <v>121</v>
      </c>
      <c r="E69">
        <v>4</v>
      </c>
      <c r="P69" t="s">
        <v>31</v>
      </c>
      <c r="R69" t="s">
        <v>23</v>
      </c>
      <c r="Y69" t="s">
        <v>544</v>
      </c>
    </row>
    <row r="70" spans="1:25">
      <c r="A70" t="s">
        <v>693</v>
      </c>
      <c r="B70">
        <v>198.29943687699699</v>
      </c>
      <c r="C70">
        <v>4.1992700743313902</v>
      </c>
      <c r="D70" t="s">
        <v>18</v>
      </c>
      <c r="E70">
        <v>5</v>
      </c>
      <c r="Y70" t="s">
        <v>544</v>
      </c>
    </row>
    <row r="71" spans="1:25">
      <c r="A71" t="s">
        <v>693</v>
      </c>
      <c r="B71">
        <v>199.49870695132901</v>
      </c>
      <c r="C71">
        <v>3.6049854696708201</v>
      </c>
      <c r="D71" t="s">
        <v>9</v>
      </c>
      <c r="E71">
        <v>5</v>
      </c>
      <c r="Y71" t="s">
        <v>544</v>
      </c>
    </row>
    <row r="72" spans="1:25">
      <c r="A72" t="s">
        <v>693</v>
      </c>
      <c r="B72">
        <v>200.10369242100001</v>
      </c>
      <c r="C72">
        <v>13.293964774658599</v>
      </c>
      <c r="D72" t="s">
        <v>18</v>
      </c>
      <c r="E72">
        <v>6</v>
      </c>
      <c r="Y72" t="s">
        <v>544</v>
      </c>
    </row>
    <row r="73" spans="1:25">
      <c r="A73" t="s">
        <v>693</v>
      </c>
      <c r="B73">
        <v>200.91939041800001</v>
      </c>
      <c r="C73">
        <v>20</v>
      </c>
      <c r="D73" t="s">
        <v>687</v>
      </c>
      <c r="E73">
        <v>2</v>
      </c>
      <c r="I73" t="s">
        <v>439</v>
      </c>
      <c r="M73" t="s">
        <v>605</v>
      </c>
      <c r="Y73" t="s">
        <v>544</v>
      </c>
    </row>
    <row r="74" spans="1:25">
      <c r="A74" t="s">
        <v>693</v>
      </c>
      <c r="B74">
        <v>201.29943687699699</v>
      </c>
      <c r="C74">
        <v>26.6991712103315</v>
      </c>
      <c r="D74" t="s">
        <v>19</v>
      </c>
      <c r="E74">
        <v>3</v>
      </c>
      <c r="Y74" t="s">
        <v>544</v>
      </c>
    </row>
    <row r="75" spans="1:25">
      <c r="A75" t="s">
        <v>693</v>
      </c>
      <c r="B75">
        <v>205.89758311399299</v>
      </c>
      <c r="C75">
        <v>20</v>
      </c>
      <c r="D75" t="s">
        <v>743</v>
      </c>
      <c r="E75">
        <v>8</v>
      </c>
      <c r="I75" t="s">
        <v>439</v>
      </c>
      <c r="K75" t="s">
        <v>441</v>
      </c>
      <c r="M75" t="s">
        <v>744</v>
      </c>
      <c r="Y75" t="s">
        <v>544</v>
      </c>
    </row>
    <row r="76" spans="1:25">
      <c r="A76" t="s">
        <v>693</v>
      </c>
      <c r="B76">
        <v>206.39765719565801</v>
      </c>
      <c r="C76">
        <v>17</v>
      </c>
      <c r="D76" t="s">
        <v>40</v>
      </c>
      <c r="E76">
        <v>5</v>
      </c>
      <c r="U76" t="s">
        <v>195</v>
      </c>
      <c r="Y76" t="s">
        <v>544</v>
      </c>
    </row>
    <row r="77" spans="1:25">
      <c r="A77" t="s">
        <v>693</v>
      </c>
      <c r="B77">
        <v>209.69923678866701</v>
      </c>
      <c r="C77">
        <v>20</v>
      </c>
      <c r="D77" t="s">
        <v>795</v>
      </c>
      <c r="E77">
        <v>1</v>
      </c>
      <c r="H77" t="s">
        <v>621</v>
      </c>
      <c r="I77" t="s">
        <v>439</v>
      </c>
      <c r="M77" t="s">
        <v>689</v>
      </c>
      <c r="Y77" t="s">
        <v>544</v>
      </c>
    </row>
    <row r="78" spans="1:25">
      <c r="A78" t="s">
        <v>693</v>
      </c>
      <c r="B78">
        <v>210.094179626998</v>
      </c>
      <c r="C78">
        <v>17</v>
      </c>
      <c r="D78" t="s">
        <v>27</v>
      </c>
      <c r="E78">
        <v>3</v>
      </c>
      <c r="U78" t="s">
        <v>28</v>
      </c>
      <c r="Y78" t="s">
        <v>544</v>
      </c>
    </row>
    <row r="79" spans="1:25">
      <c r="A79" t="s">
        <v>693</v>
      </c>
      <c r="B79">
        <v>210.39765719565801</v>
      </c>
      <c r="C79">
        <v>6.6965224313397798</v>
      </c>
      <c r="D79" t="s">
        <v>9</v>
      </c>
      <c r="E79">
        <v>6</v>
      </c>
      <c r="Y79" t="s">
        <v>544</v>
      </c>
    </row>
    <row r="80" spans="1:25">
      <c r="A80" t="s">
        <v>693</v>
      </c>
      <c r="B80">
        <v>212.598975391332</v>
      </c>
      <c r="C80">
        <v>10.7728405846679</v>
      </c>
      <c r="D80" t="s">
        <v>32</v>
      </c>
      <c r="E80">
        <v>3</v>
      </c>
      <c r="R80" t="s">
        <v>23</v>
      </c>
      <c r="Y80" t="s">
        <v>544</v>
      </c>
    </row>
    <row r="81" spans="1:25">
      <c r="A81" t="s">
        <v>693</v>
      </c>
      <c r="B81">
        <v>214.094179626998</v>
      </c>
      <c r="C81">
        <v>9.2776363490015896</v>
      </c>
      <c r="D81" t="s">
        <v>18</v>
      </c>
      <c r="E81">
        <v>7</v>
      </c>
      <c r="Y81" t="s">
        <v>544</v>
      </c>
    </row>
    <row r="82" spans="1:25">
      <c r="A82" t="s">
        <v>693</v>
      </c>
      <c r="B82">
        <v>215.89353512000301</v>
      </c>
      <c r="C82">
        <v>20</v>
      </c>
      <c r="D82" t="s">
        <v>637</v>
      </c>
      <c r="E82">
        <v>5</v>
      </c>
      <c r="J82" t="s">
        <v>49</v>
      </c>
      <c r="Y82" t="s">
        <v>544</v>
      </c>
    </row>
    <row r="83" spans="1:25">
      <c r="A83" t="s">
        <v>693</v>
      </c>
      <c r="B83">
        <v>216.37181597599999</v>
      </c>
      <c r="C83">
        <v>17</v>
      </c>
      <c r="D83" t="s">
        <v>40</v>
      </c>
      <c r="E83">
        <v>6</v>
      </c>
      <c r="U83" t="s">
        <v>14</v>
      </c>
      <c r="Y83" t="s">
        <v>544</v>
      </c>
    </row>
    <row r="84" spans="1:25">
      <c r="A84" t="s">
        <v>693</v>
      </c>
      <c r="B84">
        <v>220.37181597599999</v>
      </c>
      <c r="C84">
        <v>7.6267921113293298</v>
      </c>
      <c r="D84" t="s">
        <v>9</v>
      </c>
      <c r="E84">
        <v>7</v>
      </c>
      <c r="Y84" t="s">
        <v>544</v>
      </c>
    </row>
    <row r="85" spans="1:25">
      <c r="A85" t="s">
        <v>693</v>
      </c>
      <c r="B85">
        <v>222.29298816299999</v>
      </c>
      <c r="C85">
        <v>20</v>
      </c>
      <c r="D85" t="s">
        <v>687</v>
      </c>
      <c r="E85">
        <v>3</v>
      </c>
      <c r="I85" t="s">
        <v>440</v>
      </c>
      <c r="M85" t="s">
        <v>605</v>
      </c>
      <c r="Y85" t="s">
        <v>544</v>
      </c>
    </row>
    <row r="86" spans="1:25">
      <c r="A86" t="s">
        <v>693</v>
      </c>
      <c r="B86">
        <v>223.89910969266401</v>
      </c>
      <c r="C86">
        <v>17</v>
      </c>
      <c r="D86" t="s">
        <v>6</v>
      </c>
      <c r="E86">
        <v>3</v>
      </c>
      <c r="T86" t="s">
        <v>21</v>
      </c>
      <c r="U86" t="s">
        <v>14</v>
      </c>
      <c r="Y86" t="s">
        <v>544</v>
      </c>
    </row>
    <row r="87" spans="1:25">
      <c r="A87" t="s">
        <v>693</v>
      </c>
      <c r="B87">
        <v>227.89910969266401</v>
      </c>
      <c r="C87">
        <v>7.4997435796655001</v>
      </c>
      <c r="D87" t="s">
        <v>18</v>
      </c>
      <c r="E87">
        <v>8</v>
      </c>
      <c r="Y87" t="s">
        <v>544</v>
      </c>
    </row>
    <row r="88" spans="1:25">
      <c r="A88" t="s">
        <v>693</v>
      </c>
      <c r="B88">
        <v>227.99860808732899</v>
      </c>
      <c r="C88">
        <v>2.9005016053347101</v>
      </c>
      <c r="D88" t="s">
        <v>10</v>
      </c>
      <c r="E88">
        <v>3</v>
      </c>
      <c r="Y88" t="s">
        <v>544</v>
      </c>
    </row>
    <row r="89" spans="1:25">
      <c r="A89" t="s">
        <v>693</v>
      </c>
      <c r="B89">
        <v>230.89910969266401</v>
      </c>
      <c r="C89">
        <v>4.4997435796655001</v>
      </c>
      <c r="D89" t="s">
        <v>19</v>
      </c>
      <c r="E89">
        <v>4</v>
      </c>
      <c r="Y89" t="s">
        <v>544</v>
      </c>
    </row>
    <row r="90" spans="1:25">
      <c r="A90" t="s">
        <v>693</v>
      </c>
      <c r="B90">
        <v>235.39885327232901</v>
      </c>
      <c r="C90">
        <v>12.0989166356625</v>
      </c>
      <c r="D90" t="s">
        <v>10</v>
      </c>
      <c r="E90">
        <v>4</v>
      </c>
      <c r="Y90" t="s">
        <v>544</v>
      </c>
    </row>
    <row r="91" spans="1:25">
      <c r="A91" t="s">
        <v>693</v>
      </c>
      <c r="B91">
        <v>240.49776990799199</v>
      </c>
      <c r="C91">
        <v>17</v>
      </c>
      <c r="D91" t="s">
        <v>11</v>
      </c>
      <c r="E91">
        <v>1</v>
      </c>
      <c r="T91" t="s">
        <v>12</v>
      </c>
      <c r="Y91" t="s">
        <v>544</v>
      </c>
    </row>
    <row r="92" spans="1:25">
      <c r="A92" t="s">
        <v>693</v>
      </c>
      <c r="B92">
        <v>241.19255466600001</v>
      </c>
      <c r="C92">
        <v>19.999999999999901</v>
      </c>
      <c r="D92" t="s">
        <v>743</v>
      </c>
      <c r="E92">
        <v>9</v>
      </c>
      <c r="I92" t="s">
        <v>439</v>
      </c>
      <c r="M92" t="s">
        <v>443</v>
      </c>
      <c r="Y92" t="s">
        <v>544</v>
      </c>
    </row>
    <row r="93" spans="1:25">
      <c r="A93" t="s">
        <v>693</v>
      </c>
      <c r="B93">
        <v>242.98751191700001</v>
      </c>
      <c r="C93">
        <v>20</v>
      </c>
      <c r="D93" t="s">
        <v>687</v>
      </c>
      <c r="E93">
        <v>4</v>
      </c>
      <c r="K93" t="s">
        <v>48</v>
      </c>
      <c r="M93" t="s">
        <v>613</v>
      </c>
      <c r="Y93" t="s">
        <v>544</v>
      </c>
    </row>
    <row r="94" spans="1:25">
      <c r="A94" t="s">
        <v>693</v>
      </c>
      <c r="B94">
        <v>244.49776990799199</v>
      </c>
      <c r="C94">
        <v>18.9000878226758</v>
      </c>
      <c r="D94" t="s">
        <v>9</v>
      </c>
      <c r="E94">
        <v>8</v>
      </c>
      <c r="Y94" t="s">
        <v>544</v>
      </c>
    </row>
    <row r="95" spans="1:25">
      <c r="A95" t="s">
        <v>693</v>
      </c>
      <c r="B95">
        <v>246.999467706997</v>
      </c>
      <c r="C95">
        <v>20</v>
      </c>
      <c r="D95" t="s">
        <v>41</v>
      </c>
      <c r="E95">
        <v>1</v>
      </c>
      <c r="Y95" t="s">
        <v>544</v>
      </c>
    </row>
    <row r="96" spans="1:25">
      <c r="A96" t="s">
        <v>693</v>
      </c>
      <c r="B96">
        <v>247.49776990799199</v>
      </c>
      <c r="C96">
        <v>15.9000878226758</v>
      </c>
      <c r="D96" t="s">
        <v>19</v>
      </c>
      <c r="E96">
        <v>5</v>
      </c>
      <c r="Y96" t="s">
        <v>544</v>
      </c>
    </row>
    <row r="97" spans="1:25">
      <c r="A97" t="s">
        <v>693</v>
      </c>
      <c r="B97">
        <v>249.18823360799999</v>
      </c>
      <c r="C97">
        <v>20</v>
      </c>
      <c r="D97" t="s">
        <v>136</v>
      </c>
      <c r="E97">
        <v>3</v>
      </c>
      <c r="Y97" t="s">
        <v>544</v>
      </c>
    </row>
    <row r="98" spans="1:25">
      <c r="A98" t="s">
        <v>693</v>
      </c>
      <c r="B98">
        <v>252.79827587133499</v>
      </c>
      <c r="C98">
        <v>20</v>
      </c>
      <c r="D98" t="s">
        <v>777</v>
      </c>
      <c r="E98">
        <v>6</v>
      </c>
      <c r="J98" t="s">
        <v>335</v>
      </c>
      <c r="K98" t="s">
        <v>432</v>
      </c>
      <c r="M98" t="s">
        <v>623</v>
      </c>
      <c r="Y98" t="s">
        <v>544</v>
      </c>
    </row>
    <row r="99" spans="1:25">
      <c r="A99" t="s">
        <v>693</v>
      </c>
      <c r="B99">
        <v>263.397857730667</v>
      </c>
      <c r="C99">
        <v>17.093078526332</v>
      </c>
      <c r="D99" t="s">
        <v>10</v>
      </c>
      <c r="E99">
        <v>5</v>
      </c>
      <c r="Y99" t="s">
        <v>544</v>
      </c>
    </row>
    <row r="100" spans="1:25">
      <c r="A100" t="s">
        <v>693</v>
      </c>
      <c r="B100">
        <v>270.69720292964899</v>
      </c>
      <c r="C100">
        <v>20</v>
      </c>
      <c r="D100" t="s">
        <v>743</v>
      </c>
      <c r="E100">
        <v>10</v>
      </c>
      <c r="I100" t="s">
        <v>442</v>
      </c>
      <c r="M100" t="s">
        <v>438</v>
      </c>
      <c r="Y100" t="s">
        <v>544</v>
      </c>
    </row>
    <row r="101" spans="1:25">
      <c r="A101" t="s">
        <v>693</v>
      </c>
      <c r="B101">
        <v>273.19770095332899</v>
      </c>
      <c r="C101">
        <v>20</v>
      </c>
      <c r="D101" t="s">
        <v>638</v>
      </c>
      <c r="E101">
        <v>8</v>
      </c>
      <c r="I101" t="s">
        <v>439</v>
      </c>
      <c r="M101" t="s">
        <v>604</v>
      </c>
      <c r="Y101" t="s">
        <v>544</v>
      </c>
    </row>
    <row r="102" spans="1:25">
      <c r="A102" t="s">
        <v>693</v>
      </c>
      <c r="B102">
        <v>273.49093625699999</v>
      </c>
      <c r="C102">
        <v>17</v>
      </c>
      <c r="D102" t="s">
        <v>6</v>
      </c>
      <c r="E102">
        <v>4</v>
      </c>
      <c r="T102" t="s">
        <v>25</v>
      </c>
      <c r="Y102" t="s">
        <v>544</v>
      </c>
    </row>
    <row r="103" spans="1:25">
      <c r="A103" t="s">
        <v>693</v>
      </c>
      <c r="B103">
        <v>277.49093625699999</v>
      </c>
      <c r="C103">
        <v>62.956711124000002</v>
      </c>
      <c r="D103" t="s">
        <v>18</v>
      </c>
      <c r="E103">
        <v>9</v>
      </c>
      <c r="Y103" t="s">
        <v>544</v>
      </c>
    </row>
    <row r="104" spans="1:25">
      <c r="A104" t="s">
        <v>693</v>
      </c>
      <c r="B104">
        <v>277.99765995633499</v>
      </c>
      <c r="C104">
        <v>36.600660737328298</v>
      </c>
      <c r="D104" t="s">
        <v>121</v>
      </c>
      <c r="E104">
        <v>5</v>
      </c>
      <c r="R104" t="s">
        <v>20</v>
      </c>
      <c r="Y104" t="s">
        <v>544</v>
      </c>
    </row>
    <row r="105" spans="1:25">
      <c r="A105" t="s">
        <v>693</v>
      </c>
      <c r="B105">
        <v>280.49093625699999</v>
      </c>
      <c r="C105">
        <v>69.607711033670299</v>
      </c>
      <c r="D105" t="s">
        <v>19</v>
      </c>
      <c r="E105">
        <v>6</v>
      </c>
      <c r="Y105" t="s">
        <v>544</v>
      </c>
    </row>
    <row r="106" spans="1:25">
      <c r="A106" t="s">
        <v>693</v>
      </c>
      <c r="B106">
        <v>287.75844790500003</v>
      </c>
      <c r="C106">
        <v>20</v>
      </c>
      <c r="D106" t="s">
        <v>770</v>
      </c>
      <c r="E106">
        <v>4</v>
      </c>
      <c r="H106" t="s">
        <v>445</v>
      </c>
      <c r="I106" t="s">
        <v>442</v>
      </c>
      <c r="M106" t="s">
        <v>604</v>
      </c>
      <c r="Y106" t="s">
        <v>544</v>
      </c>
    </row>
    <row r="107" spans="1:25">
      <c r="A107" t="s">
        <v>693</v>
      </c>
      <c r="B107">
        <v>288.39808704899599</v>
      </c>
      <c r="C107">
        <v>20</v>
      </c>
      <c r="D107" t="s">
        <v>636</v>
      </c>
      <c r="E107">
        <v>5</v>
      </c>
      <c r="I107" t="s">
        <v>439</v>
      </c>
      <c r="M107" t="s">
        <v>604</v>
      </c>
      <c r="Y107" t="s">
        <v>544</v>
      </c>
    </row>
    <row r="108" spans="1:25">
      <c r="A108" t="s">
        <v>693</v>
      </c>
      <c r="B108">
        <v>292.69710840999801</v>
      </c>
      <c r="C108">
        <v>20</v>
      </c>
      <c r="D108" t="s">
        <v>687</v>
      </c>
      <c r="E108">
        <v>5</v>
      </c>
      <c r="H108" t="s">
        <v>445</v>
      </c>
      <c r="I108" t="s">
        <v>442</v>
      </c>
      <c r="M108" t="s">
        <v>604</v>
      </c>
      <c r="Y108" t="s">
        <v>544</v>
      </c>
    </row>
    <row r="109" spans="1:25">
      <c r="A109" t="s">
        <v>693</v>
      </c>
      <c r="B109">
        <v>295.09862816599298</v>
      </c>
      <c r="C109">
        <v>20</v>
      </c>
      <c r="D109" t="s">
        <v>637</v>
      </c>
      <c r="E109">
        <v>6</v>
      </c>
      <c r="H109" t="s">
        <v>621</v>
      </c>
      <c r="I109" t="s">
        <v>634</v>
      </c>
      <c r="M109" t="s">
        <v>605</v>
      </c>
      <c r="Y109" t="s">
        <v>544</v>
      </c>
    </row>
    <row r="110" spans="1:25">
      <c r="A110" t="s">
        <v>693</v>
      </c>
      <c r="B110">
        <v>299.49871450332301</v>
      </c>
      <c r="C110">
        <v>20</v>
      </c>
      <c r="D110" t="s">
        <v>774</v>
      </c>
      <c r="E110">
        <v>4</v>
      </c>
      <c r="K110" t="s">
        <v>444</v>
      </c>
      <c r="M110" t="s">
        <v>615</v>
      </c>
      <c r="Y110" t="s">
        <v>544</v>
      </c>
    </row>
    <row r="111" spans="1:25">
      <c r="A111" t="s">
        <v>693</v>
      </c>
      <c r="B111">
        <v>307.59832069366399</v>
      </c>
      <c r="C111">
        <v>17</v>
      </c>
      <c r="D111" t="s">
        <v>27</v>
      </c>
      <c r="E111">
        <v>4</v>
      </c>
      <c r="U111" t="s">
        <v>195</v>
      </c>
      <c r="Y111" t="s">
        <v>544</v>
      </c>
    </row>
    <row r="112" spans="1:25">
      <c r="A112" t="s">
        <v>693</v>
      </c>
      <c r="B112">
        <v>307.59836768831798</v>
      </c>
      <c r="C112">
        <v>20</v>
      </c>
      <c r="D112" t="s">
        <v>637</v>
      </c>
      <c r="E112">
        <v>7</v>
      </c>
      <c r="I112" t="s">
        <v>440</v>
      </c>
      <c r="M112" t="s">
        <v>438</v>
      </c>
      <c r="Y112" t="s">
        <v>544</v>
      </c>
    </row>
    <row r="113" spans="1:25">
      <c r="A113" t="s">
        <v>693</v>
      </c>
      <c r="B113">
        <v>308.19829407866501</v>
      </c>
      <c r="C113">
        <v>20</v>
      </c>
      <c r="D113" t="s">
        <v>636</v>
      </c>
      <c r="E113">
        <v>6</v>
      </c>
      <c r="I113" t="s">
        <v>440</v>
      </c>
      <c r="M113" t="s">
        <v>604</v>
      </c>
      <c r="Y113" t="s">
        <v>544</v>
      </c>
    </row>
    <row r="114" spans="1:25">
      <c r="A114" t="s">
        <v>693</v>
      </c>
      <c r="B114">
        <v>311.698449243656</v>
      </c>
      <c r="C114">
        <v>20</v>
      </c>
      <c r="D114" t="s">
        <v>638</v>
      </c>
      <c r="E114">
        <v>9</v>
      </c>
      <c r="I114" t="s">
        <v>439</v>
      </c>
      <c r="M114" t="s">
        <v>604</v>
      </c>
      <c r="Y114" t="s">
        <v>544</v>
      </c>
    </row>
    <row r="115" spans="1:25">
      <c r="A115" t="s">
        <v>693</v>
      </c>
      <c r="B115">
        <v>314.998694745997</v>
      </c>
      <c r="C115">
        <v>20</v>
      </c>
      <c r="D115" t="s">
        <v>770</v>
      </c>
      <c r="E115">
        <v>5</v>
      </c>
      <c r="H115" t="s">
        <v>445</v>
      </c>
      <c r="I115" t="s">
        <v>442</v>
      </c>
      <c r="M115" t="s">
        <v>604</v>
      </c>
      <c r="Y115" t="s">
        <v>544</v>
      </c>
    </row>
    <row r="116" spans="1:25">
      <c r="A116" t="s">
        <v>693</v>
      </c>
      <c r="B116">
        <v>316.19791595666402</v>
      </c>
      <c r="C116">
        <v>20</v>
      </c>
      <c r="D116" t="s">
        <v>636</v>
      </c>
      <c r="E116">
        <v>7</v>
      </c>
      <c r="H116" t="s">
        <v>748</v>
      </c>
      <c r="M116" t="s">
        <v>749</v>
      </c>
      <c r="Y116" t="s">
        <v>544</v>
      </c>
    </row>
    <row r="117" spans="1:25">
      <c r="A117" t="s">
        <v>693</v>
      </c>
      <c r="B117">
        <v>316.39819192966098</v>
      </c>
      <c r="C117">
        <v>15.200257654338699</v>
      </c>
      <c r="D117" t="s">
        <v>121</v>
      </c>
      <c r="E117">
        <v>6</v>
      </c>
      <c r="P117" t="s">
        <v>29</v>
      </c>
      <c r="R117" t="s">
        <v>20</v>
      </c>
      <c r="Y117" t="s">
        <v>544</v>
      </c>
    </row>
    <row r="118" spans="1:25">
      <c r="A118" t="s">
        <v>693</v>
      </c>
      <c r="B118">
        <v>326.59844958399998</v>
      </c>
      <c r="C118">
        <v>13.8491977969998</v>
      </c>
      <c r="D118" t="s">
        <v>32</v>
      </c>
      <c r="E118">
        <v>4</v>
      </c>
      <c r="R118" t="s">
        <v>23</v>
      </c>
      <c r="Y118" t="s">
        <v>544</v>
      </c>
    </row>
    <row r="119" spans="1:25">
      <c r="A119" t="s">
        <v>693</v>
      </c>
      <c r="B119">
        <v>332.99819536466703</v>
      </c>
      <c r="C119">
        <v>20</v>
      </c>
      <c r="D119" t="s">
        <v>45</v>
      </c>
      <c r="E119">
        <v>3</v>
      </c>
      <c r="N119">
        <v>93</v>
      </c>
      <c r="O119">
        <v>36</v>
      </c>
      <c r="Q119" t="s">
        <v>714</v>
      </c>
      <c r="Y119" t="s">
        <v>544</v>
      </c>
    </row>
    <row r="120" spans="1:25">
      <c r="A120" t="s">
        <v>693</v>
      </c>
      <c r="B120">
        <v>333.44764738100002</v>
      </c>
      <c r="C120">
        <v>17</v>
      </c>
      <c r="D120" t="s">
        <v>40</v>
      </c>
      <c r="E120">
        <v>7</v>
      </c>
      <c r="U120" t="s">
        <v>710</v>
      </c>
      <c r="Y120" t="s">
        <v>544</v>
      </c>
    </row>
    <row r="121" spans="1:25">
      <c r="A121" t="s">
        <v>693</v>
      </c>
      <c r="B121">
        <v>334.19902655832698</v>
      </c>
      <c r="C121">
        <v>20</v>
      </c>
      <c r="D121" t="s">
        <v>41</v>
      </c>
      <c r="E121">
        <v>2</v>
      </c>
      <c r="Y121" t="s">
        <v>544</v>
      </c>
    </row>
    <row r="122" spans="1:25">
      <c r="A122" t="s">
        <v>693</v>
      </c>
      <c r="B122">
        <v>335.69950880999397</v>
      </c>
      <c r="C122">
        <v>20</v>
      </c>
      <c r="D122" t="s">
        <v>136</v>
      </c>
      <c r="E122">
        <v>4</v>
      </c>
      <c r="Y122" t="s">
        <v>544</v>
      </c>
    </row>
    <row r="123" spans="1:25">
      <c r="A123" t="s">
        <v>693</v>
      </c>
      <c r="B123">
        <v>336.99850374732802</v>
      </c>
      <c r="C123">
        <v>20</v>
      </c>
      <c r="D123" t="s">
        <v>743</v>
      </c>
      <c r="E123">
        <v>11</v>
      </c>
      <c r="J123" t="s">
        <v>620</v>
      </c>
      <c r="Y123" t="s">
        <v>544</v>
      </c>
    </row>
    <row r="124" spans="1:25">
      <c r="A124" t="s">
        <v>693</v>
      </c>
      <c r="B124">
        <v>337.44764738100002</v>
      </c>
      <c r="C124">
        <v>12.650999909670301</v>
      </c>
      <c r="D124" t="s">
        <v>9</v>
      </c>
      <c r="E124">
        <v>9</v>
      </c>
      <c r="Y124" t="s">
        <v>544</v>
      </c>
    </row>
    <row r="125" spans="1:25">
      <c r="A125" t="s">
        <v>693</v>
      </c>
      <c r="B125">
        <v>339.29729183065098</v>
      </c>
      <c r="C125">
        <v>20</v>
      </c>
      <c r="D125" t="s">
        <v>638</v>
      </c>
      <c r="E125">
        <v>10</v>
      </c>
      <c r="G125" t="s">
        <v>764</v>
      </c>
      <c r="M125" t="s">
        <v>627</v>
      </c>
      <c r="Y125" t="s">
        <v>544</v>
      </c>
    </row>
    <row r="126" spans="1:25">
      <c r="A126" t="s">
        <v>693</v>
      </c>
      <c r="B126">
        <v>350.09864729066999</v>
      </c>
      <c r="C126">
        <v>28.399797203329602</v>
      </c>
      <c r="D126" t="s">
        <v>10</v>
      </c>
      <c r="E126">
        <v>6</v>
      </c>
      <c r="Y126" t="s">
        <v>544</v>
      </c>
    </row>
    <row r="127" spans="1:25">
      <c r="A127" t="s">
        <v>693</v>
      </c>
      <c r="B127">
        <v>369.09342529566601</v>
      </c>
      <c r="C127">
        <v>20</v>
      </c>
      <c r="D127" t="s">
        <v>45</v>
      </c>
      <c r="E127">
        <v>4</v>
      </c>
      <c r="N127">
        <v>75</v>
      </c>
      <c r="O127">
        <v>60</v>
      </c>
      <c r="Q127" t="s">
        <v>715</v>
      </c>
      <c r="Y127" t="s">
        <v>544</v>
      </c>
    </row>
    <row r="128" spans="1:25">
      <c r="A128" t="s">
        <v>693</v>
      </c>
      <c r="B128">
        <v>369.89845529166098</v>
      </c>
      <c r="C128">
        <v>20</v>
      </c>
      <c r="D128" t="s">
        <v>636</v>
      </c>
      <c r="E128">
        <v>8</v>
      </c>
      <c r="J128" t="s">
        <v>47</v>
      </c>
      <c r="Y128" t="s">
        <v>544</v>
      </c>
    </row>
    <row r="129" spans="1:25">
      <c r="A129" t="s">
        <v>693</v>
      </c>
      <c r="B129">
        <v>371.49844449400001</v>
      </c>
      <c r="C129">
        <v>17</v>
      </c>
      <c r="D129" t="s">
        <v>11</v>
      </c>
      <c r="E129">
        <v>2</v>
      </c>
      <c r="T129" t="s">
        <v>15</v>
      </c>
      <c r="Y129" t="s">
        <v>544</v>
      </c>
    </row>
    <row r="130" spans="1:25">
      <c r="A130" t="s">
        <v>693</v>
      </c>
      <c r="B130">
        <v>375.49844449400001</v>
      </c>
      <c r="C130">
        <v>12.799779410333899</v>
      </c>
      <c r="D130" t="s">
        <v>9</v>
      </c>
      <c r="E130">
        <v>10</v>
      </c>
      <c r="Y130" t="s">
        <v>544</v>
      </c>
    </row>
    <row r="131" spans="1:25">
      <c r="A131" t="s">
        <v>693</v>
      </c>
      <c r="B131">
        <v>377.09905890233398</v>
      </c>
      <c r="C131">
        <v>20</v>
      </c>
      <c r="D131" t="s">
        <v>685</v>
      </c>
      <c r="E131">
        <v>2</v>
      </c>
      <c r="J131" t="s">
        <v>55</v>
      </c>
      <c r="Y131" t="s">
        <v>544</v>
      </c>
    </row>
    <row r="132" spans="1:25">
      <c r="A132" t="s">
        <v>693</v>
      </c>
      <c r="B132">
        <v>378.49844449400001</v>
      </c>
      <c r="C132">
        <v>9.7997794103339899</v>
      </c>
      <c r="D132" t="s">
        <v>19</v>
      </c>
      <c r="E132">
        <v>7</v>
      </c>
      <c r="Y132" t="s">
        <v>544</v>
      </c>
    </row>
    <row r="133" spans="1:25">
      <c r="A133" t="s">
        <v>693</v>
      </c>
      <c r="B133">
        <v>388.29822390433401</v>
      </c>
      <c r="C133">
        <v>26.200162161335101</v>
      </c>
      <c r="D133" t="s">
        <v>10</v>
      </c>
      <c r="E133">
        <v>7</v>
      </c>
      <c r="Y133" t="s">
        <v>544</v>
      </c>
    </row>
    <row r="134" spans="1:25">
      <c r="A134" t="s">
        <v>693</v>
      </c>
      <c r="B134">
        <v>407.49838606566902</v>
      </c>
      <c r="C134">
        <v>17</v>
      </c>
      <c r="D134" t="s">
        <v>11</v>
      </c>
      <c r="E134">
        <v>3</v>
      </c>
      <c r="T134" t="s">
        <v>15</v>
      </c>
      <c r="Y134" t="s">
        <v>544</v>
      </c>
    </row>
    <row r="135" spans="1:25">
      <c r="A135" t="s">
        <v>693</v>
      </c>
      <c r="B135">
        <v>408.49843095567002</v>
      </c>
      <c r="C135">
        <v>20</v>
      </c>
      <c r="D135" t="s">
        <v>636</v>
      </c>
      <c r="E135">
        <v>9</v>
      </c>
      <c r="J135" t="s">
        <v>47</v>
      </c>
      <c r="Y135" t="s">
        <v>544</v>
      </c>
    </row>
    <row r="136" spans="1:25">
      <c r="A136" t="s">
        <v>693</v>
      </c>
      <c r="B136">
        <v>409.297960877001</v>
      </c>
      <c r="C136">
        <v>20</v>
      </c>
      <c r="D136" t="s">
        <v>46</v>
      </c>
      <c r="E136">
        <v>1</v>
      </c>
      <c r="R136" t="s">
        <v>23</v>
      </c>
      <c r="Y136" t="s">
        <v>544</v>
      </c>
    </row>
    <row r="137" spans="1:25">
      <c r="A137" t="s">
        <v>693</v>
      </c>
      <c r="B137">
        <v>411.197613769334</v>
      </c>
      <c r="C137">
        <v>20</v>
      </c>
      <c r="D137" t="s">
        <v>638</v>
      </c>
      <c r="E137">
        <v>11</v>
      </c>
      <c r="G137" t="s">
        <v>765</v>
      </c>
      <c r="I137" t="s">
        <v>439</v>
      </c>
      <c r="M137" t="s">
        <v>766</v>
      </c>
      <c r="Y137" t="s">
        <v>544</v>
      </c>
    </row>
    <row r="138" spans="1:25">
      <c r="A138" t="s">
        <v>693</v>
      </c>
      <c r="B138">
        <v>411.49838606566902</v>
      </c>
      <c r="C138">
        <v>10.100408472658099</v>
      </c>
      <c r="D138" t="s">
        <v>9</v>
      </c>
      <c r="E138">
        <v>11</v>
      </c>
      <c r="Y138" t="s">
        <v>544</v>
      </c>
    </row>
    <row r="139" spans="1:25">
      <c r="A139" t="s">
        <v>693</v>
      </c>
      <c r="B139">
        <v>414.49838606566902</v>
      </c>
      <c r="C139">
        <v>39.314414022330801</v>
      </c>
      <c r="D139" t="s">
        <v>19</v>
      </c>
      <c r="E139">
        <v>8</v>
      </c>
      <c r="Y139" t="s">
        <v>544</v>
      </c>
    </row>
    <row r="140" spans="1:25">
      <c r="A140" t="s">
        <v>693</v>
      </c>
      <c r="B140">
        <v>414.59879453832701</v>
      </c>
      <c r="C140">
        <v>17</v>
      </c>
      <c r="D140" t="s">
        <v>27</v>
      </c>
      <c r="E140">
        <v>5</v>
      </c>
      <c r="U140" t="s">
        <v>28</v>
      </c>
      <c r="Y140" t="s">
        <v>544</v>
      </c>
    </row>
    <row r="141" spans="1:25">
      <c r="A141" t="s">
        <v>693</v>
      </c>
      <c r="B141">
        <v>417.197562623659</v>
      </c>
      <c r="C141">
        <v>20</v>
      </c>
      <c r="D141" t="s">
        <v>637</v>
      </c>
      <c r="E141">
        <v>8</v>
      </c>
      <c r="H141" t="s">
        <v>621</v>
      </c>
      <c r="I141" t="s">
        <v>440</v>
      </c>
      <c r="M141" t="s">
        <v>604</v>
      </c>
      <c r="Y141" t="s">
        <v>544</v>
      </c>
    </row>
    <row r="142" spans="1:25">
      <c r="A142" t="s">
        <v>693</v>
      </c>
      <c r="B142">
        <v>418.59879453832701</v>
      </c>
      <c r="C142">
        <v>34.645474230672598</v>
      </c>
      <c r="D142" t="s">
        <v>18</v>
      </c>
      <c r="E142">
        <v>10</v>
      </c>
      <c r="Y142" t="s">
        <v>544</v>
      </c>
    </row>
    <row r="143" spans="1:25">
      <c r="A143" t="s">
        <v>693</v>
      </c>
      <c r="B143">
        <v>425.39887237266697</v>
      </c>
      <c r="C143">
        <v>20</v>
      </c>
      <c r="D143" t="s">
        <v>636</v>
      </c>
      <c r="E143">
        <v>10</v>
      </c>
      <c r="I143" t="s">
        <v>440</v>
      </c>
      <c r="M143" t="s">
        <v>604</v>
      </c>
      <c r="Y143" t="s">
        <v>544</v>
      </c>
    </row>
    <row r="144" spans="1:25">
      <c r="A144" t="s">
        <v>693</v>
      </c>
      <c r="B144">
        <v>432.09833833166698</v>
      </c>
      <c r="C144">
        <v>20</v>
      </c>
      <c r="D144" t="s">
        <v>638</v>
      </c>
      <c r="E144">
        <v>12</v>
      </c>
      <c r="I144" t="s">
        <v>442</v>
      </c>
      <c r="M144" t="s">
        <v>604</v>
      </c>
      <c r="Y144" t="s">
        <v>544</v>
      </c>
    </row>
    <row r="145" spans="1:25">
      <c r="A145" t="s">
        <v>693</v>
      </c>
      <c r="B145">
        <v>434.26109524899999</v>
      </c>
      <c r="C145">
        <v>20</v>
      </c>
      <c r="D145" t="s">
        <v>743</v>
      </c>
      <c r="E145">
        <v>12</v>
      </c>
      <c r="I145" t="s">
        <v>439</v>
      </c>
      <c r="M145" t="s">
        <v>604</v>
      </c>
      <c r="Y145" t="s">
        <v>544</v>
      </c>
    </row>
    <row r="146" spans="1:25">
      <c r="A146" t="s">
        <v>693</v>
      </c>
      <c r="B146">
        <v>434.49861789333102</v>
      </c>
      <c r="C146">
        <v>18.745650875668701</v>
      </c>
      <c r="D146" t="s">
        <v>121</v>
      </c>
      <c r="E146">
        <v>7</v>
      </c>
      <c r="P146" t="s">
        <v>30</v>
      </c>
      <c r="R146" t="s">
        <v>23</v>
      </c>
      <c r="Y146" t="s">
        <v>544</v>
      </c>
    </row>
    <row r="147" spans="1:25">
      <c r="A147" t="s">
        <v>693</v>
      </c>
      <c r="B147">
        <v>434.740608968</v>
      </c>
      <c r="C147">
        <v>20</v>
      </c>
      <c r="D147" t="s">
        <v>777</v>
      </c>
      <c r="E147">
        <v>7</v>
      </c>
      <c r="H147" t="s">
        <v>621</v>
      </c>
      <c r="I147" t="s">
        <v>440</v>
      </c>
      <c r="M147" t="s">
        <v>604</v>
      </c>
      <c r="Y147" t="s">
        <v>544</v>
      </c>
    </row>
    <row r="148" spans="1:25">
      <c r="A148" t="s">
        <v>693</v>
      </c>
      <c r="B148">
        <v>438.09825298999402</v>
      </c>
      <c r="C148">
        <v>20</v>
      </c>
      <c r="D148" t="s">
        <v>743</v>
      </c>
      <c r="E148">
        <v>13</v>
      </c>
      <c r="I148" t="s">
        <v>671</v>
      </c>
      <c r="M148" t="s">
        <v>745</v>
      </c>
      <c r="Y148" t="s">
        <v>544</v>
      </c>
    </row>
    <row r="149" spans="1:25">
      <c r="A149" t="s">
        <v>693</v>
      </c>
      <c r="B149">
        <v>439.99805315633398</v>
      </c>
      <c r="C149">
        <v>20</v>
      </c>
      <c r="D149" t="s">
        <v>638</v>
      </c>
      <c r="E149">
        <v>13</v>
      </c>
      <c r="I149" t="s">
        <v>442</v>
      </c>
      <c r="M149" t="s">
        <v>689</v>
      </c>
      <c r="Y149" t="s">
        <v>544</v>
      </c>
    </row>
    <row r="150" spans="1:25">
      <c r="A150" t="s">
        <v>693</v>
      </c>
      <c r="B150">
        <v>446.24426876899997</v>
      </c>
      <c r="C150">
        <v>17</v>
      </c>
      <c r="D150" t="s">
        <v>40</v>
      </c>
      <c r="E150">
        <v>8</v>
      </c>
      <c r="U150" t="s">
        <v>28</v>
      </c>
      <c r="Y150" t="s">
        <v>544</v>
      </c>
    </row>
    <row r="151" spans="1:25">
      <c r="A151" t="s">
        <v>693</v>
      </c>
      <c r="B151">
        <v>450.24426876899997</v>
      </c>
      <c r="C151">
        <v>3.5685313190000398</v>
      </c>
      <c r="D151" t="s">
        <v>9</v>
      </c>
      <c r="E151">
        <v>12</v>
      </c>
      <c r="Y151" t="s">
        <v>544</v>
      </c>
    </row>
    <row r="152" spans="1:25">
      <c r="A152" t="s">
        <v>693</v>
      </c>
      <c r="B152">
        <v>453.81280008800002</v>
      </c>
      <c r="C152">
        <v>19.5863815579999</v>
      </c>
      <c r="D152" t="s">
        <v>10</v>
      </c>
      <c r="E152">
        <v>8</v>
      </c>
      <c r="Y152" t="s">
        <v>544</v>
      </c>
    </row>
    <row r="153" spans="1:25">
      <c r="A153" t="s">
        <v>693</v>
      </c>
      <c r="B153">
        <v>462.79757891631999</v>
      </c>
      <c r="C153">
        <v>20</v>
      </c>
      <c r="D153" t="s">
        <v>743</v>
      </c>
      <c r="E153">
        <v>14</v>
      </c>
      <c r="I153" t="s">
        <v>442</v>
      </c>
      <c r="M153" t="s">
        <v>438</v>
      </c>
      <c r="Y153" t="s">
        <v>544</v>
      </c>
    </row>
    <row r="154" spans="1:25">
      <c r="A154" t="s">
        <v>693</v>
      </c>
      <c r="B154">
        <v>466.39918164599999</v>
      </c>
      <c r="C154">
        <v>17</v>
      </c>
      <c r="D154" t="s">
        <v>6</v>
      </c>
      <c r="E154">
        <v>5</v>
      </c>
      <c r="T154" t="s">
        <v>25</v>
      </c>
      <c r="Y154" t="s">
        <v>544</v>
      </c>
    </row>
    <row r="155" spans="1:25">
      <c r="A155" t="s">
        <v>693</v>
      </c>
      <c r="B155">
        <v>469.29815335066098</v>
      </c>
      <c r="C155">
        <v>27.101665819004399</v>
      </c>
      <c r="D155" t="s">
        <v>121</v>
      </c>
      <c r="E155">
        <v>8</v>
      </c>
      <c r="P155" t="s">
        <v>31</v>
      </c>
      <c r="R155" t="s">
        <v>23</v>
      </c>
      <c r="Y155" t="s">
        <v>544</v>
      </c>
    </row>
    <row r="156" spans="1:25">
      <c r="A156" t="s">
        <v>693</v>
      </c>
      <c r="B156">
        <v>469.99782674767403</v>
      </c>
      <c r="C156">
        <v>20</v>
      </c>
      <c r="D156" t="s">
        <v>638</v>
      </c>
      <c r="E156">
        <v>14</v>
      </c>
      <c r="I156" t="s">
        <v>447</v>
      </c>
      <c r="M156" t="s">
        <v>605</v>
      </c>
      <c r="Y156" t="s">
        <v>544</v>
      </c>
    </row>
    <row r="157" spans="1:25">
      <c r="A157" t="s">
        <v>693</v>
      </c>
      <c r="B157">
        <v>470.39918164599999</v>
      </c>
      <c r="C157">
        <v>26.000637523666299</v>
      </c>
      <c r="D157" t="s">
        <v>18</v>
      </c>
      <c r="E157">
        <v>11</v>
      </c>
      <c r="Y157" t="s">
        <v>544</v>
      </c>
    </row>
    <row r="158" spans="1:25">
      <c r="A158" t="s">
        <v>693</v>
      </c>
      <c r="B158">
        <v>473.39918164599999</v>
      </c>
      <c r="C158">
        <v>85.801337044999897</v>
      </c>
      <c r="D158" t="s">
        <v>19</v>
      </c>
      <c r="E158">
        <v>9</v>
      </c>
      <c r="Y158" t="s">
        <v>544</v>
      </c>
    </row>
    <row r="159" spans="1:25">
      <c r="A159" t="s">
        <v>693</v>
      </c>
      <c r="B159">
        <v>474.39704254165599</v>
      </c>
      <c r="C159">
        <v>20</v>
      </c>
      <c r="D159" t="s">
        <v>774</v>
      </c>
      <c r="E159">
        <v>5</v>
      </c>
      <c r="I159" t="s">
        <v>447</v>
      </c>
      <c r="K159" t="s">
        <v>48</v>
      </c>
      <c r="M159" t="s">
        <v>775</v>
      </c>
      <c r="Y159" t="s">
        <v>544</v>
      </c>
    </row>
    <row r="160" spans="1:25">
      <c r="A160" t="s">
        <v>693</v>
      </c>
      <c r="B160">
        <v>477.79813145733903</v>
      </c>
      <c r="C160">
        <v>20</v>
      </c>
      <c r="D160" t="s">
        <v>743</v>
      </c>
      <c r="E160">
        <v>15</v>
      </c>
      <c r="I160" t="s">
        <v>447</v>
      </c>
      <c r="M160" t="s">
        <v>443</v>
      </c>
      <c r="Y160" t="s">
        <v>544</v>
      </c>
    </row>
    <row r="161" spans="1:25">
      <c r="A161" t="s">
        <v>693</v>
      </c>
      <c r="B161">
        <v>486.15276812399998</v>
      </c>
      <c r="C161">
        <v>20</v>
      </c>
      <c r="D161" t="s">
        <v>770</v>
      </c>
      <c r="E161">
        <v>6</v>
      </c>
      <c r="K161" t="s">
        <v>444</v>
      </c>
      <c r="M161" t="s">
        <v>613</v>
      </c>
      <c r="Y161" t="s">
        <v>544</v>
      </c>
    </row>
    <row r="162" spans="1:25">
      <c r="A162" t="s">
        <v>693</v>
      </c>
      <c r="B162">
        <v>489.39981916966599</v>
      </c>
      <c r="C162">
        <v>17</v>
      </c>
      <c r="D162" t="s">
        <v>40</v>
      </c>
      <c r="E162">
        <v>9</v>
      </c>
      <c r="U162" t="s">
        <v>195</v>
      </c>
      <c r="Y162" t="s">
        <v>544</v>
      </c>
    </row>
    <row r="163" spans="1:25">
      <c r="A163" t="s">
        <v>693</v>
      </c>
      <c r="B163">
        <v>489.69782283466299</v>
      </c>
      <c r="C163">
        <v>20</v>
      </c>
      <c r="D163" t="s">
        <v>777</v>
      </c>
      <c r="E163">
        <v>8</v>
      </c>
      <c r="H163" t="s">
        <v>450</v>
      </c>
      <c r="I163" t="s">
        <v>439</v>
      </c>
      <c r="J163" t="s">
        <v>49</v>
      </c>
      <c r="M163" t="s">
        <v>438</v>
      </c>
      <c r="Y163" t="s">
        <v>544</v>
      </c>
    </row>
    <row r="164" spans="1:25">
      <c r="A164" t="s">
        <v>693</v>
      </c>
      <c r="B164">
        <v>492.49844072933399</v>
      </c>
      <c r="C164">
        <v>17</v>
      </c>
      <c r="D164" t="s">
        <v>27</v>
      </c>
      <c r="E164">
        <v>6</v>
      </c>
      <c r="U164" t="s">
        <v>195</v>
      </c>
      <c r="Y164" t="s">
        <v>544</v>
      </c>
    </row>
    <row r="165" spans="1:25">
      <c r="A165" t="s">
        <v>693</v>
      </c>
      <c r="B165">
        <v>493.195953747994</v>
      </c>
      <c r="C165">
        <v>20</v>
      </c>
      <c r="D165" t="s">
        <v>33</v>
      </c>
      <c r="E165">
        <v>1</v>
      </c>
      <c r="Y165" t="s">
        <v>544</v>
      </c>
    </row>
    <row r="166" spans="1:25">
      <c r="A166" t="s">
        <v>693</v>
      </c>
      <c r="B166">
        <v>493.39981916966599</v>
      </c>
      <c r="C166">
        <v>6.0986215596679996</v>
      </c>
      <c r="D166" t="s">
        <v>9</v>
      </c>
      <c r="E166">
        <v>13</v>
      </c>
      <c r="Y166" t="s">
        <v>544</v>
      </c>
    </row>
    <row r="167" spans="1:25">
      <c r="A167" t="s">
        <v>693</v>
      </c>
      <c r="B167">
        <v>494.15470503799997</v>
      </c>
      <c r="C167">
        <v>20</v>
      </c>
      <c r="D167" t="s">
        <v>795</v>
      </c>
      <c r="E167">
        <v>2</v>
      </c>
      <c r="H167" t="s">
        <v>617</v>
      </c>
      <c r="I167" t="s">
        <v>53</v>
      </c>
      <c r="M167" t="s">
        <v>611</v>
      </c>
      <c r="Y167" t="s">
        <v>544</v>
      </c>
    </row>
    <row r="168" spans="1:25">
      <c r="A168" t="s">
        <v>693</v>
      </c>
      <c r="B168">
        <v>496.49844072933399</v>
      </c>
      <c r="C168">
        <v>20.601051167330201</v>
      </c>
      <c r="D168" t="s">
        <v>18</v>
      </c>
      <c r="E168">
        <v>12</v>
      </c>
      <c r="Y168" t="s">
        <v>544</v>
      </c>
    </row>
    <row r="169" spans="1:25">
      <c r="A169" t="s">
        <v>693</v>
      </c>
      <c r="B169">
        <v>497.69831909766401</v>
      </c>
      <c r="C169">
        <v>20</v>
      </c>
      <c r="D169" t="s">
        <v>34</v>
      </c>
      <c r="E169">
        <v>1</v>
      </c>
      <c r="R169" t="s">
        <v>23</v>
      </c>
      <c r="Y169" t="s">
        <v>544</v>
      </c>
    </row>
    <row r="170" spans="1:25">
      <c r="A170" t="s">
        <v>693</v>
      </c>
      <c r="B170">
        <v>498.99876301266602</v>
      </c>
      <c r="C170">
        <v>19.999999999999901</v>
      </c>
      <c r="D170" t="s">
        <v>135</v>
      </c>
      <c r="E170">
        <v>1</v>
      </c>
      <c r="Y170" t="s">
        <v>544</v>
      </c>
    </row>
    <row r="171" spans="1:25">
      <c r="A171" t="s">
        <v>693</v>
      </c>
      <c r="B171">
        <v>499.32252383399998</v>
      </c>
      <c r="C171">
        <v>20</v>
      </c>
      <c r="D171" t="s">
        <v>774</v>
      </c>
      <c r="E171">
        <v>6</v>
      </c>
      <c r="H171" t="s">
        <v>435</v>
      </c>
      <c r="Y171" t="s">
        <v>544</v>
      </c>
    </row>
    <row r="172" spans="1:25">
      <c r="A172" t="s">
        <v>693</v>
      </c>
      <c r="B172">
        <v>500.69852994833002</v>
      </c>
      <c r="C172">
        <v>20</v>
      </c>
      <c r="D172" t="s">
        <v>135</v>
      </c>
      <c r="E172">
        <v>2</v>
      </c>
      <c r="Y172" t="s">
        <v>544</v>
      </c>
    </row>
    <row r="173" spans="1:25">
      <c r="A173" t="s">
        <v>693</v>
      </c>
      <c r="B173">
        <v>500.79953169699701</v>
      </c>
      <c r="C173">
        <v>20</v>
      </c>
      <c r="D173" t="s">
        <v>36</v>
      </c>
      <c r="E173">
        <v>1</v>
      </c>
      <c r="N173">
        <v>92</v>
      </c>
      <c r="O173">
        <v>42</v>
      </c>
      <c r="Q173" t="s">
        <v>699</v>
      </c>
      <c r="Y173" t="s">
        <v>544</v>
      </c>
    </row>
    <row r="174" spans="1:25">
      <c r="A174" t="s">
        <v>693</v>
      </c>
      <c r="B174">
        <v>501.565634547</v>
      </c>
      <c r="C174">
        <v>19.999999999999901</v>
      </c>
      <c r="D174" t="s">
        <v>687</v>
      </c>
      <c r="E174">
        <v>6</v>
      </c>
      <c r="H174" t="s">
        <v>435</v>
      </c>
      <c r="M174" t="s">
        <v>433</v>
      </c>
      <c r="Y174" t="s">
        <v>544</v>
      </c>
    </row>
    <row r="175" spans="1:25">
      <c r="A175" t="s">
        <v>693</v>
      </c>
      <c r="B175">
        <v>505.79953169699701</v>
      </c>
      <c r="C175">
        <v>15</v>
      </c>
      <c r="D175" t="s">
        <v>35</v>
      </c>
      <c r="E175">
        <v>1</v>
      </c>
      <c r="Y175" t="s">
        <v>544</v>
      </c>
    </row>
    <row r="176" spans="1:25">
      <c r="A176" t="s">
        <v>693</v>
      </c>
      <c r="B176">
        <v>506.19781362265797</v>
      </c>
      <c r="C176">
        <v>20</v>
      </c>
      <c r="D176" t="s">
        <v>774</v>
      </c>
      <c r="E176">
        <v>7</v>
      </c>
      <c r="L176" t="s">
        <v>37</v>
      </c>
      <c r="Y176" t="s">
        <v>544</v>
      </c>
    </row>
    <row r="177" spans="1:25">
      <c r="A177" t="s">
        <v>693</v>
      </c>
      <c r="B177">
        <v>509.79330699966101</v>
      </c>
      <c r="C177">
        <v>20</v>
      </c>
      <c r="D177" t="s">
        <v>777</v>
      </c>
      <c r="E177">
        <v>9</v>
      </c>
      <c r="I177" t="s">
        <v>442</v>
      </c>
      <c r="M177" t="s">
        <v>438</v>
      </c>
      <c r="Y177" t="s">
        <v>544</v>
      </c>
    </row>
    <row r="178" spans="1:25">
      <c r="A178" t="s">
        <v>693</v>
      </c>
      <c r="B178">
        <v>512.69943150032395</v>
      </c>
      <c r="C178">
        <v>20</v>
      </c>
      <c r="D178" t="s">
        <v>770</v>
      </c>
      <c r="E178">
        <v>7</v>
      </c>
      <c r="I178" t="s">
        <v>440</v>
      </c>
      <c r="M178" t="s">
        <v>604</v>
      </c>
      <c r="Y178" t="s">
        <v>544</v>
      </c>
    </row>
    <row r="179" spans="1:25">
      <c r="A179" t="s">
        <v>693</v>
      </c>
      <c r="B179">
        <v>514.09949189666395</v>
      </c>
      <c r="C179">
        <v>5.4987348936613198</v>
      </c>
      <c r="D179" t="s">
        <v>9</v>
      </c>
      <c r="E179">
        <v>14</v>
      </c>
      <c r="Y179" t="s">
        <v>544</v>
      </c>
    </row>
    <row r="180" spans="1:25">
      <c r="A180" t="s">
        <v>693</v>
      </c>
      <c r="B180">
        <v>514.29746568298799</v>
      </c>
      <c r="C180">
        <v>20</v>
      </c>
      <c r="D180" t="s">
        <v>743</v>
      </c>
      <c r="E180">
        <v>16</v>
      </c>
      <c r="I180" t="s">
        <v>692</v>
      </c>
      <c r="M180" t="s">
        <v>604</v>
      </c>
      <c r="Y180" t="s">
        <v>544</v>
      </c>
    </row>
    <row r="181" spans="1:25">
      <c r="A181" t="s">
        <v>693</v>
      </c>
      <c r="B181">
        <v>515.79754335032499</v>
      </c>
      <c r="C181">
        <v>20</v>
      </c>
      <c r="D181" t="s">
        <v>777</v>
      </c>
      <c r="E181">
        <v>10</v>
      </c>
      <c r="I181" t="s">
        <v>440</v>
      </c>
      <c r="M181" t="s">
        <v>543</v>
      </c>
      <c r="Y181" t="s">
        <v>544</v>
      </c>
    </row>
    <row r="182" spans="1:25">
      <c r="A182" t="s">
        <v>693</v>
      </c>
      <c r="B182">
        <v>515.997049709002</v>
      </c>
      <c r="C182">
        <v>20</v>
      </c>
      <c r="D182" t="s">
        <v>33</v>
      </c>
      <c r="E182">
        <v>2</v>
      </c>
      <c r="Y182" t="s">
        <v>544</v>
      </c>
    </row>
    <row r="183" spans="1:25">
      <c r="A183" t="s">
        <v>693</v>
      </c>
      <c r="B183">
        <v>516.59822679032595</v>
      </c>
      <c r="C183">
        <v>37.101115193675099</v>
      </c>
      <c r="D183" t="s">
        <v>18</v>
      </c>
      <c r="E183">
        <v>13</v>
      </c>
      <c r="Y183" t="s">
        <v>544</v>
      </c>
    </row>
    <row r="184" spans="1:25">
      <c r="A184" t="s">
        <v>693</v>
      </c>
      <c r="B184">
        <v>517.99728672866399</v>
      </c>
      <c r="C184">
        <v>35.702055255336802</v>
      </c>
      <c r="D184" t="s">
        <v>32</v>
      </c>
      <c r="E184">
        <v>5</v>
      </c>
      <c r="R184" t="s">
        <v>20</v>
      </c>
      <c r="Y184" t="s">
        <v>544</v>
      </c>
    </row>
    <row r="185" spans="1:25">
      <c r="A185" t="s">
        <v>693</v>
      </c>
      <c r="B185">
        <v>522.89747447200295</v>
      </c>
      <c r="C185">
        <v>20</v>
      </c>
      <c r="D185" t="s">
        <v>743</v>
      </c>
      <c r="E185">
        <v>17</v>
      </c>
      <c r="I185" t="s">
        <v>440</v>
      </c>
      <c r="M185" t="s">
        <v>604</v>
      </c>
      <c r="Y185" t="s">
        <v>544</v>
      </c>
    </row>
    <row r="186" spans="1:25">
      <c r="A186" t="s">
        <v>693</v>
      </c>
      <c r="B186">
        <v>528.39817120732596</v>
      </c>
      <c r="C186">
        <v>20</v>
      </c>
      <c r="D186" t="s">
        <v>638</v>
      </c>
      <c r="E186">
        <v>15</v>
      </c>
      <c r="I186" t="s">
        <v>439</v>
      </c>
      <c r="M186" t="s">
        <v>604</v>
      </c>
      <c r="Y186" t="s">
        <v>544</v>
      </c>
    </row>
    <row r="187" spans="1:25">
      <c r="A187" t="s">
        <v>693</v>
      </c>
      <c r="B187">
        <v>528.89798208133595</v>
      </c>
      <c r="C187">
        <v>20</v>
      </c>
      <c r="D187" t="s">
        <v>637</v>
      </c>
      <c r="E187">
        <v>9</v>
      </c>
      <c r="H187" t="s">
        <v>754</v>
      </c>
      <c r="I187" t="s">
        <v>439</v>
      </c>
      <c r="M187" t="s">
        <v>610</v>
      </c>
      <c r="Y187" t="s">
        <v>544</v>
      </c>
    </row>
    <row r="188" spans="1:25">
      <c r="A188" t="s">
        <v>693</v>
      </c>
      <c r="B188">
        <v>535.19833471800303</v>
      </c>
      <c r="C188">
        <v>20</v>
      </c>
      <c r="D188" t="s">
        <v>33</v>
      </c>
      <c r="E188">
        <v>3</v>
      </c>
      <c r="Y188" t="s">
        <v>544</v>
      </c>
    </row>
    <row r="189" spans="1:25">
      <c r="A189" t="s">
        <v>693</v>
      </c>
      <c r="B189">
        <v>536.49807599065696</v>
      </c>
      <c r="C189">
        <v>20</v>
      </c>
      <c r="D189" t="s">
        <v>795</v>
      </c>
      <c r="E189">
        <v>3</v>
      </c>
      <c r="H189" t="s">
        <v>780</v>
      </c>
      <c r="I189" t="s">
        <v>53</v>
      </c>
      <c r="J189" t="s">
        <v>223</v>
      </c>
      <c r="K189" t="s">
        <v>441</v>
      </c>
      <c r="M189" t="s">
        <v>781</v>
      </c>
      <c r="Y189" t="s">
        <v>544</v>
      </c>
    </row>
    <row r="190" spans="1:25">
      <c r="A190" t="s">
        <v>693</v>
      </c>
      <c r="B190">
        <v>537.411467195</v>
      </c>
      <c r="C190">
        <v>20</v>
      </c>
      <c r="D190" t="s">
        <v>135</v>
      </c>
      <c r="E190">
        <v>3</v>
      </c>
      <c r="Y190" t="s">
        <v>544</v>
      </c>
    </row>
    <row r="191" spans="1:25">
      <c r="A191" t="s">
        <v>693</v>
      </c>
      <c r="B191">
        <v>538.29899284832504</v>
      </c>
      <c r="C191">
        <v>20</v>
      </c>
      <c r="D191" t="s">
        <v>34</v>
      </c>
      <c r="E191">
        <v>2</v>
      </c>
      <c r="R191" t="s">
        <v>23</v>
      </c>
      <c r="Y191" t="s">
        <v>544</v>
      </c>
    </row>
    <row r="192" spans="1:25">
      <c r="A192" t="s">
        <v>693</v>
      </c>
      <c r="B192">
        <v>540.89854961166702</v>
      </c>
      <c r="C192">
        <v>20</v>
      </c>
      <c r="D192" t="s">
        <v>135</v>
      </c>
      <c r="E192">
        <v>4</v>
      </c>
      <c r="Y192" t="s">
        <v>544</v>
      </c>
    </row>
    <row r="193" spans="1:25">
      <c r="A193" t="s">
        <v>693</v>
      </c>
      <c r="B193">
        <v>546.69934198400097</v>
      </c>
      <c r="C193">
        <v>17</v>
      </c>
      <c r="D193" t="s">
        <v>40</v>
      </c>
      <c r="E193">
        <v>10</v>
      </c>
      <c r="U193" t="s">
        <v>14</v>
      </c>
      <c r="Y193" t="s">
        <v>544</v>
      </c>
    </row>
    <row r="194" spans="1:25">
      <c r="A194" t="s">
        <v>693</v>
      </c>
      <c r="B194">
        <v>550.69934198400097</v>
      </c>
      <c r="C194">
        <v>8.5011767069988693</v>
      </c>
      <c r="D194" t="s">
        <v>9</v>
      </c>
      <c r="E194">
        <v>15</v>
      </c>
      <c r="Y194" t="s">
        <v>544</v>
      </c>
    </row>
    <row r="195" spans="1:25">
      <c r="A195" t="s">
        <v>693</v>
      </c>
      <c r="B195">
        <v>559.20051869099996</v>
      </c>
      <c r="C195">
        <v>20.398362431330799</v>
      </c>
      <c r="D195" t="s">
        <v>10</v>
      </c>
      <c r="E195">
        <v>9</v>
      </c>
      <c r="Y195" t="s">
        <v>544</v>
      </c>
    </row>
    <row r="196" spans="1:25">
      <c r="A196" t="s">
        <v>693</v>
      </c>
      <c r="B196">
        <v>572.59888112233</v>
      </c>
      <c r="C196">
        <v>17</v>
      </c>
      <c r="D196" t="s">
        <v>11</v>
      </c>
      <c r="E196">
        <v>4</v>
      </c>
      <c r="T196" t="s">
        <v>13</v>
      </c>
      <c r="Y196" t="s">
        <v>544</v>
      </c>
    </row>
    <row r="197" spans="1:25">
      <c r="A197" t="s">
        <v>693</v>
      </c>
      <c r="B197">
        <v>572.94031193599994</v>
      </c>
      <c r="C197">
        <v>20</v>
      </c>
      <c r="D197" t="s">
        <v>636</v>
      </c>
      <c r="E197">
        <v>11</v>
      </c>
      <c r="I197" t="s">
        <v>439</v>
      </c>
      <c r="K197" t="s">
        <v>48</v>
      </c>
      <c r="M197" t="s">
        <v>618</v>
      </c>
      <c r="Y197" t="s">
        <v>544</v>
      </c>
    </row>
    <row r="198" spans="1:25">
      <c r="A198" t="s">
        <v>693</v>
      </c>
      <c r="B198">
        <v>576.59888112233</v>
      </c>
      <c r="C198">
        <v>9.9251411466692598</v>
      </c>
      <c r="D198" t="s">
        <v>9</v>
      </c>
      <c r="E198">
        <v>16</v>
      </c>
      <c r="Y198" t="s">
        <v>544</v>
      </c>
    </row>
    <row r="199" spans="1:25">
      <c r="A199" t="s">
        <v>693</v>
      </c>
      <c r="B199">
        <v>576.88362522399996</v>
      </c>
      <c r="C199">
        <v>20</v>
      </c>
      <c r="D199" t="s">
        <v>687</v>
      </c>
      <c r="E199">
        <v>7</v>
      </c>
      <c r="H199" t="s">
        <v>336</v>
      </c>
      <c r="I199" t="s">
        <v>542</v>
      </c>
      <c r="K199" t="s">
        <v>444</v>
      </c>
      <c r="M199" t="s">
        <v>733</v>
      </c>
      <c r="Y199" t="s">
        <v>544</v>
      </c>
    </row>
    <row r="200" spans="1:25">
      <c r="A200" t="s">
        <v>693</v>
      </c>
      <c r="B200">
        <v>579.52402226900006</v>
      </c>
      <c r="C200">
        <v>17</v>
      </c>
      <c r="D200" t="s">
        <v>27</v>
      </c>
      <c r="E200">
        <v>7</v>
      </c>
      <c r="U200" t="s">
        <v>195</v>
      </c>
      <c r="Y200" t="s">
        <v>544</v>
      </c>
    </row>
    <row r="201" spans="1:25">
      <c r="A201" t="s">
        <v>693</v>
      </c>
      <c r="B201">
        <v>579.59888112233</v>
      </c>
      <c r="C201">
        <v>11.8992447153302</v>
      </c>
      <c r="D201" t="s">
        <v>19</v>
      </c>
      <c r="E201">
        <v>10</v>
      </c>
      <c r="Y201" t="s">
        <v>544</v>
      </c>
    </row>
    <row r="202" spans="1:25">
      <c r="A202" t="s">
        <v>693</v>
      </c>
      <c r="B202">
        <v>583.52402226900006</v>
      </c>
      <c r="C202">
        <v>7.9741035686609996</v>
      </c>
      <c r="D202" t="s">
        <v>18</v>
      </c>
      <c r="E202">
        <v>14</v>
      </c>
      <c r="Y202" t="s">
        <v>544</v>
      </c>
    </row>
    <row r="203" spans="1:25">
      <c r="A203" t="s">
        <v>693</v>
      </c>
      <c r="B203">
        <v>591.49812583766095</v>
      </c>
      <c r="C203">
        <v>30.813153570338901</v>
      </c>
      <c r="D203" t="s">
        <v>10</v>
      </c>
      <c r="E203">
        <v>10</v>
      </c>
      <c r="Y203" t="s">
        <v>544</v>
      </c>
    </row>
    <row r="204" spans="1:25">
      <c r="A204" t="s">
        <v>693</v>
      </c>
      <c r="B204">
        <v>619.31127940800002</v>
      </c>
      <c r="C204">
        <v>5.1878735853325599</v>
      </c>
      <c r="D204" t="s">
        <v>9</v>
      </c>
      <c r="E204">
        <v>17</v>
      </c>
      <c r="Y204" t="s">
        <v>544</v>
      </c>
    </row>
    <row r="205" spans="1:25">
      <c r="A205" t="s">
        <v>693</v>
      </c>
      <c r="B205">
        <v>622.31127940800002</v>
      </c>
      <c r="C205">
        <v>2.1878735853325599</v>
      </c>
      <c r="D205" t="s">
        <v>19</v>
      </c>
      <c r="E205">
        <v>11</v>
      </c>
      <c r="Y205" t="s">
        <v>544</v>
      </c>
    </row>
    <row r="206" spans="1:25">
      <c r="A206" t="s">
        <v>693</v>
      </c>
      <c r="B206">
        <v>624.49915299333202</v>
      </c>
      <c r="C206">
        <v>28.8998234773386</v>
      </c>
      <c r="D206" t="s">
        <v>10</v>
      </c>
      <c r="E206">
        <v>11</v>
      </c>
      <c r="Y206" t="s">
        <v>544</v>
      </c>
    </row>
    <row r="207" spans="1:25">
      <c r="A207" t="s">
        <v>693</v>
      </c>
      <c r="B207">
        <v>644.89713649733005</v>
      </c>
      <c r="C207">
        <v>20</v>
      </c>
      <c r="D207" t="s">
        <v>770</v>
      </c>
      <c r="E207">
        <v>8</v>
      </c>
      <c r="K207" t="s">
        <v>48</v>
      </c>
      <c r="M207" t="s">
        <v>613</v>
      </c>
      <c r="Y207" t="s">
        <v>544</v>
      </c>
    </row>
    <row r="208" spans="1:25">
      <c r="A208" t="s">
        <v>693</v>
      </c>
      <c r="B208">
        <v>646.39897647067096</v>
      </c>
      <c r="C208">
        <v>17</v>
      </c>
      <c r="D208" t="s">
        <v>11</v>
      </c>
      <c r="E208">
        <v>5</v>
      </c>
      <c r="T208" t="s">
        <v>12</v>
      </c>
      <c r="U208" t="s">
        <v>195</v>
      </c>
      <c r="Y208" t="s">
        <v>544</v>
      </c>
    </row>
    <row r="209" spans="1:25">
      <c r="A209" t="s">
        <v>693</v>
      </c>
      <c r="B209">
        <v>647.12483154100005</v>
      </c>
      <c r="C209">
        <v>20</v>
      </c>
      <c r="D209" t="s">
        <v>783</v>
      </c>
      <c r="E209">
        <v>3</v>
      </c>
      <c r="K209" t="s">
        <v>48</v>
      </c>
      <c r="M209" t="s">
        <v>613</v>
      </c>
      <c r="Y209" t="s">
        <v>544</v>
      </c>
    </row>
    <row r="210" spans="1:25">
      <c r="A210" t="s">
        <v>693</v>
      </c>
      <c r="B210">
        <v>650.39897647067096</v>
      </c>
      <c r="C210">
        <v>14.5987839703287</v>
      </c>
      <c r="D210" t="s">
        <v>9</v>
      </c>
      <c r="E210">
        <v>18</v>
      </c>
      <c r="Y210" t="s">
        <v>544</v>
      </c>
    </row>
    <row r="211" spans="1:25">
      <c r="A211" t="s">
        <v>693</v>
      </c>
      <c r="B211">
        <v>650.46106504600004</v>
      </c>
      <c r="C211">
        <v>20</v>
      </c>
      <c r="D211" t="s">
        <v>685</v>
      </c>
      <c r="E211">
        <v>3</v>
      </c>
      <c r="K211" t="s">
        <v>48</v>
      </c>
      <c r="M211" t="s">
        <v>613</v>
      </c>
      <c r="Y211" t="s">
        <v>544</v>
      </c>
    </row>
    <row r="212" spans="1:25">
      <c r="A212" t="s">
        <v>693</v>
      </c>
      <c r="B212">
        <v>653.39897647067096</v>
      </c>
      <c r="C212">
        <v>27.199682071327601</v>
      </c>
      <c r="D212" t="s">
        <v>19</v>
      </c>
      <c r="E212">
        <v>12</v>
      </c>
      <c r="Y212" t="s">
        <v>544</v>
      </c>
    </row>
    <row r="213" spans="1:25">
      <c r="A213" t="s">
        <v>693</v>
      </c>
      <c r="B213">
        <v>654.39812437333705</v>
      </c>
      <c r="C213">
        <v>20</v>
      </c>
      <c r="D213" t="s">
        <v>637</v>
      </c>
      <c r="E213">
        <v>10</v>
      </c>
      <c r="I213" t="s">
        <v>439</v>
      </c>
      <c r="M213" t="s">
        <v>438</v>
      </c>
      <c r="Y213" t="s">
        <v>544</v>
      </c>
    </row>
    <row r="214" spans="1:25">
      <c r="A214" t="s">
        <v>693</v>
      </c>
      <c r="B214">
        <v>656.89878622533399</v>
      </c>
      <c r="C214">
        <v>20</v>
      </c>
      <c r="D214" t="s">
        <v>33</v>
      </c>
      <c r="E214">
        <v>4</v>
      </c>
      <c r="Y214" t="s">
        <v>544</v>
      </c>
    </row>
    <row r="215" spans="1:25">
      <c r="A215" t="s">
        <v>693</v>
      </c>
      <c r="B215">
        <v>657.89774768232598</v>
      </c>
      <c r="C215">
        <v>20</v>
      </c>
      <c r="D215" t="s">
        <v>795</v>
      </c>
      <c r="E215">
        <v>4</v>
      </c>
      <c r="H215" t="s">
        <v>336</v>
      </c>
      <c r="I215" t="s">
        <v>440</v>
      </c>
      <c r="M215" t="s">
        <v>622</v>
      </c>
      <c r="Y215" t="s">
        <v>544</v>
      </c>
    </row>
    <row r="216" spans="1:25">
      <c r="A216" t="s">
        <v>693</v>
      </c>
      <c r="B216">
        <v>657.99776044099997</v>
      </c>
      <c r="C216">
        <v>17</v>
      </c>
      <c r="D216" t="s">
        <v>27</v>
      </c>
      <c r="E216">
        <v>8</v>
      </c>
      <c r="U216" t="s">
        <v>195</v>
      </c>
      <c r="Y216" t="s">
        <v>544</v>
      </c>
    </row>
    <row r="217" spans="1:25">
      <c r="A217" t="s">
        <v>693</v>
      </c>
      <c r="B217">
        <v>661.99776044099997</v>
      </c>
      <c r="C217">
        <v>18.600898100998801</v>
      </c>
      <c r="D217" t="s">
        <v>18</v>
      </c>
      <c r="E217">
        <v>15</v>
      </c>
      <c r="Y217" t="s">
        <v>544</v>
      </c>
    </row>
    <row r="218" spans="1:25">
      <c r="A218" t="s">
        <v>693</v>
      </c>
      <c r="B218">
        <v>664.29876816933802</v>
      </c>
      <c r="C218">
        <v>20</v>
      </c>
      <c r="D218" t="s">
        <v>637</v>
      </c>
      <c r="E218">
        <v>11</v>
      </c>
      <c r="H218" t="s">
        <v>621</v>
      </c>
      <c r="I218" t="s">
        <v>53</v>
      </c>
      <c r="M218" t="s">
        <v>605</v>
      </c>
      <c r="Y218" t="s">
        <v>544</v>
      </c>
    </row>
    <row r="219" spans="1:25">
      <c r="A219" t="s">
        <v>693</v>
      </c>
      <c r="B219">
        <v>666.59775929600198</v>
      </c>
      <c r="C219">
        <v>20</v>
      </c>
      <c r="D219" t="s">
        <v>34</v>
      </c>
      <c r="E219">
        <v>3</v>
      </c>
      <c r="R219" t="s">
        <v>23</v>
      </c>
      <c r="Y219" t="s">
        <v>544</v>
      </c>
    </row>
    <row r="220" spans="1:25">
      <c r="A220" t="s">
        <v>693</v>
      </c>
      <c r="B220">
        <v>680.59865854199802</v>
      </c>
      <c r="C220">
        <v>16.4416451390011</v>
      </c>
      <c r="D220" t="s">
        <v>10</v>
      </c>
      <c r="E220">
        <v>12</v>
      </c>
      <c r="Y220" t="s">
        <v>544</v>
      </c>
    </row>
    <row r="221" spans="1:25">
      <c r="A221" t="s">
        <v>693</v>
      </c>
      <c r="B221">
        <v>690.04030368099995</v>
      </c>
      <c r="C221">
        <v>17</v>
      </c>
      <c r="D221" t="s">
        <v>11</v>
      </c>
      <c r="E221">
        <v>6</v>
      </c>
      <c r="T221" t="s">
        <v>16</v>
      </c>
      <c r="Y221" t="s">
        <v>544</v>
      </c>
    </row>
    <row r="222" spans="1:25">
      <c r="A222" t="s">
        <v>693</v>
      </c>
      <c r="B222">
        <v>692.43280889000005</v>
      </c>
      <c r="C222">
        <v>11.7654355356638</v>
      </c>
      <c r="D222" t="s">
        <v>427</v>
      </c>
      <c r="E222">
        <v>1</v>
      </c>
      <c r="R222" t="s">
        <v>20</v>
      </c>
      <c r="S222" t="s">
        <v>454</v>
      </c>
      <c r="Y222" t="s">
        <v>544</v>
      </c>
    </row>
    <row r="223" spans="1:25">
      <c r="A223" t="s">
        <v>693</v>
      </c>
      <c r="B223">
        <v>694.04030368099995</v>
      </c>
      <c r="C223">
        <v>10.1579407446639</v>
      </c>
      <c r="D223" t="s">
        <v>9</v>
      </c>
      <c r="E223">
        <v>19</v>
      </c>
      <c r="Y223" t="s">
        <v>544</v>
      </c>
    </row>
    <row r="224" spans="1:25">
      <c r="A224" t="s">
        <v>693</v>
      </c>
      <c r="B224">
        <v>697.04030368099995</v>
      </c>
      <c r="C224">
        <v>7.1579407446639598</v>
      </c>
      <c r="D224" t="s">
        <v>19</v>
      </c>
      <c r="E224">
        <v>13</v>
      </c>
      <c r="Y224" t="s">
        <v>544</v>
      </c>
    </row>
    <row r="225" spans="1:25">
      <c r="A225" t="s">
        <v>693</v>
      </c>
      <c r="B225">
        <v>700.298667454</v>
      </c>
      <c r="C225">
        <v>20</v>
      </c>
      <c r="D225" t="s">
        <v>638</v>
      </c>
      <c r="E225">
        <v>16</v>
      </c>
      <c r="I225" t="s">
        <v>439</v>
      </c>
      <c r="M225" t="s">
        <v>604</v>
      </c>
      <c r="Y225" t="s">
        <v>544</v>
      </c>
    </row>
    <row r="226" spans="1:25">
      <c r="A226" t="s">
        <v>693</v>
      </c>
      <c r="B226">
        <v>700.99362560633494</v>
      </c>
      <c r="C226">
        <v>17</v>
      </c>
      <c r="D226" t="s">
        <v>6</v>
      </c>
      <c r="E226">
        <v>6</v>
      </c>
      <c r="T226" t="s">
        <v>21</v>
      </c>
      <c r="U226" t="s">
        <v>28</v>
      </c>
      <c r="Y226" t="s">
        <v>544</v>
      </c>
    </row>
    <row r="227" spans="1:25">
      <c r="A227" t="s">
        <v>693</v>
      </c>
      <c r="B227">
        <v>703.49684999066096</v>
      </c>
      <c r="C227">
        <v>20</v>
      </c>
      <c r="D227" t="s">
        <v>770</v>
      </c>
      <c r="E227">
        <v>9</v>
      </c>
      <c r="H227" t="s">
        <v>445</v>
      </c>
      <c r="I227" t="s">
        <v>442</v>
      </c>
      <c r="M227" t="s">
        <v>604</v>
      </c>
      <c r="Y227" t="s">
        <v>544</v>
      </c>
    </row>
    <row r="228" spans="1:25">
      <c r="A228" t="s">
        <v>693</v>
      </c>
      <c r="B228">
        <v>704.19824442566301</v>
      </c>
      <c r="C228">
        <v>3.7953811806719302</v>
      </c>
      <c r="D228" t="s">
        <v>10</v>
      </c>
      <c r="E228">
        <v>13</v>
      </c>
      <c r="Y228" t="s">
        <v>544</v>
      </c>
    </row>
    <row r="229" spans="1:25">
      <c r="A229" t="s">
        <v>693</v>
      </c>
      <c r="B229">
        <v>704.99362560633494</v>
      </c>
      <c r="C229">
        <v>16.8046331956653</v>
      </c>
      <c r="D229" t="s">
        <v>18</v>
      </c>
      <c r="E229">
        <v>16</v>
      </c>
      <c r="Y229" t="s">
        <v>544</v>
      </c>
    </row>
    <row r="230" spans="1:25">
      <c r="A230" t="s">
        <v>693</v>
      </c>
      <c r="B230">
        <v>705.19776602265904</v>
      </c>
      <c r="C230">
        <v>16.6004927793416</v>
      </c>
      <c r="D230" t="s">
        <v>121</v>
      </c>
      <c r="E230">
        <v>9</v>
      </c>
      <c r="R230" t="s">
        <v>20</v>
      </c>
      <c r="Y230" t="s">
        <v>544</v>
      </c>
    </row>
    <row r="231" spans="1:25">
      <c r="A231" t="s">
        <v>693</v>
      </c>
      <c r="B231">
        <v>707.19840491665798</v>
      </c>
      <c r="C231">
        <v>20</v>
      </c>
      <c r="D231" t="s">
        <v>636</v>
      </c>
      <c r="E231">
        <v>12</v>
      </c>
      <c r="H231" t="s">
        <v>450</v>
      </c>
      <c r="I231" t="s">
        <v>439</v>
      </c>
      <c r="M231" t="s">
        <v>605</v>
      </c>
      <c r="Y231" t="s">
        <v>544</v>
      </c>
    </row>
    <row r="232" spans="1:25">
      <c r="A232" t="s">
        <v>693</v>
      </c>
      <c r="B232">
        <v>707.99362560633494</v>
      </c>
      <c r="C232">
        <v>22.804776209657099</v>
      </c>
      <c r="D232" t="s">
        <v>19</v>
      </c>
      <c r="E232">
        <v>14</v>
      </c>
      <c r="Y232" t="s">
        <v>544</v>
      </c>
    </row>
    <row r="233" spans="1:25">
      <c r="A233" t="s">
        <v>693</v>
      </c>
      <c r="B233">
        <v>714.79825880200099</v>
      </c>
      <c r="C233">
        <v>17</v>
      </c>
      <c r="D233" t="s">
        <v>40</v>
      </c>
      <c r="E233">
        <v>11</v>
      </c>
      <c r="U233" t="s">
        <v>195</v>
      </c>
      <c r="Y233" t="s">
        <v>544</v>
      </c>
    </row>
    <row r="234" spans="1:25">
      <c r="A234" t="s">
        <v>693</v>
      </c>
      <c r="B234">
        <v>715.29597517866796</v>
      </c>
      <c r="C234">
        <v>20</v>
      </c>
      <c r="D234" t="s">
        <v>41</v>
      </c>
      <c r="E234">
        <v>3</v>
      </c>
      <c r="Y234" t="s">
        <v>544</v>
      </c>
    </row>
    <row r="235" spans="1:25">
      <c r="A235" t="s">
        <v>693</v>
      </c>
      <c r="B235">
        <v>718.09413825066702</v>
      </c>
      <c r="C235">
        <v>20</v>
      </c>
      <c r="D235" t="s">
        <v>637</v>
      </c>
      <c r="E235">
        <v>12</v>
      </c>
      <c r="K235" t="s">
        <v>755</v>
      </c>
      <c r="M235" t="s">
        <v>615</v>
      </c>
      <c r="Y235" t="s">
        <v>544</v>
      </c>
    </row>
    <row r="236" spans="1:25">
      <c r="A236" t="s">
        <v>693</v>
      </c>
      <c r="B236">
        <v>718.79825880200099</v>
      </c>
      <c r="C236">
        <v>12.0001430139917</v>
      </c>
      <c r="D236" t="s">
        <v>9</v>
      </c>
      <c r="E236">
        <v>20</v>
      </c>
      <c r="Y236" t="s">
        <v>544</v>
      </c>
    </row>
    <row r="237" spans="1:25">
      <c r="A237" t="s">
        <v>693</v>
      </c>
      <c r="B237">
        <v>730.79840181599297</v>
      </c>
      <c r="C237">
        <v>22.777410461006902</v>
      </c>
      <c r="D237" t="s">
        <v>10</v>
      </c>
      <c r="E237">
        <v>14</v>
      </c>
      <c r="Y237" t="s">
        <v>544</v>
      </c>
    </row>
    <row r="238" spans="1:25">
      <c r="A238" t="s">
        <v>693</v>
      </c>
      <c r="B238">
        <v>744.09962649399597</v>
      </c>
      <c r="C238">
        <v>20</v>
      </c>
      <c r="D238" t="s">
        <v>743</v>
      </c>
      <c r="E238">
        <v>18</v>
      </c>
      <c r="I238" t="s">
        <v>442</v>
      </c>
      <c r="M238" t="s">
        <v>438</v>
      </c>
      <c r="Y238" t="s">
        <v>544</v>
      </c>
    </row>
    <row r="239" spans="1:25">
      <c r="A239" t="s">
        <v>693</v>
      </c>
      <c r="B239">
        <v>746.09859584733499</v>
      </c>
      <c r="C239">
        <v>20</v>
      </c>
      <c r="D239" t="s">
        <v>636</v>
      </c>
      <c r="E239">
        <v>13</v>
      </c>
      <c r="H239" t="s">
        <v>621</v>
      </c>
      <c r="I239" t="s">
        <v>440</v>
      </c>
      <c r="M239" t="s">
        <v>604</v>
      </c>
      <c r="Y239" t="s">
        <v>544</v>
      </c>
    </row>
    <row r="240" spans="1:25">
      <c r="A240" t="s">
        <v>693</v>
      </c>
      <c r="B240">
        <v>746.57581227699995</v>
      </c>
      <c r="C240">
        <v>17</v>
      </c>
      <c r="D240" t="s">
        <v>6</v>
      </c>
      <c r="E240">
        <v>7</v>
      </c>
      <c r="T240" t="s">
        <v>25</v>
      </c>
      <c r="Y240" t="s">
        <v>544</v>
      </c>
    </row>
    <row r="241" spans="1:25">
      <c r="A241" t="s">
        <v>693</v>
      </c>
      <c r="B241">
        <v>748.73002083333301</v>
      </c>
      <c r="C241">
        <v>29.064686900330301</v>
      </c>
      <c r="D241" t="s">
        <v>121</v>
      </c>
      <c r="E241">
        <v>10</v>
      </c>
      <c r="P241" t="s">
        <v>29</v>
      </c>
      <c r="R241" t="s">
        <v>20</v>
      </c>
      <c r="Y241" t="s">
        <v>544</v>
      </c>
    </row>
    <row r="242" spans="1:25">
      <c r="A242" t="s">
        <v>693</v>
      </c>
      <c r="B242">
        <v>750.57581227699995</v>
      </c>
      <c r="C242">
        <v>45.622991788334701</v>
      </c>
      <c r="D242" t="s">
        <v>18</v>
      </c>
      <c r="E242">
        <v>17</v>
      </c>
      <c r="Y242" t="s">
        <v>544</v>
      </c>
    </row>
    <row r="243" spans="1:25">
      <c r="A243" t="s">
        <v>693</v>
      </c>
      <c r="B243">
        <v>753.57581227699995</v>
      </c>
      <c r="C243">
        <v>57.921784488332897</v>
      </c>
      <c r="D243" t="s">
        <v>19</v>
      </c>
      <c r="E243">
        <v>15</v>
      </c>
      <c r="Y243" t="s">
        <v>544</v>
      </c>
    </row>
    <row r="244" spans="1:25">
      <c r="A244" t="s">
        <v>693</v>
      </c>
      <c r="B244">
        <v>753.59750541465996</v>
      </c>
      <c r="C244">
        <v>20</v>
      </c>
      <c r="D244" t="s">
        <v>638</v>
      </c>
      <c r="E244">
        <v>17</v>
      </c>
      <c r="I244" t="s">
        <v>439</v>
      </c>
      <c r="M244" t="s">
        <v>604</v>
      </c>
      <c r="Y244" t="s">
        <v>544</v>
      </c>
    </row>
    <row r="245" spans="1:25">
      <c r="A245" t="s">
        <v>693</v>
      </c>
      <c r="B245">
        <v>759.99830763232296</v>
      </c>
      <c r="C245">
        <v>20</v>
      </c>
      <c r="D245" t="s">
        <v>770</v>
      </c>
      <c r="E245">
        <v>10</v>
      </c>
      <c r="H245" t="s">
        <v>445</v>
      </c>
      <c r="I245" t="s">
        <v>442</v>
      </c>
      <c r="M245" t="s">
        <v>604</v>
      </c>
      <c r="Y245" t="s">
        <v>544</v>
      </c>
    </row>
    <row r="246" spans="1:25">
      <c r="A246" t="s">
        <v>693</v>
      </c>
      <c r="B246">
        <v>761.29822662232903</v>
      </c>
      <c r="C246">
        <v>20</v>
      </c>
      <c r="D246" t="s">
        <v>636</v>
      </c>
      <c r="E246">
        <v>14</v>
      </c>
      <c r="H246" t="s">
        <v>748</v>
      </c>
      <c r="I246" t="s">
        <v>439</v>
      </c>
      <c r="M246" t="s">
        <v>604</v>
      </c>
      <c r="Y246" t="s">
        <v>544</v>
      </c>
    </row>
    <row r="247" spans="1:25">
      <c r="A247" t="s">
        <v>693</v>
      </c>
      <c r="B247">
        <v>765.89731991498797</v>
      </c>
      <c r="C247">
        <v>20</v>
      </c>
      <c r="D247" t="s">
        <v>685</v>
      </c>
      <c r="E247">
        <v>4</v>
      </c>
      <c r="H247" t="s">
        <v>754</v>
      </c>
      <c r="I247" t="s">
        <v>442</v>
      </c>
      <c r="M247" t="s">
        <v>610</v>
      </c>
      <c r="Y247" t="s">
        <v>544</v>
      </c>
    </row>
    <row r="248" spans="1:25">
      <c r="A248" t="s">
        <v>693</v>
      </c>
      <c r="B248">
        <v>772.697957762334</v>
      </c>
      <c r="C248">
        <v>20</v>
      </c>
      <c r="D248" t="s">
        <v>777</v>
      </c>
      <c r="E248">
        <v>11</v>
      </c>
      <c r="H248" t="s">
        <v>621</v>
      </c>
      <c r="I248" t="s">
        <v>440</v>
      </c>
      <c r="M248" t="s">
        <v>604</v>
      </c>
      <c r="Y248" t="s">
        <v>544</v>
      </c>
    </row>
    <row r="249" spans="1:25">
      <c r="A249" t="s">
        <v>693</v>
      </c>
      <c r="B249">
        <v>772.79470773366302</v>
      </c>
      <c r="C249">
        <v>23.4040963316709</v>
      </c>
      <c r="D249" t="s">
        <v>32</v>
      </c>
      <c r="E249">
        <v>6</v>
      </c>
      <c r="R249" t="s">
        <v>23</v>
      </c>
      <c r="Y249" t="s">
        <v>544</v>
      </c>
    </row>
    <row r="250" spans="1:25">
      <c r="A250" t="s">
        <v>693</v>
      </c>
      <c r="B250">
        <v>777.19821240699798</v>
      </c>
      <c r="C250">
        <v>20</v>
      </c>
      <c r="D250" t="s">
        <v>743</v>
      </c>
      <c r="E250">
        <v>19</v>
      </c>
      <c r="I250" t="s">
        <v>442</v>
      </c>
      <c r="M250" t="s">
        <v>604</v>
      </c>
      <c r="Y250" t="s">
        <v>544</v>
      </c>
    </row>
    <row r="251" spans="1:25">
      <c r="A251" t="s">
        <v>693</v>
      </c>
      <c r="B251">
        <v>780.71752174799997</v>
      </c>
      <c r="C251">
        <v>20</v>
      </c>
      <c r="D251" t="s">
        <v>637</v>
      </c>
      <c r="E251">
        <v>13</v>
      </c>
      <c r="H251" t="s">
        <v>621</v>
      </c>
      <c r="I251" t="s">
        <v>542</v>
      </c>
      <c r="M251" t="s">
        <v>605</v>
      </c>
      <c r="Y251" t="s">
        <v>544</v>
      </c>
    </row>
    <row r="252" spans="1:25">
      <c r="A252" t="s">
        <v>693</v>
      </c>
      <c r="B252">
        <v>789.198804065334</v>
      </c>
      <c r="C252">
        <v>17</v>
      </c>
      <c r="D252" t="s">
        <v>40</v>
      </c>
      <c r="E252">
        <v>12</v>
      </c>
      <c r="U252" t="s">
        <v>14</v>
      </c>
      <c r="Y252" t="s">
        <v>544</v>
      </c>
    </row>
    <row r="253" spans="1:25">
      <c r="A253" t="s">
        <v>693</v>
      </c>
      <c r="B253">
        <v>792.43811745599999</v>
      </c>
      <c r="C253">
        <v>20</v>
      </c>
      <c r="D253" t="s">
        <v>770</v>
      </c>
      <c r="E253">
        <v>11</v>
      </c>
      <c r="K253" t="s">
        <v>441</v>
      </c>
      <c r="M253" t="s">
        <v>613</v>
      </c>
      <c r="Y253" t="s">
        <v>544</v>
      </c>
    </row>
    <row r="254" spans="1:25">
      <c r="A254" t="s">
        <v>693</v>
      </c>
      <c r="B254">
        <v>793.198804065334</v>
      </c>
      <c r="C254">
        <v>11.554285813665199</v>
      </c>
      <c r="D254" t="s">
        <v>9</v>
      </c>
      <c r="E254">
        <v>21</v>
      </c>
      <c r="Y254" t="s">
        <v>544</v>
      </c>
    </row>
    <row r="255" spans="1:25">
      <c r="A255" t="s">
        <v>693</v>
      </c>
      <c r="B255">
        <v>793.29845954699204</v>
      </c>
      <c r="C255">
        <v>20</v>
      </c>
      <c r="D255" t="s">
        <v>777</v>
      </c>
      <c r="E255">
        <v>12</v>
      </c>
      <c r="I255" t="s">
        <v>439</v>
      </c>
      <c r="J255" t="s">
        <v>49</v>
      </c>
      <c r="M255" t="s">
        <v>443</v>
      </c>
      <c r="Y255" t="s">
        <v>544</v>
      </c>
    </row>
    <row r="256" spans="1:25">
      <c r="A256" t="s">
        <v>693</v>
      </c>
      <c r="B256">
        <v>797.75308987899996</v>
      </c>
      <c r="C256">
        <v>17</v>
      </c>
      <c r="D256" t="s">
        <v>27</v>
      </c>
      <c r="E256">
        <v>9</v>
      </c>
      <c r="U256" t="s">
        <v>195</v>
      </c>
      <c r="Y256" t="s">
        <v>544</v>
      </c>
    </row>
    <row r="257" spans="1:25">
      <c r="A257" t="s">
        <v>693</v>
      </c>
      <c r="B257">
        <v>801.75308987899996</v>
      </c>
      <c r="C257">
        <v>9.7445068863329407</v>
      </c>
      <c r="D257" t="s">
        <v>18</v>
      </c>
      <c r="E257">
        <v>18</v>
      </c>
      <c r="Y257" t="s">
        <v>544</v>
      </c>
    </row>
    <row r="258" spans="1:25">
      <c r="A258" t="s">
        <v>693</v>
      </c>
      <c r="B258">
        <v>802.99834269265898</v>
      </c>
      <c r="C258">
        <v>8.4992540726735797</v>
      </c>
      <c r="D258" t="s">
        <v>32</v>
      </c>
      <c r="E258">
        <v>7</v>
      </c>
      <c r="R258" t="s">
        <v>23</v>
      </c>
      <c r="Y258" t="s">
        <v>544</v>
      </c>
    </row>
    <row r="259" spans="1:25">
      <c r="A259" t="s">
        <v>693</v>
      </c>
      <c r="B259">
        <v>811.49759676533199</v>
      </c>
      <c r="C259">
        <v>11.800432924993601</v>
      </c>
      <c r="D259" t="s">
        <v>10</v>
      </c>
      <c r="E259">
        <v>15</v>
      </c>
      <c r="Y259" t="s">
        <v>544</v>
      </c>
    </row>
    <row r="260" spans="1:25">
      <c r="A260" t="s">
        <v>693</v>
      </c>
      <c r="B260">
        <v>815.59445937166595</v>
      </c>
      <c r="C260">
        <v>20</v>
      </c>
      <c r="D260" t="s">
        <v>783</v>
      </c>
      <c r="E260">
        <v>4</v>
      </c>
      <c r="K260" t="s">
        <v>48</v>
      </c>
      <c r="M260" t="s">
        <v>613</v>
      </c>
      <c r="Y260" t="s">
        <v>544</v>
      </c>
    </row>
    <row r="261" spans="1:25">
      <c r="A261" t="s">
        <v>693</v>
      </c>
      <c r="B261">
        <v>816.29802969032596</v>
      </c>
      <c r="C261">
        <v>17</v>
      </c>
      <c r="D261" t="s">
        <v>11</v>
      </c>
      <c r="E261">
        <v>7</v>
      </c>
      <c r="T261" t="s">
        <v>12</v>
      </c>
      <c r="Y261" t="s">
        <v>544</v>
      </c>
    </row>
    <row r="262" spans="1:25">
      <c r="A262" t="s">
        <v>693</v>
      </c>
      <c r="B262">
        <v>820.29802969032596</v>
      </c>
      <c r="C262">
        <v>5.7001633033336203</v>
      </c>
      <c r="D262" t="s">
        <v>9</v>
      </c>
      <c r="E262">
        <v>22</v>
      </c>
      <c r="Y262" t="s">
        <v>544</v>
      </c>
    </row>
    <row r="263" spans="1:25">
      <c r="A263" t="s">
        <v>693</v>
      </c>
      <c r="B263">
        <v>823.29802969032596</v>
      </c>
      <c r="C263">
        <v>2.7001633033336199</v>
      </c>
      <c r="D263" t="s">
        <v>19</v>
      </c>
      <c r="E263">
        <v>16</v>
      </c>
      <c r="Y263" t="s">
        <v>544</v>
      </c>
    </row>
    <row r="264" spans="1:25">
      <c r="A264" t="s">
        <v>693</v>
      </c>
      <c r="B264">
        <v>825.99819299366004</v>
      </c>
      <c r="C264">
        <v>7.9998886346697802</v>
      </c>
      <c r="D264" t="s">
        <v>10</v>
      </c>
      <c r="E264">
        <v>16</v>
      </c>
      <c r="Y264" t="s">
        <v>544</v>
      </c>
    </row>
    <row r="265" spans="1:25">
      <c r="A265" t="s">
        <v>693</v>
      </c>
      <c r="B265">
        <v>830.99808162832903</v>
      </c>
      <c r="C265">
        <v>4.09962722667</v>
      </c>
      <c r="D265" t="s">
        <v>18</v>
      </c>
      <c r="E265">
        <v>19</v>
      </c>
      <c r="Y265" t="s">
        <v>544</v>
      </c>
    </row>
    <row r="266" spans="1:25">
      <c r="A266" t="s">
        <v>693</v>
      </c>
      <c r="B266">
        <v>833.99808162832903</v>
      </c>
      <c r="C266">
        <v>1.09962722667</v>
      </c>
      <c r="D266" t="s">
        <v>19</v>
      </c>
      <c r="E266">
        <v>17</v>
      </c>
      <c r="Y266" t="s">
        <v>544</v>
      </c>
    </row>
    <row r="267" spans="1:25">
      <c r="A267" t="s">
        <v>693</v>
      </c>
      <c r="B267">
        <v>835.09770885499995</v>
      </c>
      <c r="C267">
        <v>11.303790383000001</v>
      </c>
      <c r="D267" t="s">
        <v>10</v>
      </c>
      <c r="E267">
        <v>17</v>
      </c>
      <c r="Y267" t="s">
        <v>544</v>
      </c>
    </row>
    <row r="268" spans="1:25">
      <c r="A268" t="s">
        <v>693</v>
      </c>
      <c r="B268">
        <v>837.49384187266298</v>
      </c>
      <c r="C268">
        <v>20</v>
      </c>
      <c r="D268" t="s">
        <v>687</v>
      </c>
      <c r="E268">
        <v>8</v>
      </c>
      <c r="H268" t="s">
        <v>437</v>
      </c>
      <c r="I268" t="s">
        <v>440</v>
      </c>
      <c r="M268" t="s">
        <v>438</v>
      </c>
      <c r="Y268" t="s">
        <v>544</v>
      </c>
    </row>
    <row r="269" spans="1:25">
      <c r="A269" t="s">
        <v>693</v>
      </c>
      <c r="B269">
        <v>839.40149923800004</v>
      </c>
      <c r="C269">
        <v>17</v>
      </c>
      <c r="D269" t="s">
        <v>6</v>
      </c>
      <c r="E269">
        <v>8</v>
      </c>
      <c r="T269" t="s">
        <v>21</v>
      </c>
      <c r="U269" t="s">
        <v>14</v>
      </c>
      <c r="Y269" t="s">
        <v>544</v>
      </c>
    </row>
    <row r="270" spans="1:25">
      <c r="A270" t="s">
        <v>693</v>
      </c>
      <c r="B270">
        <v>841.72352458099999</v>
      </c>
      <c r="C270">
        <v>20</v>
      </c>
      <c r="D270" t="s">
        <v>777</v>
      </c>
      <c r="E270">
        <v>13</v>
      </c>
      <c r="I270" t="s">
        <v>439</v>
      </c>
      <c r="M270" t="s">
        <v>443</v>
      </c>
      <c r="Y270" t="s">
        <v>544</v>
      </c>
    </row>
    <row r="271" spans="1:25">
      <c r="A271" t="s">
        <v>693</v>
      </c>
      <c r="B271">
        <v>843.16027833999999</v>
      </c>
      <c r="C271">
        <v>20</v>
      </c>
      <c r="D271" t="s">
        <v>774</v>
      </c>
      <c r="E271">
        <v>8</v>
      </c>
      <c r="I271" t="s">
        <v>440</v>
      </c>
      <c r="M271" t="s">
        <v>438</v>
      </c>
      <c r="Y271" t="s">
        <v>544</v>
      </c>
    </row>
    <row r="272" spans="1:25">
      <c r="A272" t="s">
        <v>693</v>
      </c>
      <c r="B272">
        <v>843.40149923800004</v>
      </c>
      <c r="C272">
        <v>22.997126985666199</v>
      </c>
      <c r="D272" t="s">
        <v>18</v>
      </c>
      <c r="E272">
        <v>20</v>
      </c>
      <c r="Y272" t="s">
        <v>544</v>
      </c>
    </row>
    <row r="273" spans="1:25">
      <c r="A273" t="s">
        <v>693</v>
      </c>
      <c r="B273">
        <v>843.99844993366401</v>
      </c>
      <c r="C273">
        <v>20</v>
      </c>
      <c r="D273" t="s">
        <v>777</v>
      </c>
      <c r="E273">
        <v>14</v>
      </c>
      <c r="I273" t="s">
        <v>440</v>
      </c>
      <c r="M273" t="s">
        <v>604</v>
      </c>
      <c r="Y273" t="s">
        <v>544</v>
      </c>
    </row>
    <row r="274" spans="1:25">
      <c r="A274" t="s">
        <v>693</v>
      </c>
      <c r="B274">
        <v>846.40149923800004</v>
      </c>
      <c r="C274">
        <v>19.997126985666199</v>
      </c>
      <c r="D274" t="s">
        <v>19</v>
      </c>
      <c r="E274">
        <v>18</v>
      </c>
      <c r="Y274" t="s">
        <v>544</v>
      </c>
    </row>
    <row r="275" spans="1:25">
      <c r="A275" t="s">
        <v>693</v>
      </c>
      <c r="B275">
        <v>847.09867387231805</v>
      </c>
      <c r="C275">
        <v>20</v>
      </c>
      <c r="D275" t="s">
        <v>636</v>
      </c>
      <c r="E275">
        <v>15</v>
      </c>
      <c r="I275" t="s">
        <v>442</v>
      </c>
      <c r="M275" t="s">
        <v>604</v>
      </c>
      <c r="Y275" t="s">
        <v>544</v>
      </c>
    </row>
    <row r="276" spans="1:25">
      <c r="A276" t="s">
        <v>693</v>
      </c>
      <c r="B276">
        <v>849.19314974899896</v>
      </c>
      <c r="C276">
        <v>20</v>
      </c>
      <c r="D276" t="s">
        <v>637</v>
      </c>
      <c r="E276">
        <v>14</v>
      </c>
      <c r="H276" t="s">
        <v>450</v>
      </c>
      <c r="I276" t="s">
        <v>616</v>
      </c>
      <c r="M276" t="s">
        <v>607</v>
      </c>
      <c r="Y276" t="s">
        <v>544</v>
      </c>
    </row>
    <row r="277" spans="1:25">
      <c r="A277" t="s">
        <v>693</v>
      </c>
      <c r="B277">
        <v>849.99881624432999</v>
      </c>
      <c r="C277">
        <v>20</v>
      </c>
      <c r="D277" t="s">
        <v>36</v>
      </c>
      <c r="E277">
        <v>2</v>
      </c>
      <c r="N277">
        <v>94</v>
      </c>
      <c r="O277">
        <v>69</v>
      </c>
      <c r="Q277" t="s">
        <v>700</v>
      </c>
      <c r="Y277" t="s">
        <v>544</v>
      </c>
    </row>
    <row r="278" spans="1:25">
      <c r="A278" t="s">
        <v>693</v>
      </c>
      <c r="B278">
        <v>850.79918204966395</v>
      </c>
      <c r="C278">
        <v>15.6592536704393</v>
      </c>
      <c r="D278" t="s">
        <v>32</v>
      </c>
      <c r="E278">
        <v>8</v>
      </c>
      <c r="R278" t="s">
        <v>20</v>
      </c>
      <c r="Y278" t="s">
        <v>544</v>
      </c>
    </row>
    <row r="279" spans="1:25">
      <c r="A279" t="s">
        <v>693</v>
      </c>
      <c r="B279">
        <v>854.99881624432999</v>
      </c>
      <c r="C279">
        <v>15</v>
      </c>
      <c r="D279" t="s">
        <v>35</v>
      </c>
      <c r="E279">
        <v>2</v>
      </c>
      <c r="Y279" t="s">
        <v>544</v>
      </c>
    </row>
    <row r="280" spans="1:25">
      <c r="A280" t="s">
        <v>693</v>
      </c>
      <c r="B280">
        <v>855.24149732900003</v>
      </c>
      <c r="C280">
        <v>20</v>
      </c>
      <c r="D280" t="s">
        <v>33</v>
      </c>
      <c r="E280">
        <v>5</v>
      </c>
      <c r="Y280" t="s">
        <v>544</v>
      </c>
    </row>
    <row r="281" spans="1:25">
      <c r="A281" t="s">
        <v>693</v>
      </c>
      <c r="B281">
        <v>855.85006869599999</v>
      </c>
      <c r="C281">
        <v>20</v>
      </c>
      <c r="D281" t="s">
        <v>795</v>
      </c>
      <c r="E281">
        <v>5</v>
      </c>
      <c r="H281" t="s">
        <v>460</v>
      </c>
      <c r="L281" t="s">
        <v>448</v>
      </c>
      <c r="M281" t="s">
        <v>543</v>
      </c>
      <c r="Y281" t="s">
        <v>544</v>
      </c>
    </row>
    <row r="282" spans="1:25">
      <c r="A282" t="s">
        <v>693</v>
      </c>
      <c r="B282">
        <v>866.39862622366604</v>
      </c>
      <c r="C282">
        <v>36.700138169000603</v>
      </c>
      <c r="D282" t="s">
        <v>10</v>
      </c>
      <c r="E282">
        <v>18</v>
      </c>
      <c r="Y282" t="s">
        <v>544</v>
      </c>
    </row>
    <row r="283" spans="1:25">
      <c r="A283" t="s">
        <v>693</v>
      </c>
      <c r="B283">
        <v>896.098764392666</v>
      </c>
      <c r="C283">
        <v>17</v>
      </c>
      <c r="D283" t="s">
        <v>11</v>
      </c>
      <c r="E283">
        <v>8</v>
      </c>
      <c r="T283" t="s">
        <v>16</v>
      </c>
      <c r="Y283" t="s">
        <v>544</v>
      </c>
    </row>
    <row r="284" spans="1:25">
      <c r="A284" t="s">
        <v>693</v>
      </c>
      <c r="B284">
        <v>897.49821662065801</v>
      </c>
      <c r="C284">
        <v>20</v>
      </c>
      <c r="D284" t="s">
        <v>636</v>
      </c>
      <c r="E284">
        <v>16</v>
      </c>
      <c r="K284" t="s">
        <v>48</v>
      </c>
      <c r="M284" t="s">
        <v>615</v>
      </c>
      <c r="Y284" t="s">
        <v>544</v>
      </c>
    </row>
    <row r="285" spans="1:25">
      <c r="A285" t="s">
        <v>693</v>
      </c>
      <c r="B285">
        <v>900.098764392666</v>
      </c>
      <c r="C285">
        <v>11.723943008333</v>
      </c>
      <c r="D285" t="s">
        <v>9</v>
      </c>
      <c r="E285">
        <v>23</v>
      </c>
      <c r="Y285" t="s">
        <v>544</v>
      </c>
    </row>
    <row r="286" spans="1:25">
      <c r="A286" t="s">
        <v>693</v>
      </c>
      <c r="B286">
        <v>903.098764392666</v>
      </c>
      <c r="C286">
        <v>26.099881202663799</v>
      </c>
      <c r="D286" t="s">
        <v>19</v>
      </c>
      <c r="E286">
        <v>19</v>
      </c>
      <c r="Y286" t="s">
        <v>544</v>
      </c>
    </row>
    <row r="287" spans="1:25">
      <c r="A287" t="s">
        <v>693</v>
      </c>
      <c r="B287">
        <v>904.822707401</v>
      </c>
      <c r="C287">
        <v>17</v>
      </c>
      <c r="D287" t="s">
        <v>27</v>
      </c>
      <c r="E287">
        <v>10</v>
      </c>
      <c r="U287" t="s">
        <v>28</v>
      </c>
      <c r="Y287" t="s">
        <v>544</v>
      </c>
    </row>
    <row r="288" spans="1:25">
      <c r="A288" t="s">
        <v>693</v>
      </c>
      <c r="B288">
        <v>906.79775941032699</v>
      </c>
      <c r="C288">
        <v>20</v>
      </c>
      <c r="D288" t="s">
        <v>638</v>
      </c>
      <c r="E288">
        <v>18</v>
      </c>
      <c r="I288" t="s">
        <v>439</v>
      </c>
      <c r="M288" t="s">
        <v>736</v>
      </c>
      <c r="Y288" t="s">
        <v>544</v>
      </c>
    </row>
    <row r="289" spans="1:25">
      <c r="A289" t="s">
        <v>693</v>
      </c>
      <c r="B289">
        <v>908.822707401</v>
      </c>
      <c r="C289">
        <v>12.326045723999901</v>
      </c>
      <c r="D289" t="s">
        <v>18</v>
      </c>
      <c r="E289">
        <v>21</v>
      </c>
      <c r="Y289" t="s">
        <v>544</v>
      </c>
    </row>
    <row r="290" spans="1:25">
      <c r="A290" t="s">
        <v>693</v>
      </c>
      <c r="B290">
        <v>910.29245284899298</v>
      </c>
      <c r="C290">
        <v>10.856300276006399</v>
      </c>
      <c r="D290" t="s">
        <v>121</v>
      </c>
      <c r="E290">
        <v>11</v>
      </c>
      <c r="P290" t="s">
        <v>30</v>
      </c>
      <c r="R290" t="s">
        <v>23</v>
      </c>
      <c r="Y290" t="s">
        <v>544</v>
      </c>
    </row>
    <row r="291" spans="1:25">
      <c r="A291" t="s">
        <v>693</v>
      </c>
      <c r="B291">
        <v>913.49835459633096</v>
      </c>
      <c r="C291">
        <v>20</v>
      </c>
      <c r="D291" t="s">
        <v>45</v>
      </c>
      <c r="E291">
        <v>5</v>
      </c>
      <c r="N291">
        <v>73</v>
      </c>
      <c r="O291">
        <v>53</v>
      </c>
      <c r="Q291" t="s">
        <v>601</v>
      </c>
      <c r="Y291" t="s">
        <v>544</v>
      </c>
    </row>
    <row r="292" spans="1:25">
      <c r="A292" t="s">
        <v>693</v>
      </c>
      <c r="B292">
        <v>913.63439574899996</v>
      </c>
      <c r="C292">
        <v>20</v>
      </c>
      <c r="D292" t="s">
        <v>770</v>
      </c>
      <c r="E292">
        <v>12</v>
      </c>
      <c r="K292" t="s">
        <v>441</v>
      </c>
      <c r="M292" t="s">
        <v>615</v>
      </c>
      <c r="Y292" t="s">
        <v>544</v>
      </c>
    </row>
    <row r="293" spans="1:25">
      <c r="A293" t="s">
        <v>693</v>
      </c>
      <c r="B293">
        <v>914.14875312499998</v>
      </c>
      <c r="C293">
        <v>17</v>
      </c>
      <c r="D293" t="s">
        <v>40</v>
      </c>
      <c r="E293">
        <v>13</v>
      </c>
      <c r="U293" t="s">
        <v>28</v>
      </c>
      <c r="Y293" t="s">
        <v>544</v>
      </c>
    </row>
    <row r="294" spans="1:25">
      <c r="A294" t="s">
        <v>693</v>
      </c>
      <c r="B294">
        <v>916.40917908200004</v>
      </c>
      <c r="C294">
        <v>20</v>
      </c>
      <c r="D294" t="s">
        <v>743</v>
      </c>
      <c r="E294">
        <v>20</v>
      </c>
      <c r="I294" t="s">
        <v>439</v>
      </c>
      <c r="M294" t="s">
        <v>443</v>
      </c>
      <c r="Y294" t="s">
        <v>544</v>
      </c>
    </row>
    <row r="295" spans="1:25">
      <c r="A295" t="s">
        <v>693</v>
      </c>
      <c r="B295">
        <v>917.79465107400495</v>
      </c>
      <c r="C295">
        <v>20</v>
      </c>
      <c r="D295" t="s">
        <v>638</v>
      </c>
      <c r="E295">
        <v>19</v>
      </c>
      <c r="G295" t="s">
        <v>448</v>
      </c>
      <c r="Y295" t="s">
        <v>544</v>
      </c>
    </row>
    <row r="296" spans="1:25">
      <c r="A296" t="s">
        <v>693</v>
      </c>
      <c r="B296">
        <v>918.14875312499998</v>
      </c>
      <c r="C296">
        <v>11.0498924703307</v>
      </c>
      <c r="D296" t="s">
        <v>9</v>
      </c>
      <c r="E296">
        <v>24</v>
      </c>
      <c r="Y296" t="s">
        <v>544</v>
      </c>
    </row>
    <row r="297" spans="1:25">
      <c r="A297" t="s">
        <v>693</v>
      </c>
      <c r="B297">
        <v>929.19864559533005</v>
      </c>
      <c r="C297">
        <v>16.998514229332098</v>
      </c>
      <c r="D297" t="s">
        <v>10</v>
      </c>
      <c r="E297">
        <v>19</v>
      </c>
      <c r="Y297" t="s">
        <v>544</v>
      </c>
    </row>
    <row r="298" spans="1:25">
      <c r="A298" t="s">
        <v>693</v>
      </c>
      <c r="B298">
        <v>935.89744470599999</v>
      </c>
      <c r="C298">
        <v>20</v>
      </c>
      <c r="D298" t="s">
        <v>743</v>
      </c>
      <c r="E298">
        <v>21</v>
      </c>
      <c r="I298" t="s">
        <v>442</v>
      </c>
      <c r="M298" t="s">
        <v>438</v>
      </c>
      <c r="Y298" t="s">
        <v>544</v>
      </c>
    </row>
    <row r="299" spans="1:25">
      <c r="A299" t="s">
        <v>693</v>
      </c>
      <c r="B299">
        <v>938.19781291165702</v>
      </c>
      <c r="C299">
        <v>20</v>
      </c>
      <c r="D299" t="s">
        <v>638</v>
      </c>
      <c r="E299">
        <v>20</v>
      </c>
      <c r="I299" t="s">
        <v>439</v>
      </c>
      <c r="M299" t="s">
        <v>604</v>
      </c>
      <c r="Y299" t="s">
        <v>544</v>
      </c>
    </row>
    <row r="300" spans="1:25">
      <c r="A300" t="s">
        <v>693</v>
      </c>
      <c r="B300">
        <v>939.19715982466198</v>
      </c>
      <c r="C300">
        <v>17</v>
      </c>
      <c r="D300" t="s">
        <v>6</v>
      </c>
      <c r="E300">
        <v>9</v>
      </c>
      <c r="T300" t="s">
        <v>25</v>
      </c>
      <c r="Y300" t="s">
        <v>544</v>
      </c>
    </row>
    <row r="301" spans="1:25">
      <c r="A301" t="s">
        <v>693</v>
      </c>
      <c r="B301">
        <v>941.29960420799</v>
      </c>
      <c r="C301">
        <v>20</v>
      </c>
      <c r="D301" t="s">
        <v>637</v>
      </c>
      <c r="E301">
        <v>15</v>
      </c>
      <c r="H301" t="s">
        <v>445</v>
      </c>
      <c r="I301" t="s">
        <v>440</v>
      </c>
      <c r="M301" t="s">
        <v>604</v>
      </c>
      <c r="Y301" t="s">
        <v>544</v>
      </c>
    </row>
    <row r="302" spans="1:25">
      <c r="A302" t="s">
        <v>693</v>
      </c>
      <c r="B302">
        <v>942.19869111099604</v>
      </c>
      <c r="C302">
        <v>20.0959296853319</v>
      </c>
      <c r="D302" t="s">
        <v>121</v>
      </c>
      <c r="E302">
        <v>12</v>
      </c>
      <c r="P302" t="s">
        <v>31</v>
      </c>
      <c r="R302" t="s">
        <v>23</v>
      </c>
      <c r="Y302" t="s">
        <v>544</v>
      </c>
    </row>
    <row r="303" spans="1:25">
      <c r="A303" t="s">
        <v>693</v>
      </c>
      <c r="B303">
        <v>943.19715982466198</v>
      </c>
      <c r="C303">
        <v>23.699795805665101</v>
      </c>
      <c r="D303" t="s">
        <v>18</v>
      </c>
      <c r="E303">
        <v>22</v>
      </c>
      <c r="Y303" t="s">
        <v>544</v>
      </c>
    </row>
    <row r="304" spans="1:25">
      <c r="A304" t="s">
        <v>693</v>
      </c>
      <c r="B304">
        <v>945.49794730066196</v>
      </c>
      <c r="C304">
        <v>20</v>
      </c>
      <c r="D304" t="s">
        <v>638</v>
      </c>
      <c r="E304">
        <v>21</v>
      </c>
      <c r="I304" t="s">
        <v>447</v>
      </c>
      <c r="M304" t="s">
        <v>605</v>
      </c>
      <c r="Y304" t="s">
        <v>544</v>
      </c>
    </row>
    <row r="305" spans="1:25">
      <c r="A305" t="s">
        <v>693</v>
      </c>
      <c r="B305">
        <v>946.19715982466198</v>
      </c>
      <c r="C305">
        <v>20.699795805665101</v>
      </c>
      <c r="D305" t="s">
        <v>19</v>
      </c>
      <c r="E305">
        <v>20</v>
      </c>
      <c r="Y305" t="s">
        <v>544</v>
      </c>
    </row>
    <row r="306" spans="1:25">
      <c r="A306" t="s">
        <v>693</v>
      </c>
      <c r="B306">
        <v>950.79738922133504</v>
      </c>
      <c r="C306">
        <v>20</v>
      </c>
      <c r="D306" t="s">
        <v>685</v>
      </c>
      <c r="E306">
        <v>5</v>
      </c>
      <c r="I306" t="s">
        <v>439</v>
      </c>
      <c r="K306" t="s">
        <v>444</v>
      </c>
      <c r="M306" t="s">
        <v>785</v>
      </c>
      <c r="Y306" t="s">
        <v>544</v>
      </c>
    </row>
    <row r="307" spans="1:25">
      <c r="A307" t="s">
        <v>693</v>
      </c>
      <c r="B307">
        <v>951.89695563032797</v>
      </c>
      <c r="C307">
        <v>20</v>
      </c>
      <c r="D307" t="s">
        <v>36</v>
      </c>
      <c r="E307">
        <v>3</v>
      </c>
      <c r="N307">
        <v>76</v>
      </c>
      <c r="O307">
        <v>47</v>
      </c>
      <c r="Q307" t="s">
        <v>701</v>
      </c>
      <c r="Y307" t="s">
        <v>544</v>
      </c>
    </row>
    <row r="308" spans="1:25">
      <c r="A308" t="s">
        <v>693</v>
      </c>
      <c r="B308">
        <v>951.89695563032797</v>
      </c>
      <c r="C308">
        <v>20</v>
      </c>
      <c r="D308" t="s">
        <v>453</v>
      </c>
      <c r="E308">
        <v>1</v>
      </c>
      <c r="Y308" t="s">
        <v>544</v>
      </c>
    </row>
    <row r="309" spans="1:25">
      <c r="A309" t="s">
        <v>693</v>
      </c>
      <c r="B309">
        <v>952.39822312600097</v>
      </c>
      <c r="C309">
        <v>20</v>
      </c>
      <c r="D309" t="s">
        <v>687</v>
      </c>
      <c r="E309">
        <v>9</v>
      </c>
      <c r="H309" t="s">
        <v>336</v>
      </c>
      <c r="L309" t="s">
        <v>51</v>
      </c>
      <c r="M309" t="s">
        <v>734</v>
      </c>
      <c r="Y309" t="s">
        <v>544</v>
      </c>
    </row>
    <row r="310" spans="1:25">
      <c r="A310" t="s">
        <v>693</v>
      </c>
      <c r="B310">
        <v>954.79937022433296</v>
      </c>
      <c r="C310">
        <v>20</v>
      </c>
      <c r="D310" t="s">
        <v>33</v>
      </c>
      <c r="E310">
        <v>6</v>
      </c>
      <c r="Y310" t="s">
        <v>544</v>
      </c>
    </row>
    <row r="311" spans="1:25">
      <c r="A311" t="s">
        <v>693</v>
      </c>
      <c r="B311">
        <v>955.29462079632799</v>
      </c>
      <c r="C311">
        <v>17</v>
      </c>
      <c r="D311" t="s">
        <v>27</v>
      </c>
      <c r="E311">
        <v>11</v>
      </c>
      <c r="U311" t="s">
        <v>195</v>
      </c>
      <c r="Y311" t="s">
        <v>544</v>
      </c>
    </row>
    <row r="312" spans="1:25">
      <c r="A312" t="s">
        <v>693</v>
      </c>
      <c r="B312">
        <v>956.89695563032797</v>
      </c>
      <c r="C312">
        <v>15</v>
      </c>
      <c r="D312" t="s">
        <v>35</v>
      </c>
      <c r="E312">
        <v>3</v>
      </c>
      <c r="Y312" t="s">
        <v>544</v>
      </c>
    </row>
    <row r="313" spans="1:25">
      <c r="A313" t="s">
        <v>693</v>
      </c>
      <c r="B313">
        <v>966.89695563032797</v>
      </c>
      <c r="C313">
        <v>37.694844719671799</v>
      </c>
      <c r="D313" t="s">
        <v>10</v>
      </c>
      <c r="E313">
        <v>20</v>
      </c>
      <c r="Y313" t="s">
        <v>544</v>
      </c>
    </row>
    <row r="314" spans="1:25">
      <c r="A314" t="s">
        <v>693</v>
      </c>
      <c r="B314">
        <v>1001.59180035</v>
      </c>
      <c r="C314">
        <v>37.102252297659398</v>
      </c>
      <c r="D314" t="s">
        <v>9</v>
      </c>
      <c r="E314">
        <v>25</v>
      </c>
      <c r="Y314" t="s">
        <v>544</v>
      </c>
    </row>
    <row r="315" spans="1:25">
      <c r="A315" t="s">
        <v>693</v>
      </c>
      <c r="B315">
        <v>1003.19836769066</v>
      </c>
      <c r="C315">
        <v>20</v>
      </c>
      <c r="D315" t="s">
        <v>41</v>
      </c>
      <c r="E315">
        <v>4</v>
      </c>
      <c r="Y315" t="s">
        <v>544</v>
      </c>
    </row>
    <row r="316" spans="1:25">
      <c r="A316" t="s">
        <v>693</v>
      </c>
      <c r="B316">
        <v>1004.59180035</v>
      </c>
      <c r="C316">
        <v>1</v>
      </c>
      <c r="D316" t="s">
        <v>17</v>
      </c>
      <c r="E316">
        <v>1</v>
      </c>
      <c r="Y316" t="s">
        <v>544</v>
      </c>
    </row>
    <row r="317" spans="1:25">
      <c r="A317" t="s">
        <v>693</v>
      </c>
      <c r="B317">
        <v>1004.59180035</v>
      </c>
      <c r="C317">
        <v>91.802534388661897</v>
      </c>
      <c r="D317" t="s">
        <v>19</v>
      </c>
      <c r="E317">
        <v>21</v>
      </c>
      <c r="Y317" t="s">
        <v>544</v>
      </c>
    </row>
    <row r="318" spans="1:25">
      <c r="A318" t="s">
        <v>693</v>
      </c>
      <c r="B318">
        <v>1004.6979608763299</v>
      </c>
      <c r="C318">
        <v>20</v>
      </c>
      <c r="D318" t="s">
        <v>777</v>
      </c>
      <c r="E318">
        <v>15</v>
      </c>
      <c r="I318" t="s">
        <v>439</v>
      </c>
      <c r="J318" t="s">
        <v>620</v>
      </c>
      <c r="K318" t="s">
        <v>441</v>
      </c>
      <c r="M318" t="s">
        <v>775</v>
      </c>
      <c r="Y318" t="s">
        <v>544</v>
      </c>
    </row>
    <row r="319" spans="1:25">
      <c r="A319" t="s">
        <v>693</v>
      </c>
      <c r="B319">
        <v>1023.09845757833</v>
      </c>
      <c r="C319">
        <v>17</v>
      </c>
      <c r="D319" t="s">
        <v>40</v>
      </c>
      <c r="E319">
        <v>14</v>
      </c>
      <c r="U319" t="s">
        <v>28</v>
      </c>
      <c r="Y319" t="s">
        <v>544</v>
      </c>
    </row>
    <row r="320" spans="1:25">
      <c r="A320" t="s">
        <v>693</v>
      </c>
      <c r="B320">
        <v>1023.4981956399899</v>
      </c>
      <c r="C320">
        <v>20</v>
      </c>
      <c r="D320" t="s">
        <v>46</v>
      </c>
      <c r="E320">
        <v>2</v>
      </c>
      <c r="R320" t="s">
        <v>23</v>
      </c>
      <c r="Y320" t="s">
        <v>544</v>
      </c>
    </row>
    <row r="321" spans="1:25">
      <c r="A321" t="s">
        <v>693</v>
      </c>
      <c r="B321">
        <v>1025.1973979576601</v>
      </c>
      <c r="C321">
        <v>20</v>
      </c>
      <c r="D321" t="s">
        <v>636</v>
      </c>
      <c r="E321">
        <v>17</v>
      </c>
      <c r="J321" t="s">
        <v>47</v>
      </c>
      <c r="Y321" t="s">
        <v>544</v>
      </c>
    </row>
    <row r="322" spans="1:25">
      <c r="A322" t="s">
        <v>693</v>
      </c>
      <c r="B322">
        <v>1027.9973632466499</v>
      </c>
      <c r="C322">
        <v>20</v>
      </c>
      <c r="D322" t="s">
        <v>774</v>
      </c>
      <c r="E322">
        <v>9</v>
      </c>
      <c r="I322" t="s">
        <v>439</v>
      </c>
      <c r="M322" t="s">
        <v>438</v>
      </c>
      <c r="Y322" t="s">
        <v>544</v>
      </c>
    </row>
    <row r="323" spans="1:25">
      <c r="A323" t="s">
        <v>693</v>
      </c>
      <c r="B323">
        <v>1029.6981744766599</v>
      </c>
      <c r="C323">
        <v>20</v>
      </c>
      <c r="D323" t="s">
        <v>685</v>
      </c>
      <c r="E323">
        <v>6</v>
      </c>
      <c r="I323" t="s">
        <v>439</v>
      </c>
      <c r="M323" t="s">
        <v>605</v>
      </c>
      <c r="Y323" t="s">
        <v>544</v>
      </c>
    </row>
    <row r="324" spans="1:25">
      <c r="A324" t="s">
        <v>693</v>
      </c>
      <c r="B324">
        <v>1030.99887212367</v>
      </c>
      <c r="C324">
        <v>20</v>
      </c>
      <c r="D324" t="s">
        <v>45</v>
      </c>
      <c r="E324">
        <v>6</v>
      </c>
      <c r="Q324" t="s">
        <v>716</v>
      </c>
      <c r="Y324" t="s">
        <v>544</v>
      </c>
    </row>
    <row r="325" spans="1:25">
      <c r="A325" t="s">
        <v>693</v>
      </c>
      <c r="B325">
        <v>1031.6940526476501</v>
      </c>
      <c r="C325">
        <v>17</v>
      </c>
      <c r="D325" t="s">
        <v>27</v>
      </c>
      <c r="E325">
        <v>12</v>
      </c>
      <c r="U325" t="s">
        <v>28</v>
      </c>
      <c r="Y325" t="s">
        <v>544</v>
      </c>
    </row>
    <row r="326" spans="1:25">
      <c r="A326" t="s">
        <v>693</v>
      </c>
      <c r="B326">
        <v>1034.89754327433</v>
      </c>
      <c r="C326">
        <v>17</v>
      </c>
      <c r="D326" t="s">
        <v>40</v>
      </c>
      <c r="E326">
        <v>15</v>
      </c>
      <c r="U326" t="s">
        <v>195</v>
      </c>
      <c r="Y326" t="s">
        <v>544</v>
      </c>
    </row>
    <row r="327" spans="1:25">
      <c r="A327" t="s">
        <v>693</v>
      </c>
      <c r="B327">
        <v>1035.6940526476501</v>
      </c>
      <c r="C327">
        <v>6.2034906266746903</v>
      </c>
      <c r="D327" t="s">
        <v>18</v>
      </c>
      <c r="E327">
        <v>23</v>
      </c>
      <c r="Y327" t="s">
        <v>544</v>
      </c>
    </row>
    <row r="328" spans="1:25">
      <c r="A328" t="s">
        <v>693</v>
      </c>
      <c r="B328">
        <v>1037.5153265829999</v>
      </c>
      <c r="C328">
        <v>20</v>
      </c>
      <c r="D328" t="s">
        <v>638</v>
      </c>
      <c r="E328">
        <v>22</v>
      </c>
      <c r="G328" t="s">
        <v>449</v>
      </c>
      <c r="I328" t="s">
        <v>439</v>
      </c>
      <c r="M328" t="s">
        <v>766</v>
      </c>
      <c r="Y328" t="s">
        <v>544</v>
      </c>
    </row>
    <row r="329" spans="1:25">
      <c r="A329" t="s">
        <v>693</v>
      </c>
      <c r="B329">
        <v>1038.89754327433</v>
      </c>
      <c r="C329">
        <v>8.2993101919946604</v>
      </c>
      <c r="D329" t="s">
        <v>9</v>
      </c>
      <c r="E329">
        <v>26</v>
      </c>
      <c r="Y329" t="s">
        <v>544</v>
      </c>
    </row>
    <row r="330" spans="1:25">
      <c r="A330" t="s">
        <v>693</v>
      </c>
      <c r="B330">
        <v>1040.1968534663199</v>
      </c>
      <c r="C330">
        <v>17</v>
      </c>
      <c r="D330" t="s">
        <v>27</v>
      </c>
      <c r="E330">
        <v>13</v>
      </c>
      <c r="U330" t="s">
        <v>28</v>
      </c>
      <c r="Y330" t="s">
        <v>544</v>
      </c>
    </row>
    <row r="331" spans="1:25">
      <c r="A331" t="s">
        <v>693</v>
      </c>
      <c r="B331">
        <v>1044.1968534663199</v>
      </c>
      <c r="C331">
        <v>44.797738731005602</v>
      </c>
      <c r="D331" t="s">
        <v>18</v>
      </c>
      <c r="E331">
        <v>24</v>
      </c>
      <c r="Y331" t="s">
        <v>544</v>
      </c>
    </row>
    <row r="332" spans="1:25">
      <c r="A332" t="s">
        <v>693</v>
      </c>
      <c r="B332">
        <v>1047.4985900419799</v>
      </c>
      <c r="C332">
        <v>20</v>
      </c>
      <c r="D332" t="s">
        <v>774</v>
      </c>
      <c r="E332">
        <v>10</v>
      </c>
      <c r="H332" t="s">
        <v>445</v>
      </c>
      <c r="I332" t="s">
        <v>440</v>
      </c>
      <c r="M332" t="s">
        <v>604</v>
      </c>
      <c r="Y332" t="s">
        <v>544</v>
      </c>
    </row>
    <row r="333" spans="1:25">
      <c r="A333" t="s">
        <v>693</v>
      </c>
      <c r="B333">
        <v>1047.9974089663201</v>
      </c>
      <c r="C333">
        <v>38.298815888331497</v>
      </c>
      <c r="D333" t="s">
        <v>121</v>
      </c>
      <c r="E333">
        <v>13</v>
      </c>
      <c r="P333" t="s">
        <v>29</v>
      </c>
      <c r="R333" t="s">
        <v>20</v>
      </c>
      <c r="Y333" t="s">
        <v>544</v>
      </c>
    </row>
    <row r="334" spans="1:25">
      <c r="A334" t="s">
        <v>693</v>
      </c>
      <c r="B334">
        <v>1054.19861154099</v>
      </c>
      <c r="C334">
        <v>20</v>
      </c>
      <c r="D334" t="s">
        <v>638</v>
      </c>
      <c r="E334">
        <v>23</v>
      </c>
      <c r="I334" t="s">
        <v>439</v>
      </c>
      <c r="M334" t="s">
        <v>604</v>
      </c>
      <c r="Y334" t="s">
        <v>544</v>
      </c>
    </row>
    <row r="335" spans="1:25">
      <c r="A335" t="s">
        <v>693</v>
      </c>
      <c r="B335">
        <v>1055.9953538120001</v>
      </c>
      <c r="C335">
        <v>20</v>
      </c>
      <c r="D335" t="s">
        <v>774</v>
      </c>
      <c r="E335">
        <v>11</v>
      </c>
      <c r="H335" t="s">
        <v>445</v>
      </c>
      <c r="I335" t="s">
        <v>442</v>
      </c>
      <c r="M335" t="s">
        <v>604</v>
      </c>
      <c r="Y335" t="s">
        <v>544</v>
      </c>
    </row>
    <row r="336" spans="1:25">
      <c r="A336" t="s">
        <v>693</v>
      </c>
      <c r="B336">
        <v>1057.8983922899799</v>
      </c>
      <c r="C336">
        <v>20</v>
      </c>
      <c r="D336" t="s">
        <v>636</v>
      </c>
      <c r="E336">
        <v>18</v>
      </c>
      <c r="H336" t="s">
        <v>450</v>
      </c>
      <c r="I336" t="s">
        <v>750</v>
      </c>
      <c r="M336" t="s">
        <v>607</v>
      </c>
      <c r="Y336" t="s">
        <v>544</v>
      </c>
    </row>
    <row r="337" spans="1:25">
      <c r="A337" t="s">
        <v>693</v>
      </c>
      <c r="B337">
        <v>1065.29845585932</v>
      </c>
      <c r="C337">
        <v>20</v>
      </c>
      <c r="D337" t="s">
        <v>33</v>
      </c>
      <c r="E337">
        <v>7</v>
      </c>
      <c r="Y337" t="s">
        <v>544</v>
      </c>
    </row>
    <row r="338" spans="1:25">
      <c r="A338" t="s">
        <v>693</v>
      </c>
      <c r="B338">
        <v>1065.6989136576599</v>
      </c>
      <c r="C338">
        <v>22.800131983657302</v>
      </c>
      <c r="D338" t="s">
        <v>32</v>
      </c>
      <c r="E338">
        <v>9</v>
      </c>
      <c r="R338" t="s">
        <v>20</v>
      </c>
      <c r="Y338" t="s">
        <v>544</v>
      </c>
    </row>
    <row r="339" spans="1:25">
      <c r="A339" t="s">
        <v>693</v>
      </c>
      <c r="B339">
        <v>1067.6989136576599</v>
      </c>
      <c r="C339">
        <v>20.800131983657302</v>
      </c>
      <c r="D339" t="s">
        <v>18</v>
      </c>
      <c r="E339">
        <v>25</v>
      </c>
      <c r="Y339" t="s">
        <v>544</v>
      </c>
    </row>
    <row r="340" spans="1:25">
      <c r="A340" t="s">
        <v>693</v>
      </c>
      <c r="B340">
        <v>1067.924245791</v>
      </c>
      <c r="C340">
        <v>20</v>
      </c>
      <c r="D340" t="s">
        <v>783</v>
      </c>
      <c r="E340">
        <v>5</v>
      </c>
      <c r="H340" t="s">
        <v>784</v>
      </c>
      <c r="I340" t="s">
        <v>53</v>
      </c>
      <c r="M340" t="s">
        <v>610</v>
      </c>
      <c r="Y340" t="s">
        <v>544</v>
      </c>
    </row>
    <row r="341" spans="1:25">
      <c r="A341" t="s">
        <v>693</v>
      </c>
      <c r="B341">
        <v>1068.59430383733</v>
      </c>
      <c r="C341">
        <v>20</v>
      </c>
      <c r="D341" t="s">
        <v>135</v>
      </c>
      <c r="E341">
        <v>5</v>
      </c>
      <c r="Y341" t="s">
        <v>544</v>
      </c>
    </row>
    <row r="342" spans="1:25">
      <c r="A342" t="s">
        <v>693</v>
      </c>
      <c r="B342">
        <v>1070.6989136576599</v>
      </c>
      <c r="C342">
        <v>15.295678539664999</v>
      </c>
      <c r="D342" t="s">
        <v>9</v>
      </c>
      <c r="E342">
        <v>27</v>
      </c>
      <c r="Y342" t="s">
        <v>544</v>
      </c>
    </row>
    <row r="343" spans="1:25">
      <c r="A343" t="s">
        <v>693</v>
      </c>
      <c r="B343">
        <v>1071.2962248546601</v>
      </c>
      <c r="C343">
        <v>20</v>
      </c>
      <c r="D343" t="s">
        <v>36</v>
      </c>
      <c r="E343">
        <v>4</v>
      </c>
      <c r="N343">
        <v>94</v>
      </c>
      <c r="O343">
        <v>48</v>
      </c>
      <c r="Q343" t="s">
        <v>702</v>
      </c>
      <c r="Y343" t="s">
        <v>544</v>
      </c>
    </row>
    <row r="344" spans="1:25">
      <c r="A344" t="s">
        <v>693</v>
      </c>
      <c r="B344">
        <v>1073.0638033719999</v>
      </c>
      <c r="C344">
        <v>20</v>
      </c>
      <c r="D344" t="s">
        <v>34</v>
      </c>
      <c r="E344">
        <v>4</v>
      </c>
      <c r="R344" t="s">
        <v>20</v>
      </c>
      <c r="Y344" t="s">
        <v>544</v>
      </c>
    </row>
    <row r="345" spans="1:25">
      <c r="A345" t="s">
        <v>693</v>
      </c>
      <c r="B345">
        <v>1073.809857251</v>
      </c>
      <c r="C345">
        <v>20</v>
      </c>
      <c r="D345" t="s">
        <v>135</v>
      </c>
      <c r="E345">
        <v>6</v>
      </c>
      <c r="Y345" t="s">
        <v>544</v>
      </c>
    </row>
    <row r="346" spans="1:25">
      <c r="A346" t="s">
        <v>693</v>
      </c>
      <c r="B346">
        <v>1074.1816293259999</v>
      </c>
      <c r="C346">
        <v>20</v>
      </c>
      <c r="D346" t="s">
        <v>795</v>
      </c>
      <c r="E346">
        <v>6</v>
      </c>
      <c r="H346" t="s">
        <v>435</v>
      </c>
      <c r="M346" t="s">
        <v>543</v>
      </c>
      <c r="Y346" t="s">
        <v>544</v>
      </c>
    </row>
    <row r="347" spans="1:25">
      <c r="A347" t="s">
        <v>693</v>
      </c>
      <c r="B347">
        <v>1075.333876877</v>
      </c>
      <c r="C347">
        <v>20</v>
      </c>
      <c r="D347" t="s">
        <v>687</v>
      </c>
      <c r="E347">
        <v>10</v>
      </c>
      <c r="H347" t="s">
        <v>435</v>
      </c>
      <c r="L347" t="s">
        <v>37</v>
      </c>
      <c r="Y347" t="s">
        <v>544</v>
      </c>
    </row>
    <row r="348" spans="1:25">
      <c r="A348" t="s">
        <v>693</v>
      </c>
      <c r="B348">
        <v>1076.2962248546601</v>
      </c>
      <c r="C348">
        <v>15</v>
      </c>
      <c r="D348" t="s">
        <v>35</v>
      </c>
      <c r="E348">
        <v>4</v>
      </c>
      <c r="Y348" t="s">
        <v>544</v>
      </c>
    </row>
    <row r="349" spans="1:25">
      <c r="A349" t="s">
        <v>693</v>
      </c>
      <c r="B349">
        <v>1081.49904564132</v>
      </c>
      <c r="C349">
        <v>17</v>
      </c>
      <c r="D349" t="s">
        <v>40</v>
      </c>
      <c r="E349">
        <v>16</v>
      </c>
      <c r="U349" t="s">
        <v>14</v>
      </c>
      <c r="W349" t="s">
        <v>711</v>
      </c>
      <c r="Y349" t="s">
        <v>544</v>
      </c>
    </row>
    <row r="350" spans="1:25">
      <c r="A350" t="s">
        <v>693</v>
      </c>
      <c r="B350">
        <v>1085.49904564132</v>
      </c>
      <c r="C350">
        <v>10.895289097335001</v>
      </c>
      <c r="D350" t="s">
        <v>9</v>
      </c>
      <c r="E350">
        <v>28</v>
      </c>
      <c r="Y350" t="s">
        <v>544</v>
      </c>
    </row>
    <row r="351" spans="1:25">
      <c r="A351" t="s">
        <v>693</v>
      </c>
      <c r="B351">
        <v>1096.3943347386601</v>
      </c>
      <c r="C351">
        <v>16.403834207668002</v>
      </c>
      <c r="D351" t="s">
        <v>10</v>
      </c>
      <c r="E351">
        <v>21</v>
      </c>
      <c r="Y351" t="s">
        <v>544</v>
      </c>
    </row>
    <row r="352" spans="1:25">
      <c r="A352" t="s">
        <v>693</v>
      </c>
      <c r="B352">
        <v>1105.79816894633</v>
      </c>
      <c r="C352">
        <v>17</v>
      </c>
      <c r="D352" t="s">
        <v>11</v>
      </c>
      <c r="E352">
        <v>9</v>
      </c>
      <c r="T352" t="s">
        <v>13</v>
      </c>
      <c r="Y352" t="s">
        <v>544</v>
      </c>
    </row>
    <row r="353" spans="1:25">
      <c r="A353" t="s">
        <v>693</v>
      </c>
      <c r="B353">
        <v>1108.8981496963299</v>
      </c>
      <c r="C353">
        <v>20</v>
      </c>
      <c r="D353" t="s">
        <v>41</v>
      </c>
      <c r="E353">
        <v>5</v>
      </c>
      <c r="Y353" t="s">
        <v>544</v>
      </c>
    </row>
    <row r="354" spans="1:25">
      <c r="A354" t="s">
        <v>693</v>
      </c>
      <c r="B354">
        <v>1109.79816894633</v>
      </c>
      <c r="C354">
        <v>10.3957962306672</v>
      </c>
      <c r="D354" t="s">
        <v>9</v>
      </c>
      <c r="E354">
        <v>29</v>
      </c>
      <c r="Y354" t="s">
        <v>544</v>
      </c>
    </row>
    <row r="355" spans="1:25">
      <c r="A355" t="s">
        <v>693</v>
      </c>
      <c r="B355">
        <v>1110.0847451679999</v>
      </c>
      <c r="C355">
        <v>20</v>
      </c>
      <c r="D355" t="s">
        <v>777</v>
      </c>
      <c r="E355">
        <v>16</v>
      </c>
      <c r="J355" t="s">
        <v>620</v>
      </c>
      <c r="K355" t="s">
        <v>441</v>
      </c>
      <c r="M355" t="s">
        <v>615</v>
      </c>
      <c r="Y355" t="s">
        <v>544</v>
      </c>
    </row>
    <row r="356" spans="1:25">
      <c r="A356" t="s">
        <v>693</v>
      </c>
      <c r="B356">
        <v>1112.79816894633</v>
      </c>
      <c r="C356">
        <v>7.3957962306671998</v>
      </c>
      <c r="D356" t="s">
        <v>19</v>
      </c>
      <c r="E356">
        <v>22</v>
      </c>
      <c r="Y356" t="s">
        <v>544</v>
      </c>
    </row>
    <row r="357" spans="1:25">
      <c r="A357" t="s">
        <v>693</v>
      </c>
      <c r="B357">
        <v>1120.1939651769901</v>
      </c>
      <c r="C357">
        <v>16.611684334002799</v>
      </c>
      <c r="D357" t="s">
        <v>10</v>
      </c>
      <c r="E357">
        <v>22</v>
      </c>
      <c r="Y357" t="s">
        <v>544</v>
      </c>
    </row>
    <row r="358" spans="1:25">
      <c r="A358" t="s">
        <v>693</v>
      </c>
      <c r="B358">
        <v>1129.805649511</v>
      </c>
      <c r="C358">
        <v>17</v>
      </c>
      <c r="D358" t="s">
        <v>11</v>
      </c>
      <c r="E358">
        <v>10</v>
      </c>
      <c r="T358" t="s">
        <v>12</v>
      </c>
      <c r="U358" t="s">
        <v>28</v>
      </c>
      <c r="Y358" t="s">
        <v>544</v>
      </c>
    </row>
    <row r="359" spans="1:25">
      <c r="A359" t="s">
        <v>693</v>
      </c>
      <c r="B359">
        <v>1129.8968335796601</v>
      </c>
      <c r="C359">
        <v>20</v>
      </c>
      <c r="D359" t="s">
        <v>46</v>
      </c>
      <c r="E359">
        <v>3</v>
      </c>
      <c r="R359" t="s">
        <v>23</v>
      </c>
      <c r="Y359" t="s">
        <v>544</v>
      </c>
    </row>
    <row r="360" spans="1:25">
      <c r="A360" t="s">
        <v>693</v>
      </c>
      <c r="B360">
        <v>1133.805649511</v>
      </c>
      <c r="C360">
        <v>7.2863040069985301</v>
      </c>
      <c r="D360" t="s">
        <v>9</v>
      </c>
      <c r="E360">
        <v>30</v>
      </c>
      <c r="Y360" t="s">
        <v>544</v>
      </c>
    </row>
    <row r="361" spans="1:25">
      <c r="A361" t="s">
        <v>693</v>
      </c>
      <c r="B361">
        <v>1134.0919535179901</v>
      </c>
      <c r="C361">
        <v>17</v>
      </c>
      <c r="D361" t="s">
        <v>27</v>
      </c>
      <c r="E361">
        <v>14</v>
      </c>
      <c r="U361" t="s">
        <v>28</v>
      </c>
      <c r="Y361" t="s">
        <v>544</v>
      </c>
    </row>
    <row r="362" spans="1:25">
      <c r="A362" t="s">
        <v>693</v>
      </c>
      <c r="B362">
        <v>1136.805649511</v>
      </c>
      <c r="C362">
        <v>37.092792481998202</v>
      </c>
      <c r="D362" t="s">
        <v>19</v>
      </c>
      <c r="E362">
        <v>23</v>
      </c>
      <c r="Y362" t="s">
        <v>544</v>
      </c>
    </row>
    <row r="363" spans="1:25">
      <c r="A363" t="s">
        <v>693</v>
      </c>
      <c r="B363">
        <v>1138.0919535179901</v>
      </c>
      <c r="C363">
        <v>35.806488474999597</v>
      </c>
      <c r="D363" t="s">
        <v>18</v>
      </c>
      <c r="E363">
        <v>26</v>
      </c>
      <c r="Y363" t="s">
        <v>544</v>
      </c>
    </row>
    <row r="364" spans="1:25">
      <c r="A364" t="s">
        <v>693</v>
      </c>
      <c r="B364">
        <v>1138.79362437533</v>
      </c>
      <c r="C364">
        <v>20</v>
      </c>
      <c r="D364" t="s">
        <v>638</v>
      </c>
      <c r="E364">
        <v>24</v>
      </c>
      <c r="I364" t="s">
        <v>442</v>
      </c>
      <c r="M364" t="s">
        <v>438</v>
      </c>
      <c r="Y364" t="s">
        <v>544</v>
      </c>
    </row>
    <row r="365" spans="1:25">
      <c r="A365" t="s">
        <v>693</v>
      </c>
      <c r="B365">
        <v>1142.7985693706601</v>
      </c>
      <c r="C365">
        <v>20</v>
      </c>
      <c r="D365" t="s">
        <v>743</v>
      </c>
      <c r="E365">
        <v>22</v>
      </c>
      <c r="I365" t="s">
        <v>440</v>
      </c>
      <c r="M365" t="s">
        <v>604</v>
      </c>
      <c r="Y365" t="s">
        <v>544</v>
      </c>
    </row>
    <row r="366" spans="1:25">
      <c r="A366" t="s">
        <v>693</v>
      </c>
      <c r="B366">
        <v>1142.99721349532</v>
      </c>
      <c r="C366">
        <v>30.901228497669301</v>
      </c>
      <c r="D366" t="s">
        <v>121</v>
      </c>
      <c r="E366">
        <v>14</v>
      </c>
      <c r="R366" t="s">
        <v>20</v>
      </c>
      <c r="Y366" t="s">
        <v>544</v>
      </c>
    </row>
    <row r="367" spans="1:25">
      <c r="A367" t="s">
        <v>693</v>
      </c>
      <c r="B367">
        <v>1151.6955703449901</v>
      </c>
      <c r="C367">
        <v>20</v>
      </c>
      <c r="D367" t="s">
        <v>638</v>
      </c>
      <c r="E367">
        <v>25</v>
      </c>
      <c r="I367" t="s">
        <v>439</v>
      </c>
      <c r="M367" t="s">
        <v>604</v>
      </c>
      <c r="Y367" t="s">
        <v>544</v>
      </c>
    </row>
    <row r="368" spans="1:25">
      <c r="A368" t="s">
        <v>693</v>
      </c>
      <c r="B368">
        <v>1153.0110371779999</v>
      </c>
      <c r="C368">
        <v>20</v>
      </c>
      <c r="D368" t="s">
        <v>637</v>
      </c>
      <c r="E368">
        <v>16</v>
      </c>
      <c r="H368" t="s">
        <v>445</v>
      </c>
      <c r="I368" t="s">
        <v>439</v>
      </c>
      <c r="M368" t="s">
        <v>605</v>
      </c>
      <c r="Y368" t="s">
        <v>544</v>
      </c>
    </row>
    <row r="369" spans="1:25">
      <c r="A369" t="s">
        <v>693</v>
      </c>
      <c r="B369">
        <v>1156.6969669590001</v>
      </c>
      <c r="C369">
        <v>20</v>
      </c>
      <c r="D369" t="s">
        <v>770</v>
      </c>
      <c r="E369">
        <v>13</v>
      </c>
      <c r="K369" t="s">
        <v>444</v>
      </c>
      <c r="M369" t="s">
        <v>615</v>
      </c>
      <c r="Y369" t="s">
        <v>544</v>
      </c>
    </row>
    <row r="370" spans="1:25">
      <c r="A370" t="s">
        <v>693</v>
      </c>
      <c r="B370">
        <v>1159.39873004632</v>
      </c>
      <c r="C370">
        <v>20</v>
      </c>
      <c r="D370" t="s">
        <v>685</v>
      </c>
      <c r="E370">
        <v>7</v>
      </c>
      <c r="I370" t="s">
        <v>634</v>
      </c>
      <c r="M370" t="s">
        <v>443</v>
      </c>
      <c r="Y370" t="s">
        <v>544</v>
      </c>
    </row>
    <row r="371" spans="1:25">
      <c r="A371" t="s">
        <v>693</v>
      </c>
      <c r="B371">
        <v>1173.89844199299</v>
      </c>
      <c r="C371">
        <v>12.0310897720019</v>
      </c>
      <c r="D371" t="s">
        <v>10</v>
      </c>
      <c r="E371">
        <v>23</v>
      </c>
      <c r="Y371" t="s">
        <v>544</v>
      </c>
    </row>
    <row r="372" spans="1:25">
      <c r="A372" t="s">
        <v>693</v>
      </c>
      <c r="B372">
        <v>1246.2987464559801</v>
      </c>
      <c r="C372">
        <v>20</v>
      </c>
      <c r="D372" t="s">
        <v>777</v>
      </c>
      <c r="E372">
        <v>17</v>
      </c>
      <c r="I372" t="s">
        <v>439</v>
      </c>
      <c r="M372" t="s">
        <v>438</v>
      </c>
      <c r="Y372" t="s">
        <v>544</v>
      </c>
    </row>
    <row r="373" spans="1:25">
      <c r="A373" t="s">
        <v>693</v>
      </c>
      <c r="B373">
        <v>1246.99793555366</v>
      </c>
      <c r="C373">
        <v>17</v>
      </c>
      <c r="D373" t="s">
        <v>11</v>
      </c>
      <c r="E373">
        <v>11</v>
      </c>
      <c r="T373" t="s">
        <v>12</v>
      </c>
      <c r="Y373" t="s">
        <v>544</v>
      </c>
    </row>
    <row r="374" spans="1:25">
      <c r="A374" t="s">
        <v>693</v>
      </c>
      <c r="B374">
        <v>1250.0447482940001</v>
      </c>
      <c r="C374">
        <v>20</v>
      </c>
      <c r="D374" t="s">
        <v>687</v>
      </c>
      <c r="E374">
        <v>11</v>
      </c>
      <c r="H374" t="s">
        <v>437</v>
      </c>
      <c r="I374" t="s">
        <v>440</v>
      </c>
      <c r="M374" t="s">
        <v>604</v>
      </c>
      <c r="Y374" t="s">
        <v>544</v>
      </c>
    </row>
    <row r="375" spans="1:25">
      <c r="A375" t="s">
        <v>693</v>
      </c>
      <c r="B375">
        <v>1250.99793555366</v>
      </c>
      <c r="C375">
        <v>8.4006453636691205</v>
      </c>
      <c r="D375" t="s">
        <v>9</v>
      </c>
      <c r="E375">
        <v>31</v>
      </c>
      <c r="Y375" t="s">
        <v>544</v>
      </c>
    </row>
    <row r="376" spans="1:25">
      <c r="A376" t="s">
        <v>693</v>
      </c>
      <c r="B376">
        <v>1252.39858091733</v>
      </c>
      <c r="C376">
        <v>17</v>
      </c>
      <c r="D376" t="s">
        <v>27</v>
      </c>
      <c r="E376">
        <v>15</v>
      </c>
      <c r="U376" t="s">
        <v>195</v>
      </c>
      <c r="Y376" t="s">
        <v>544</v>
      </c>
    </row>
    <row r="377" spans="1:25">
      <c r="A377" t="s">
        <v>693</v>
      </c>
      <c r="B377">
        <v>1253.0764862829999</v>
      </c>
      <c r="C377">
        <v>20</v>
      </c>
      <c r="D377" t="s">
        <v>777</v>
      </c>
      <c r="E377">
        <v>18</v>
      </c>
      <c r="H377" t="s">
        <v>621</v>
      </c>
      <c r="M377" t="s">
        <v>631</v>
      </c>
      <c r="Y377" t="s">
        <v>544</v>
      </c>
    </row>
    <row r="378" spans="1:25">
      <c r="A378" t="s">
        <v>693</v>
      </c>
      <c r="B378">
        <v>1253.99793555366</v>
      </c>
      <c r="C378">
        <v>77.800681278331695</v>
      </c>
      <c r="D378" t="s">
        <v>19</v>
      </c>
      <c r="E378">
        <v>24</v>
      </c>
      <c r="Y378" t="s">
        <v>544</v>
      </c>
    </row>
    <row r="379" spans="1:25">
      <c r="A379" t="s">
        <v>693</v>
      </c>
      <c r="B379">
        <v>1256.39858091733</v>
      </c>
      <c r="C379">
        <v>12.699189434998701</v>
      </c>
      <c r="D379" t="s">
        <v>18</v>
      </c>
      <c r="E379">
        <v>27</v>
      </c>
      <c r="Y379" t="s">
        <v>544</v>
      </c>
    </row>
    <row r="380" spans="1:25">
      <c r="A380" t="s">
        <v>693</v>
      </c>
      <c r="B380">
        <v>1257.5534628749999</v>
      </c>
      <c r="C380">
        <v>20</v>
      </c>
      <c r="D380" t="s">
        <v>770</v>
      </c>
      <c r="E380">
        <v>14</v>
      </c>
      <c r="K380" t="s">
        <v>444</v>
      </c>
      <c r="M380" t="s">
        <v>613</v>
      </c>
      <c r="Y380" t="s">
        <v>544</v>
      </c>
    </row>
    <row r="381" spans="1:25">
      <c r="A381" t="s">
        <v>693</v>
      </c>
      <c r="B381">
        <v>1262.0977703523299</v>
      </c>
      <c r="C381">
        <v>17</v>
      </c>
      <c r="D381" t="s">
        <v>40</v>
      </c>
      <c r="E381">
        <v>17</v>
      </c>
      <c r="U381" t="s">
        <v>195</v>
      </c>
      <c r="Y381" t="s">
        <v>544</v>
      </c>
    </row>
    <row r="382" spans="1:25">
      <c r="A382" t="s">
        <v>693</v>
      </c>
      <c r="B382">
        <v>1266.0977703523299</v>
      </c>
      <c r="C382">
        <v>33.600939180334002</v>
      </c>
      <c r="D382" t="s">
        <v>9</v>
      </c>
      <c r="E382">
        <v>32</v>
      </c>
      <c r="Y382" t="s">
        <v>544</v>
      </c>
    </row>
    <row r="383" spans="1:25">
      <c r="A383" t="s">
        <v>693</v>
      </c>
      <c r="B383">
        <v>1270.467365015</v>
      </c>
      <c r="C383">
        <v>15</v>
      </c>
      <c r="D383" t="s">
        <v>328</v>
      </c>
      <c r="E383">
        <v>1</v>
      </c>
      <c r="Y383" t="s">
        <v>544</v>
      </c>
    </row>
    <row r="384" spans="1:25">
      <c r="A384" t="s">
        <v>693</v>
      </c>
      <c r="B384">
        <v>1288.097720751</v>
      </c>
      <c r="C384">
        <v>20</v>
      </c>
      <c r="D384" t="s">
        <v>636</v>
      </c>
      <c r="E384">
        <v>19</v>
      </c>
      <c r="I384" t="s">
        <v>440</v>
      </c>
      <c r="M384" t="s">
        <v>438</v>
      </c>
      <c r="Y384" t="s">
        <v>544</v>
      </c>
    </row>
    <row r="385" spans="1:25">
      <c r="A385" t="s">
        <v>693</v>
      </c>
      <c r="B385">
        <v>1291.3975705836499</v>
      </c>
      <c r="C385">
        <v>20</v>
      </c>
      <c r="D385" t="s">
        <v>638</v>
      </c>
      <c r="E385">
        <v>26</v>
      </c>
      <c r="I385" t="s">
        <v>439</v>
      </c>
      <c r="M385" t="s">
        <v>604</v>
      </c>
      <c r="Y385" t="s">
        <v>544</v>
      </c>
    </row>
    <row r="386" spans="1:25">
      <c r="A386" t="s">
        <v>693</v>
      </c>
      <c r="B386">
        <v>1292.6987095326599</v>
      </c>
      <c r="C386">
        <v>17</v>
      </c>
      <c r="D386" t="s">
        <v>6</v>
      </c>
      <c r="E386">
        <v>10</v>
      </c>
      <c r="T386" t="s">
        <v>24</v>
      </c>
      <c r="Y386" t="s">
        <v>544</v>
      </c>
    </row>
    <row r="387" spans="1:25">
      <c r="A387" t="s">
        <v>693</v>
      </c>
      <c r="B387">
        <v>1293.19920179633</v>
      </c>
      <c r="C387">
        <v>20</v>
      </c>
      <c r="D387" t="s">
        <v>770</v>
      </c>
      <c r="E387">
        <v>15</v>
      </c>
      <c r="H387" t="s">
        <v>445</v>
      </c>
      <c r="I387" t="s">
        <v>771</v>
      </c>
      <c r="M387" t="s">
        <v>661</v>
      </c>
      <c r="Y387" t="s">
        <v>544</v>
      </c>
    </row>
    <row r="388" spans="1:25">
      <c r="A388" t="s">
        <v>693</v>
      </c>
      <c r="B388">
        <v>1295.49863557299</v>
      </c>
      <c r="C388">
        <v>13.9995461610087</v>
      </c>
      <c r="D388" t="s">
        <v>121</v>
      </c>
      <c r="E388">
        <v>15</v>
      </c>
      <c r="P388" t="s">
        <v>30</v>
      </c>
      <c r="R388" t="s">
        <v>23</v>
      </c>
      <c r="Y388" t="s">
        <v>544</v>
      </c>
    </row>
    <row r="389" spans="1:25">
      <c r="A389" t="s">
        <v>693</v>
      </c>
      <c r="B389">
        <v>1295.4990647956599</v>
      </c>
      <c r="C389">
        <v>20</v>
      </c>
      <c r="D389" t="s">
        <v>636</v>
      </c>
      <c r="E389">
        <v>20</v>
      </c>
      <c r="H389" t="s">
        <v>621</v>
      </c>
      <c r="I389" t="s">
        <v>442</v>
      </c>
      <c r="M389" t="s">
        <v>604</v>
      </c>
      <c r="Y389" t="s">
        <v>544</v>
      </c>
    </row>
    <row r="390" spans="1:25">
      <c r="A390" t="s">
        <v>693</v>
      </c>
      <c r="B390">
        <v>1296.6987095326599</v>
      </c>
      <c r="C390">
        <v>12.799472201334</v>
      </c>
      <c r="D390" t="s">
        <v>18</v>
      </c>
      <c r="E390">
        <v>28</v>
      </c>
      <c r="Y390" t="s">
        <v>544</v>
      </c>
    </row>
    <row r="391" spans="1:25">
      <c r="A391" t="s">
        <v>693</v>
      </c>
      <c r="B391">
        <v>1297.3977375023201</v>
      </c>
      <c r="C391">
        <v>20</v>
      </c>
      <c r="D391" t="s">
        <v>770</v>
      </c>
      <c r="E391">
        <v>16</v>
      </c>
      <c r="H391" t="s">
        <v>445</v>
      </c>
      <c r="M391" t="s">
        <v>663</v>
      </c>
      <c r="Y391" t="s">
        <v>544</v>
      </c>
    </row>
    <row r="392" spans="1:25">
      <c r="A392" t="s">
        <v>693</v>
      </c>
      <c r="B392">
        <v>1302.4981817339999</v>
      </c>
      <c r="C392">
        <v>17</v>
      </c>
      <c r="D392" t="s">
        <v>40</v>
      </c>
      <c r="E392">
        <v>18</v>
      </c>
      <c r="U392" t="s">
        <v>28</v>
      </c>
      <c r="Y392" t="s">
        <v>544</v>
      </c>
    </row>
    <row r="393" spans="1:25">
      <c r="A393" t="s">
        <v>693</v>
      </c>
      <c r="B393">
        <v>1303.2990320276499</v>
      </c>
      <c r="C393">
        <v>20</v>
      </c>
      <c r="D393" t="s">
        <v>774</v>
      </c>
      <c r="E393">
        <v>12</v>
      </c>
      <c r="I393" t="s">
        <v>609</v>
      </c>
      <c r="M393" t="s">
        <v>632</v>
      </c>
      <c r="Y393" t="s">
        <v>544</v>
      </c>
    </row>
    <row r="394" spans="1:25">
      <c r="A394" t="s">
        <v>693</v>
      </c>
      <c r="B394">
        <v>1305.2975918239899</v>
      </c>
      <c r="C394">
        <v>17</v>
      </c>
      <c r="D394" t="s">
        <v>27</v>
      </c>
      <c r="E394">
        <v>16</v>
      </c>
      <c r="U394" t="s">
        <v>28</v>
      </c>
      <c r="Y394" t="s">
        <v>544</v>
      </c>
    </row>
    <row r="395" spans="1:25">
      <c r="A395" t="s">
        <v>693</v>
      </c>
      <c r="B395">
        <v>1306.4981817339999</v>
      </c>
      <c r="C395">
        <v>5.7994100899966199</v>
      </c>
      <c r="D395" t="s">
        <v>9</v>
      </c>
      <c r="E395">
        <v>33</v>
      </c>
      <c r="Y395" t="s">
        <v>544</v>
      </c>
    </row>
    <row r="396" spans="1:25">
      <c r="A396" t="s">
        <v>693</v>
      </c>
      <c r="B396">
        <v>1308.2992693536601</v>
      </c>
      <c r="C396">
        <v>20</v>
      </c>
      <c r="D396" t="s">
        <v>33</v>
      </c>
      <c r="E396">
        <v>8</v>
      </c>
      <c r="Y396" t="s">
        <v>544</v>
      </c>
    </row>
    <row r="397" spans="1:25">
      <c r="A397" t="s">
        <v>693</v>
      </c>
      <c r="B397">
        <v>1309.2975918239899</v>
      </c>
      <c r="C397">
        <v>13.000462739997801</v>
      </c>
      <c r="D397" t="s">
        <v>18</v>
      </c>
      <c r="E397">
        <v>29</v>
      </c>
      <c r="Y397" t="s">
        <v>544</v>
      </c>
    </row>
    <row r="398" spans="1:25">
      <c r="A398" t="s">
        <v>693</v>
      </c>
      <c r="B398">
        <v>1309.655044591</v>
      </c>
      <c r="C398">
        <v>20</v>
      </c>
      <c r="D398" t="s">
        <v>783</v>
      </c>
      <c r="E398">
        <v>6</v>
      </c>
      <c r="I398" t="s">
        <v>442</v>
      </c>
      <c r="M398" t="s">
        <v>605</v>
      </c>
      <c r="Y398" t="s">
        <v>544</v>
      </c>
    </row>
    <row r="399" spans="1:25">
      <c r="A399" t="s">
        <v>693</v>
      </c>
      <c r="B399">
        <v>1310.5983737746601</v>
      </c>
      <c r="C399">
        <v>11.699680789329401</v>
      </c>
      <c r="D399" t="s">
        <v>32</v>
      </c>
      <c r="E399">
        <v>10</v>
      </c>
      <c r="R399" t="s">
        <v>23</v>
      </c>
      <c r="Y399" t="s">
        <v>544</v>
      </c>
    </row>
    <row r="400" spans="1:25">
      <c r="A400" t="s">
        <v>693</v>
      </c>
      <c r="B400">
        <v>1315.29805456399</v>
      </c>
      <c r="C400">
        <v>17</v>
      </c>
      <c r="D400" t="s">
        <v>40</v>
      </c>
      <c r="E400">
        <v>19</v>
      </c>
      <c r="U400" t="s">
        <v>14</v>
      </c>
      <c r="Y400" t="s">
        <v>544</v>
      </c>
    </row>
    <row r="401" spans="1:25">
      <c r="A401" t="s">
        <v>693</v>
      </c>
      <c r="B401">
        <v>1318.9990698423201</v>
      </c>
      <c r="C401">
        <v>20</v>
      </c>
      <c r="D401" t="s">
        <v>637</v>
      </c>
      <c r="E401">
        <v>17</v>
      </c>
      <c r="H401" t="s">
        <v>336</v>
      </c>
      <c r="J401" t="s">
        <v>756</v>
      </c>
      <c r="M401" t="s">
        <v>434</v>
      </c>
      <c r="Y401" t="s">
        <v>544</v>
      </c>
    </row>
    <row r="402" spans="1:25">
      <c r="A402" t="s">
        <v>693</v>
      </c>
      <c r="B402">
        <v>1319.29805456399</v>
      </c>
      <c r="C402">
        <v>11.243242607005399</v>
      </c>
      <c r="D402" t="s">
        <v>9</v>
      </c>
      <c r="E402">
        <v>34</v>
      </c>
      <c r="Y402" t="s">
        <v>544</v>
      </c>
    </row>
    <row r="403" spans="1:25">
      <c r="A403" t="s">
        <v>693</v>
      </c>
      <c r="B403">
        <v>1323.541297171</v>
      </c>
      <c r="C403">
        <v>17</v>
      </c>
      <c r="D403" t="s">
        <v>27</v>
      </c>
      <c r="E403">
        <v>17</v>
      </c>
      <c r="U403" t="s">
        <v>195</v>
      </c>
      <c r="Y403" t="s">
        <v>544</v>
      </c>
    </row>
    <row r="404" spans="1:25">
      <c r="A404" t="s">
        <v>693</v>
      </c>
      <c r="B404">
        <v>1327.541297171</v>
      </c>
      <c r="C404">
        <v>4.2573196609957904</v>
      </c>
      <c r="D404" t="s">
        <v>18</v>
      </c>
      <c r="E404">
        <v>30</v>
      </c>
      <c r="Y404" t="s">
        <v>544</v>
      </c>
    </row>
    <row r="405" spans="1:25">
      <c r="A405" t="s">
        <v>693</v>
      </c>
      <c r="B405">
        <v>1331.7986168319901</v>
      </c>
      <c r="C405">
        <v>13.3621878580042</v>
      </c>
      <c r="D405" t="s">
        <v>10</v>
      </c>
      <c r="E405">
        <v>24</v>
      </c>
      <c r="Y405" t="s">
        <v>544</v>
      </c>
    </row>
    <row r="406" spans="1:25">
      <c r="A406" t="s">
        <v>693</v>
      </c>
      <c r="B406">
        <v>1335.6981074256601</v>
      </c>
      <c r="C406">
        <v>20</v>
      </c>
      <c r="D406" t="s">
        <v>637</v>
      </c>
      <c r="E406">
        <v>18</v>
      </c>
      <c r="I406" t="s">
        <v>662</v>
      </c>
      <c r="M406" t="s">
        <v>438</v>
      </c>
      <c r="Y406" t="s">
        <v>544</v>
      </c>
    </row>
    <row r="407" spans="1:25">
      <c r="A407" t="s">
        <v>693</v>
      </c>
      <c r="B407">
        <v>1338.1608046900001</v>
      </c>
      <c r="C407">
        <v>17</v>
      </c>
      <c r="D407" t="s">
        <v>6</v>
      </c>
      <c r="E407">
        <v>11</v>
      </c>
      <c r="T407" t="s">
        <v>24</v>
      </c>
      <c r="Y407" t="s">
        <v>544</v>
      </c>
    </row>
    <row r="408" spans="1:25">
      <c r="A408" t="s">
        <v>693</v>
      </c>
      <c r="B408">
        <v>1338.6981107863301</v>
      </c>
      <c r="C408">
        <v>20</v>
      </c>
      <c r="D408" t="s">
        <v>777</v>
      </c>
      <c r="E408">
        <v>19</v>
      </c>
      <c r="H408" t="s">
        <v>621</v>
      </c>
      <c r="I408" t="s">
        <v>440</v>
      </c>
      <c r="M408" t="s">
        <v>604</v>
      </c>
      <c r="Y408" t="s">
        <v>544</v>
      </c>
    </row>
    <row r="409" spans="1:25">
      <c r="A409" t="s">
        <v>693</v>
      </c>
      <c r="B409">
        <v>1342.1608046900001</v>
      </c>
      <c r="C409">
        <v>20.128595083999901</v>
      </c>
      <c r="D409" t="s">
        <v>18</v>
      </c>
      <c r="E409">
        <v>31</v>
      </c>
      <c r="Y409" t="s">
        <v>544</v>
      </c>
    </row>
    <row r="410" spans="1:25">
      <c r="A410" t="s">
        <v>693</v>
      </c>
      <c r="B410">
        <v>1342.9983672063299</v>
      </c>
      <c r="C410">
        <v>20</v>
      </c>
      <c r="D410" t="s">
        <v>743</v>
      </c>
      <c r="E410">
        <v>23</v>
      </c>
      <c r="I410" t="s">
        <v>440</v>
      </c>
      <c r="M410" t="s">
        <v>604</v>
      </c>
      <c r="Y410" t="s">
        <v>544</v>
      </c>
    </row>
    <row r="411" spans="1:25">
      <c r="A411" t="s">
        <v>693</v>
      </c>
      <c r="B411">
        <v>1345.1608046900001</v>
      </c>
      <c r="C411">
        <v>23.737047084334101</v>
      </c>
      <c r="D411" t="s">
        <v>19</v>
      </c>
      <c r="E411">
        <v>25</v>
      </c>
      <c r="Y411" t="s">
        <v>544</v>
      </c>
    </row>
    <row r="412" spans="1:25">
      <c r="A412" t="s">
        <v>693</v>
      </c>
      <c r="B412">
        <v>1347.3987020869899</v>
      </c>
      <c r="C412">
        <v>14.890697687002101</v>
      </c>
      <c r="D412" t="s">
        <v>32</v>
      </c>
      <c r="E412">
        <v>11</v>
      </c>
      <c r="R412" t="s">
        <v>23</v>
      </c>
      <c r="Y412" t="s">
        <v>544</v>
      </c>
    </row>
    <row r="413" spans="1:25">
      <c r="A413" t="s">
        <v>693</v>
      </c>
      <c r="B413">
        <v>1348.99750821266</v>
      </c>
      <c r="C413">
        <v>20</v>
      </c>
      <c r="D413" t="s">
        <v>638</v>
      </c>
      <c r="E413">
        <v>27</v>
      </c>
      <c r="I413" t="s">
        <v>439</v>
      </c>
      <c r="M413" t="s">
        <v>605</v>
      </c>
      <c r="Y413" t="s">
        <v>544</v>
      </c>
    </row>
    <row r="414" spans="1:25">
      <c r="A414" t="s">
        <v>693</v>
      </c>
      <c r="B414">
        <v>1355.289399774</v>
      </c>
      <c r="C414">
        <v>17</v>
      </c>
      <c r="D414" t="s">
        <v>40</v>
      </c>
      <c r="E414">
        <v>20</v>
      </c>
      <c r="U414" t="s">
        <v>195</v>
      </c>
      <c r="Y414" t="s">
        <v>544</v>
      </c>
    </row>
    <row r="415" spans="1:25">
      <c r="A415" t="s">
        <v>693</v>
      </c>
      <c r="B415">
        <v>1359.289399774</v>
      </c>
      <c r="C415">
        <v>9.6084520003341805</v>
      </c>
      <c r="D415" t="s">
        <v>9</v>
      </c>
      <c r="E415">
        <v>35</v>
      </c>
      <c r="Y415" t="s">
        <v>544</v>
      </c>
    </row>
    <row r="416" spans="1:25">
      <c r="A416" t="s">
        <v>693</v>
      </c>
      <c r="B416">
        <v>1368.8978517743301</v>
      </c>
      <c r="C416">
        <v>11.6484850516658</v>
      </c>
      <c r="D416" t="s">
        <v>10</v>
      </c>
      <c r="E416">
        <v>25</v>
      </c>
      <c r="Y416" t="s">
        <v>544</v>
      </c>
    </row>
    <row r="417" spans="1:25">
      <c r="A417" t="s">
        <v>693</v>
      </c>
      <c r="B417">
        <v>1373.524977348</v>
      </c>
      <c r="C417">
        <v>20</v>
      </c>
      <c r="D417" t="s">
        <v>795</v>
      </c>
      <c r="E417">
        <v>7</v>
      </c>
      <c r="K417" t="s">
        <v>762</v>
      </c>
      <c r="M417" t="s">
        <v>782</v>
      </c>
      <c r="Y417" t="s">
        <v>544</v>
      </c>
    </row>
    <row r="418" spans="1:25">
      <c r="A418" t="s">
        <v>693</v>
      </c>
      <c r="B418">
        <v>1373.546336826</v>
      </c>
      <c r="C418">
        <v>17</v>
      </c>
      <c r="D418" t="s">
        <v>11</v>
      </c>
      <c r="E418">
        <v>12</v>
      </c>
      <c r="T418" t="s">
        <v>12</v>
      </c>
      <c r="U418" t="s">
        <v>28</v>
      </c>
      <c r="Y418" t="s">
        <v>544</v>
      </c>
    </row>
    <row r="419" spans="1:25">
      <c r="A419" t="s">
        <v>693</v>
      </c>
      <c r="B419">
        <v>1375.8994640133301</v>
      </c>
      <c r="C419">
        <v>20</v>
      </c>
      <c r="D419" t="s">
        <v>45</v>
      </c>
      <c r="E419">
        <v>7</v>
      </c>
      <c r="N419">
        <v>96</v>
      </c>
      <c r="O419">
        <v>62</v>
      </c>
      <c r="Q419" t="s">
        <v>717</v>
      </c>
      <c r="Y419" t="s">
        <v>544</v>
      </c>
    </row>
    <row r="420" spans="1:25">
      <c r="A420" t="s">
        <v>693</v>
      </c>
      <c r="B420">
        <v>1376.3150397110001</v>
      </c>
      <c r="C420">
        <v>20</v>
      </c>
      <c r="D420" t="s">
        <v>637</v>
      </c>
      <c r="E420">
        <v>19</v>
      </c>
      <c r="K420" t="s">
        <v>441</v>
      </c>
      <c r="M420" t="s">
        <v>615</v>
      </c>
      <c r="Y420" t="s">
        <v>544</v>
      </c>
    </row>
    <row r="421" spans="1:25">
      <c r="A421" t="s">
        <v>693</v>
      </c>
      <c r="B421">
        <v>1377.546336826</v>
      </c>
      <c r="C421">
        <v>14.9526854089951</v>
      </c>
      <c r="D421" t="s">
        <v>9</v>
      </c>
      <c r="E421">
        <v>36</v>
      </c>
      <c r="Y421" t="s">
        <v>544</v>
      </c>
    </row>
    <row r="422" spans="1:25">
      <c r="A422" t="s">
        <v>693</v>
      </c>
      <c r="B422">
        <v>1378.686860303</v>
      </c>
      <c r="C422">
        <v>20</v>
      </c>
      <c r="D422" t="s">
        <v>46</v>
      </c>
      <c r="E422">
        <v>4</v>
      </c>
      <c r="R422" t="s">
        <v>20</v>
      </c>
      <c r="Y422" t="s">
        <v>544</v>
      </c>
    </row>
    <row r="423" spans="1:25">
      <c r="A423" t="s">
        <v>693</v>
      </c>
      <c r="B423">
        <v>1380.546336826</v>
      </c>
      <c r="C423">
        <v>11.9526854089951</v>
      </c>
      <c r="D423" t="s">
        <v>19</v>
      </c>
      <c r="E423">
        <v>26</v>
      </c>
      <c r="Y423" t="s">
        <v>544</v>
      </c>
    </row>
    <row r="424" spans="1:25">
      <c r="A424" t="s">
        <v>693</v>
      </c>
      <c r="B424">
        <v>1392.49902223499</v>
      </c>
      <c r="C424">
        <v>35.698766489006097</v>
      </c>
      <c r="D424" t="s">
        <v>10</v>
      </c>
      <c r="E424">
        <v>26</v>
      </c>
      <c r="Y424" t="s">
        <v>544</v>
      </c>
    </row>
    <row r="425" spans="1:25">
      <c r="A425" t="s">
        <v>693</v>
      </c>
      <c r="B425">
        <v>1417.99789625166</v>
      </c>
      <c r="C425">
        <v>20</v>
      </c>
      <c r="D425" t="s">
        <v>743</v>
      </c>
      <c r="E425">
        <v>24</v>
      </c>
      <c r="I425" t="s">
        <v>442</v>
      </c>
      <c r="M425" t="s">
        <v>438</v>
      </c>
      <c r="Y425" t="s">
        <v>544</v>
      </c>
    </row>
    <row r="426" spans="1:25">
      <c r="A426" t="s">
        <v>693</v>
      </c>
      <c r="B426">
        <v>1420.59837733466</v>
      </c>
      <c r="C426">
        <v>20</v>
      </c>
      <c r="D426" t="s">
        <v>638</v>
      </c>
      <c r="E426">
        <v>28</v>
      </c>
      <c r="I426" t="s">
        <v>439</v>
      </c>
      <c r="M426" t="s">
        <v>605</v>
      </c>
      <c r="Y426" t="s">
        <v>544</v>
      </c>
    </row>
    <row r="427" spans="1:25">
      <c r="A427" t="s">
        <v>693</v>
      </c>
      <c r="B427">
        <v>1421.197788724</v>
      </c>
      <c r="C427">
        <v>17</v>
      </c>
      <c r="D427" t="s">
        <v>6</v>
      </c>
      <c r="E427">
        <v>12</v>
      </c>
      <c r="T427" t="s">
        <v>25</v>
      </c>
      <c r="Y427" t="s">
        <v>544</v>
      </c>
    </row>
    <row r="428" spans="1:25">
      <c r="A428" t="s">
        <v>693</v>
      </c>
      <c r="B428">
        <v>1424.6977011543199</v>
      </c>
      <c r="C428">
        <v>10.4954566896735</v>
      </c>
      <c r="D428" t="s">
        <v>121</v>
      </c>
      <c r="E428">
        <v>16</v>
      </c>
      <c r="R428" t="s">
        <v>23</v>
      </c>
      <c r="Y428" t="s">
        <v>544</v>
      </c>
    </row>
    <row r="429" spans="1:25">
      <c r="A429" t="s">
        <v>693</v>
      </c>
      <c r="B429">
        <v>1425.197788724</v>
      </c>
      <c r="C429">
        <v>26.699184143000799</v>
      </c>
      <c r="D429" t="s">
        <v>18</v>
      </c>
      <c r="E429">
        <v>32</v>
      </c>
      <c r="Y429" t="s">
        <v>544</v>
      </c>
    </row>
    <row r="430" spans="1:25">
      <c r="A430" t="s">
        <v>693</v>
      </c>
      <c r="B430">
        <v>1428.197788724</v>
      </c>
      <c r="C430">
        <v>23.699184143000799</v>
      </c>
      <c r="D430" t="s">
        <v>19</v>
      </c>
      <c r="E430">
        <v>27</v>
      </c>
      <c r="Y430" t="s">
        <v>544</v>
      </c>
    </row>
    <row r="431" spans="1:25">
      <c r="A431" t="s">
        <v>693</v>
      </c>
      <c r="B431">
        <v>1432.59908716833</v>
      </c>
      <c r="C431">
        <v>20</v>
      </c>
      <c r="D431" t="s">
        <v>638</v>
      </c>
      <c r="E431">
        <v>29</v>
      </c>
      <c r="I431" t="s">
        <v>447</v>
      </c>
      <c r="M431" t="s">
        <v>443</v>
      </c>
      <c r="Y431" t="s">
        <v>544</v>
      </c>
    </row>
    <row r="432" spans="1:25">
      <c r="A432" t="s">
        <v>693</v>
      </c>
      <c r="B432">
        <v>1435.99758266766</v>
      </c>
      <c r="C432">
        <v>15.8993901993351</v>
      </c>
      <c r="D432" t="s">
        <v>121</v>
      </c>
      <c r="E432">
        <v>17</v>
      </c>
      <c r="P432" t="s">
        <v>31</v>
      </c>
      <c r="R432" t="s">
        <v>23</v>
      </c>
      <c r="Y432" t="s">
        <v>544</v>
      </c>
    </row>
    <row r="433" spans="1:25">
      <c r="A433" t="s">
        <v>693</v>
      </c>
      <c r="B433">
        <v>1451.8969728669999</v>
      </c>
      <c r="C433">
        <v>17.871455159997801</v>
      </c>
      <c r="D433" t="s">
        <v>10</v>
      </c>
      <c r="E433">
        <v>27</v>
      </c>
      <c r="Y433" t="s">
        <v>544</v>
      </c>
    </row>
    <row r="434" spans="1:25">
      <c r="A434" t="s">
        <v>693</v>
      </c>
      <c r="B434">
        <v>1461.8912809880001</v>
      </c>
      <c r="C434">
        <v>20</v>
      </c>
      <c r="D434" t="s">
        <v>783</v>
      </c>
      <c r="E434">
        <v>7</v>
      </c>
      <c r="H434" t="s">
        <v>437</v>
      </c>
      <c r="I434" t="s">
        <v>442</v>
      </c>
      <c r="M434" t="s">
        <v>604</v>
      </c>
      <c r="Y434" t="s">
        <v>544</v>
      </c>
    </row>
    <row r="435" spans="1:25">
      <c r="A435" t="s">
        <v>693</v>
      </c>
      <c r="B435">
        <v>1462.768428027</v>
      </c>
      <c r="C435">
        <v>17</v>
      </c>
      <c r="D435" t="s">
        <v>6</v>
      </c>
      <c r="E435">
        <v>13</v>
      </c>
      <c r="T435" t="s">
        <v>21</v>
      </c>
      <c r="U435" t="s">
        <v>195</v>
      </c>
      <c r="Y435" t="s">
        <v>544</v>
      </c>
    </row>
    <row r="436" spans="1:25">
      <c r="A436" t="s">
        <v>693</v>
      </c>
      <c r="B436">
        <v>1465.59886362732</v>
      </c>
      <c r="C436">
        <v>20</v>
      </c>
      <c r="D436" t="s">
        <v>637</v>
      </c>
      <c r="E436">
        <v>20</v>
      </c>
      <c r="H436" t="s">
        <v>450</v>
      </c>
      <c r="J436" t="s">
        <v>222</v>
      </c>
      <c r="M436" t="s">
        <v>543</v>
      </c>
      <c r="Y436" t="s">
        <v>544</v>
      </c>
    </row>
    <row r="437" spans="1:25">
      <c r="A437" t="s">
        <v>693</v>
      </c>
      <c r="B437">
        <v>1466.768428027</v>
      </c>
      <c r="C437">
        <v>19.830052327669499</v>
      </c>
      <c r="D437" t="s">
        <v>18</v>
      </c>
      <c r="E437">
        <v>33</v>
      </c>
      <c r="Y437" t="s">
        <v>544</v>
      </c>
    </row>
    <row r="438" spans="1:25">
      <c r="A438" t="s">
        <v>693</v>
      </c>
      <c r="B438">
        <v>1469.768428027</v>
      </c>
      <c r="C438">
        <v>16.830052327669499</v>
      </c>
      <c r="D438" t="s">
        <v>19</v>
      </c>
      <c r="E438">
        <v>28</v>
      </c>
      <c r="Y438" t="s">
        <v>544</v>
      </c>
    </row>
    <row r="439" spans="1:25">
      <c r="A439" t="s">
        <v>693</v>
      </c>
      <c r="B439">
        <v>1473.49819740066</v>
      </c>
      <c r="C439">
        <v>13.1002829540045</v>
      </c>
      <c r="D439" t="s">
        <v>32</v>
      </c>
      <c r="E439">
        <v>12</v>
      </c>
      <c r="R439" t="s">
        <v>23</v>
      </c>
      <c r="Y439" t="s">
        <v>544</v>
      </c>
    </row>
    <row r="440" spans="1:25">
      <c r="A440" t="s">
        <v>693</v>
      </c>
      <c r="B440">
        <v>1486.5984803546601</v>
      </c>
      <c r="C440">
        <v>12.7903664213304</v>
      </c>
      <c r="D440" t="s">
        <v>10</v>
      </c>
      <c r="E440">
        <v>28</v>
      </c>
      <c r="Y440" t="s">
        <v>544</v>
      </c>
    </row>
    <row r="441" spans="1:25">
      <c r="A441" t="s">
        <v>693</v>
      </c>
      <c r="B441">
        <v>1489.543712296</v>
      </c>
      <c r="C441">
        <v>20</v>
      </c>
      <c r="D441" t="s">
        <v>636</v>
      </c>
      <c r="E441">
        <v>21</v>
      </c>
      <c r="I441" t="s">
        <v>439</v>
      </c>
      <c r="M441" t="s">
        <v>438</v>
      </c>
      <c r="Y441" t="s">
        <v>544</v>
      </c>
    </row>
    <row r="442" spans="1:25">
      <c r="A442" t="s">
        <v>693</v>
      </c>
      <c r="B442">
        <v>1490.0973729976599</v>
      </c>
      <c r="C442">
        <v>20</v>
      </c>
      <c r="D442" t="s">
        <v>637</v>
      </c>
      <c r="E442">
        <v>21</v>
      </c>
      <c r="H442" t="s">
        <v>621</v>
      </c>
      <c r="I442" t="s">
        <v>439</v>
      </c>
      <c r="M442" t="s">
        <v>605</v>
      </c>
      <c r="Y442" t="s">
        <v>544</v>
      </c>
    </row>
    <row r="443" spans="1:25">
      <c r="A443" t="s">
        <v>693</v>
      </c>
      <c r="B443">
        <v>1492.388846776</v>
      </c>
      <c r="C443">
        <v>17</v>
      </c>
      <c r="D443" t="s">
        <v>6</v>
      </c>
      <c r="E443">
        <v>14</v>
      </c>
      <c r="T443" t="s">
        <v>24</v>
      </c>
      <c r="Y443" t="s">
        <v>544</v>
      </c>
    </row>
    <row r="444" spans="1:25">
      <c r="A444" t="s">
        <v>693</v>
      </c>
      <c r="B444">
        <v>1496.388846776</v>
      </c>
      <c r="C444">
        <v>9.0099513640002407</v>
      </c>
      <c r="D444" t="s">
        <v>18</v>
      </c>
      <c r="E444">
        <v>34</v>
      </c>
      <c r="Y444" t="s">
        <v>544</v>
      </c>
    </row>
    <row r="445" spans="1:25">
      <c r="A445" t="s">
        <v>693</v>
      </c>
      <c r="B445">
        <v>1499.388846776</v>
      </c>
      <c r="C445">
        <v>6.0099513640002398</v>
      </c>
      <c r="D445" t="s">
        <v>19</v>
      </c>
      <c r="E445">
        <v>29</v>
      </c>
      <c r="Y445" t="s">
        <v>544</v>
      </c>
    </row>
    <row r="446" spans="1:25">
      <c r="A446" t="s">
        <v>693</v>
      </c>
      <c r="B446">
        <v>1505.3987981400001</v>
      </c>
      <c r="C446">
        <v>15.9130118669997</v>
      </c>
      <c r="D446" t="s">
        <v>10</v>
      </c>
      <c r="E446">
        <v>29</v>
      </c>
      <c r="Y446" t="s">
        <v>544</v>
      </c>
    </row>
    <row r="447" spans="1:25">
      <c r="A447" t="s">
        <v>693</v>
      </c>
      <c r="B447">
        <v>1514.3118100070001</v>
      </c>
      <c r="C447">
        <v>17</v>
      </c>
      <c r="D447" t="s">
        <v>11</v>
      </c>
      <c r="E447">
        <v>13</v>
      </c>
      <c r="T447" t="s">
        <v>16</v>
      </c>
      <c r="Y447" t="s">
        <v>544</v>
      </c>
    </row>
    <row r="448" spans="1:25">
      <c r="A448" t="s">
        <v>693</v>
      </c>
      <c r="B448">
        <v>1516.19859612799</v>
      </c>
      <c r="C448">
        <v>20</v>
      </c>
      <c r="D448" t="s">
        <v>777</v>
      </c>
      <c r="E448">
        <v>20</v>
      </c>
      <c r="J448" t="s">
        <v>778</v>
      </c>
      <c r="Y448" t="s">
        <v>544</v>
      </c>
    </row>
    <row r="449" spans="1:25">
      <c r="A449" t="s">
        <v>693</v>
      </c>
      <c r="B449">
        <v>1518.3118100070001</v>
      </c>
      <c r="C449">
        <v>9.3863089859980793</v>
      </c>
      <c r="D449" t="s">
        <v>9</v>
      </c>
      <c r="E449">
        <v>37</v>
      </c>
      <c r="Y449" t="s">
        <v>544</v>
      </c>
    </row>
    <row r="450" spans="1:25">
      <c r="A450" t="s">
        <v>693</v>
      </c>
      <c r="B450">
        <v>1521.3118100070001</v>
      </c>
      <c r="C450">
        <v>6.3863089859980802</v>
      </c>
      <c r="D450" t="s">
        <v>19</v>
      </c>
      <c r="E450">
        <v>30</v>
      </c>
      <c r="Y450" t="s">
        <v>544</v>
      </c>
    </row>
    <row r="451" spans="1:25">
      <c r="A451" t="s">
        <v>693</v>
      </c>
      <c r="B451">
        <v>1527.69811899299</v>
      </c>
      <c r="C451">
        <v>14.399711598002099</v>
      </c>
      <c r="D451" t="s">
        <v>10</v>
      </c>
      <c r="E451">
        <v>30</v>
      </c>
      <c r="Y451" t="s">
        <v>544</v>
      </c>
    </row>
    <row r="452" spans="1:25">
      <c r="A452" t="s">
        <v>693</v>
      </c>
      <c r="B452">
        <v>1533.4288136289999</v>
      </c>
      <c r="C452">
        <v>20</v>
      </c>
      <c r="D452" t="s">
        <v>774</v>
      </c>
      <c r="E452">
        <v>13</v>
      </c>
      <c r="J452" t="s">
        <v>49</v>
      </c>
      <c r="Y452" t="s">
        <v>544</v>
      </c>
    </row>
    <row r="453" spans="1:25">
      <c r="A453" t="s">
        <v>693</v>
      </c>
      <c r="B453">
        <v>1535.097830591</v>
      </c>
      <c r="C453">
        <v>17</v>
      </c>
      <c r="D453" t="s">
        <v>11</v>
      </c>
      <c r="E453">
        <v>14</v>
      </c>
      <c r="T453" t="s">
        <v>12</v>
      </c>
      <c r="U453" t="s">
        <v>28</v>
      </c>
      <c r="Y453" t="s">
        <v>544</v>
      </c>
    </row>
    <row r="454" spans="1:25">
      <c r="A454" t="s">
        <v>693</v>
      </c>
      <c r="B454">
        <v>1537.2269558380001</v>
      </c>
      <c r="C454">
        <v>20</v>
      </c>
      <c r="D454" t="s">
        <v>685</v>
      </c>
      <c r="E454">
        <v>8</v>
      </c>
      <c r="J454" t="s">
        <v>629</v>
      </c>
      <c r="Y454" t="s">
        <v>544</v>
      </c>
    </row>
    <row r="455" spans="1:25">
      <c r="A455" t="s">
        <v>693</v>
      </c>
      <c r="B455">
        <v>1539.097830591</v>
      </c>
      <c r="C455">
        <v>16.367561396999601</v>
      </c>
      <c r="D455" t="s">
        <v>9</v>
      </c>
      <c r="E455">
        <v>38</v>
      </c>
      <c r="Y455" t="s">
        <v>544</v>
      </c>
    </row>
    <row r="456" spans="1:25">
      <c r="A456" t="s">
        <v>693</v>
      </c>
      <c r="B456">
        <v>1542.097830591</v>
      </c>
      <c r="C456">
        <v>13.3675613969996</v>
      </c>
      <c r="D456" t="s">
        <v>19</v>
      </c>
      <c r="E456">
        <v>31</v>
      </c>
      <c r="Y456" t="s">
        <v>544</v>
      </c>
    </row>
    <row r="457" spans="1:25">
      <c r="A457" t="s">
        <v>693</v>
      </c>
      <c r="B457">
        <v>1544.19810979199</v>
      </c>
      <c r="C457">
        <v>20</v>
      </c>
      <c r="D457" t="s">
        <v>777</v>
      </c>
      <c r="E457">
        <v>21</v>
      </c>
      <c r="I457" t="s">
        <v>439</v>
      </c>
      <c r="M457" t="s">
        <v>443</v>
      </c>
      <c r="Y457" t="s">
        <v>544</v>
      </c>
    </row>
    <row r="458" spans="1:25">
      <c r="A458" t="s">
        <v>693</v>
      </c>
      <c r="B458">
        <v>1555.465391988</v>
      </c>
      <c r="C458">
        <v>12.176493461</v>
      </c>
      <c r="D458" t="s">
        <v>10</v>
      </c>
      <c r="E458">
        <v>31</v>
      </c>
      <c r="Y458" t="s">
        <v>544</v>
      </c>
    </row>
    <row r="459" spans="1:25">
      <c r="A459" t="s">
        <v>693</v>
      </c>
      <c r="B459">
        <v>1558.9987637966599</v>
      </c>
      <c r="C459">
        <v>20</v>
      </c>
      <c r="D459" t="s">
        <v>636</v>
      </c>
      <c r="E459">
        <v>22</v>
      </c>
      <c r="I459" t="s">
        <v>439</v>
      </c>
      <c r="M459" t="s">
        <v>438</v>
      </c>
      <c r="Y459" t="s">
        <v>544</v>
      </c>
    </row>
    <row r="460" spans="1:25">
      <c r="A460" t="s">
        <v>693</v>
      </c>
      <c r="B460">
        <v>1560.641885449</v>
      </c>
      <c r="C460">
        <v>17</v>
      </c>
      <c r="D460" t="s">
        <v>11</v>
      </c>
      <c r="E460">
        <v>15</v>
      </c>
      <c r="T460" t="s">
        <v>12</v>
      </c>
      <c r="U460" t="s">
        <v>28</v>
      </c>
      <c r="Y460" t="s">
        <v>544</v>
      </c>
    </row>
    <row r="461" spans="1:25">
      <c r="A461" t="s">
        <v>693</v>
      </c>
      <c r="B461">
        <v>1562.711962671</v>
      </c>
      <c r="C461">
        <v>20</v>
      </c>
      <c r="D461" t="s">
        <v>687</v>
      </c>
      <c r="E461">
        <v>12</v>
      </c>
      <c r="H461" t="s">
        <v>437</v>
      </c>
      <c r="M461" t="s">
        <v>436</v>
      </c>
      <c r="Y461" t="s">
        <v>544</v>
      </c>
    </row>
    <row r="462" spans="1:25">
      <c r="A462" t="s">
        <v>693</v>
      </c>
      <c r="B462">
        <v>1564.1983083413199</v>
      </c>
      <c r="C462">
        <v>17</v>
      </c>
      <c r="D462" t="s">
        <v>27</v>
      </c>
      <c r="E462">
        <v>18</v>
      </c>
      <c r="U462" t="s">
        <v>28</v>
      </c>
      <c r="Y462" t="s">
        <v>544</v>
      </c>
    </row>
    <row r="463" spans="1:25">
      <c r="A463" t="s">
        <v>693</v>
      </c>
      <c r="B463">
        <v>1564.641885449</v>
      </c>
      <c r="C463">
        <v>6.5564228923287802</v>
      </c>
      <c r="D463" t="s">
        <v>9</v>
      </c>
      <c r="E463">
        <v>39</v>
      </c>
      <c r="Y463" t="s">
        <v>544</v>
      </c>
    </row>
    <row r="464" spans="1:25">
      <c r="A464" t="s">
        <v>693</v>
      </c>
      <c r="B464">
        <v>1565.8986596636601</v>
      </c>
      <c r="C464">
        <v>17</v>
      </c>
      <c r="D464" t="s">
        <v>40</v>
      </c>
      <c r="E464">
        <v>21</v>
      </c>
      <c r="U464" t="s">
        <v>195</v>
      </c>
      <c r="Y464" t="s">
        <v>544</v>
      </c>
    </row>
    <row r="465" spans="1:25">
      <c r="A465" t="s">
        <v>693</v>
      </c>
      <c r="B465">
        <v>1567.641885449</v>
      </c>
      <c r="C465">
        <v>28.955711123332001</v>
      </c>
      <c r="D465" t="s">
        <v>19</v>
      </c>
      <c r="E465">
        <v>32</v>
      </c>
      <c r="Y465" t="s">
        <v>544</v>
      </c>
    </row>
    <row r="466" spans="1:25">
      <c r="A466" t="s">
        <v>693</v>
      </c>
      <c r="B466">
        <v>1568.1983083413199</v>
      </c>
      <c r="C466">
        <v>4.7003513223389701</v>
      </c>
      <c r="D466" t="s">
        <v>18</v>
      </c>
      <c r="E466">
        <v>35</v>
      </c>
      <c r="Y466" t="s">
        <v>544</v>
      </c>
    </row>
    <row r="467" spans="1:25">
      <c r="A467" t="s">
        <v>693</v>
      </c>
      <c r="B467">
        <v>1569.59823990266</v>
      </c>
      <c r="C467">
        <v>17</v>
      </c>
      <c r="D467" t="s">
        <v>27</v>
      </c>
      <c r="E467">
        <v>19</v>
      </c>
      <c r="U467" t="s">
        <v>28</v>
      </c>
      <c r="Y467" t="s">
        <v>544</v>
      </c>
    </row>
    <row r="468" spans="1:25">
      <c r="A468" t="s">
        <v>693</v>
      </c>
      <c r="B468">
        <v>1569.8986596636601</v>
      </c>
      <c r="C468">
        <v>6.6995802389956198</v>
      </c>
      <c r="D468" t="s">
        <v>9</v>
      </c>
      <c r="E468">
        <v>40</v>
      </c>
      <c r="Y468" t="s">
        <v>544</v>
      </c>
    </row>
    <row r="469" spans="1:25">
      <c r="A469" t="s">
        <v>693</v>
      </c>
      <c r="B469">
        <v>1573.59823990266</v>
      </c>
      <c r="C469">
        <v>22.9993566696687</v>
      </c>
      <c r="D469" t="s">
        <v>18</v>
      </c>
      <c r="E469">
        <v>36</v>
      </c>
      <c r="Y469" t="s">
        <v>544</v>
      </c>
    </row>
    <row r="470" spans="1:25">
      <c r="A470" t="s">
        <v>693</v>
      </c>
      <c r="B470">
        <v>1575.89809996233</v>
      </c>
      <c r="C470">
        <v>20</v>
      </c>
      <c r="D470" t="s">
        <v>638</v>
      </c>
      <c r="E470">
        <v>30</v>
      </c>
      <c r="I470" t="s">
        <v>439</v>
      </c>
      <c r="M470" t="s">
        <v>438</v>
      </c>
      <c r="Y470" t="s">
        <v>544</v>
      </c>
    </row>
    <row r="471" spans="1:25">
      <c r="A471" t="s">
        <v>693</v>
      </c>
      <c r="B471">
        <v>1579.8982105386599</v>
      </c>
      <c r="C471">
        <v>12.5960723449968</v>
      </c>
      <c r="D471" t="s">
        <v>121</v>
      </c>
      <c r="E471">
        <v>18</v>
      </c>
      <c r="R471" t="s">
        <v>23</v>
      </c>
      <c r="Y471" t="s">
        <v>544</v>
      </c>
    </row>
    <row r="472" spans="1:25">
      <c r="A472" t="s">
        <v>693</v>
      </c>
      <c r="B472">
        <v>1580.1982674246501</v>
      </c>
      <c r="C472">
        <v>20</v>
      </c>
      <c r="D472" t="s">
        <v>774</v>
      </c>
      <c r="E472">
        <v>14</v>
      </c>
      <c r="H472" t="s">
        <v>445</v>
      </c>
      <c r="I472" t="s">
        <v>440</v>
      </c>
      <c r="M472" t="s">
        <v>776</v>
      </c>
      <c r="Y472" t="s">
        <v>544</v>
      </c>
    </row>
    <row r="473" spans="1:25">
      <c r="A473" t="s">
        <v>693</v>
      </c>
      <c r="B473">
        <v>1596.5975965723301</v>
      </c>
      <c r="C473">
        <v>74.101080759666701</v>
      </c>
      <c r="D473" t="s">
        <v>10</v>
      </c>
      <c r="E473">
        <v>32</v>
      </c>
      <c r="Y473" t="s">
        <v>544</v>
      </c>
    </row>
    <row r="474" spans="1:25">
      <c r="A474" t="s">
        <v>693</v>
      </c>
      <c r="B474">
        <v>1665.69867733199</v>
      </c>
      <c r="C474">
        <v>22.700651480333299</v>
      </c>
      <c r="D474" t="s">
        <v>121</v>
      </c>
      <c r="E474">
        <v>19</v>
      </c>
      <c r="R474" t="s">
        <v>20</v>
      </c>
      <c r="Y474" t="s">
        <v>544</v>
      </c>
    </row>
    <row r="475" spans="1:25">
      <c r="A475" t="s">
        <v>693</v>
      </c>
      <c r="B475">
        <v>1666.2951686229901</v>
      </c>
      <c r="C475">
        <v>20</v>
      </c>
      <c r="D475" t="s">
        <v>638</v>
      </c>
      <c r="E475">
        <v>31</v>
      </c>
      <c r="H475" t="s">
        <v>450</v>
      </c>
      <c r="I475" t="s">
        <v>767</v>
      </c>
      <c r="M475" t="s">
        <v>684</v>
      </c>
      <c r="Y475" t="s">
        <v>544</v>
      </c>
    </row>
    <row r="476" spans="1:25">
      <c r="A476" t="s">
        <v>693</v>
      </c>
      <c r="B476">
        <v>1667.69867733199</v>
      </c>
      <c r="C476">
        <v>35.586944500001202</v>
      </c>
      <c r="D476" t="s">
        <v>18</v>
      </c>
      <c r="E476">
        <v>37</v>
      </c>
      <c r="Y476" t="s">
        <v>544</v>
      </c>
    </row>
    <row r="477" spans="1:25">
      <c r="A477" t="s">
        <v>693</v>
      </c>
      <c r="B477">
        <v>1668.19752670666</v>
      </c>
      <c r="C477">
        <v>20</v>
      </c>
      <c r="D477" t="s">
        <v>636</v>
      </c>
      <c r="E477">
        <v>23</v>
      </c>
      <c r="H477" t="s">
        <v>748</v>
      </c>
      <c r="I477" t="s">
        <v>542</v>
      </c>
      <c r="M477" t="s">
        <v>605</v>
      </c>
      <c r="Y477" t="s">
        <v>544</v>
      </c>
    </row>
    <row r="478" spans="1:25">
      <c r="A478" t="s">
        <v>693</v>
      </c>
      <c r="B478">
        <v>1670.69867733199</v>
      </c>
      <c r="C478">
        <v>50.696599677660501</v>
      </c>
      <c r="D478" t="s">
        <v>19</v>
      </c>
      <c r="E478">
        <v>33</v>
      </c>
      <c r="Y478" t="s">
        <v>544</v>
      </c>
    </row>
    <row r="479" spans="1:25">
      <c r="A479" t="s">
        <v>693</v>
      </c>
      <c r="B479">
        <v>1674.19813612698</v>
      </c>
      <c r="C479">
        <v>20</v>
      </c>
      <c r="D479" t="s">
        <v>685</v>
      </c>
      <c r="E479">
        <v>9</v>
      </c>
      <c r="I479" t="s">
        <v>440</v>
      </c>
      <c r="J479" t="s">
        <v>608</v>
      </c>
      <c r="M479" t="s">
        <v>438</v>
      </c>
      <c r="Y479" t="s">
        <v>544</v>
      </c>
    </row>
    <row r="480" spans="1:25">
      <c r="A480" t="s">
        <v>693</v>
      </c>
      <c r="B480">
        <v>1681.1984012933201</v>
      </c>
      <c r="C480">
        <v>20</v>
      </c>
      <c r="D480" t="s">
        <v>637</v>
      </c>
      <c r="E480">
        <v>22</v>
      </c>
      <c r="I480" t="s">
        <v>440</v>
      </c>
      <c r="M480" t="s">
        <v>604</v>
      </c>
      <c r="Y480" t="s">
        <v>544</v>
      </c>
    </row>
    <row r="481" spans="1:25">
      <c r="A481" t="s">
        <v>693</v>
      </c>
      <c r="B481">
        <v>1683.3993288123299</v>
      </c>
      <c r="C481">
        <v>19.8862930196678</v>
      </c>
      <c r="D481" t="s">
        <v>32</v>
      </c>
      <c r="E481">
        <v>13</v>
      </c>
      <c r="R481" t="s">
        <v>23</v>
      </c>
      <c r="Y481" t="s">
        <v>544</v>
      </c>
    </row>
    <row r="482" spans="1:25">
      <c r="A482" t="s">
        <v>693</v>
      </c>
      <c r="B482">
        <v>1684.7975995023201</v>
      </c>
      <c r="C482">
        <v>20</v>
      </c>
      <c r="D482" t="s">
        <v>638</v>
      </c>
      <c r="E482">
        <v>32</v>
      </c>
      <c r="I482" t="s">
        <v>662</v>
      </c>
      <c r="M482" t="s">
        <v>604</v>
      </c>
      <c r="Y482" t="s">
        <v>544</v>
      </c>
    </row>
    <row r="483" spans="1:25">
      <c r="A483" t="s">
        <v>693</v>
      </c>
      <c r="B483">
        <v>1687.0985053739801</v>
      </c>
      <c r="C483">
        <v>20</v>
      </c>
      <c r="D483" t="s">
        <v>777</v>
      </c>
      <c r="E483">
        <v>22</v>
      </c>
      <c r="H483" t="s">
        <v>621</v>
      </c>
      <c r="I483" t="s">
        <v>442</v>
      </c>
      <c r="M483" t="s">
        <v>605</v>
      </c>
      <c r="Y483" t="s">
        <v>544</v>
      </c>
    </row>
    <row r="484" spans="1:25">
      <c r="A484" t="s">
        <v>693</v>
      </c>
      <c r="B484">
        <v>1696.2856218320001</v>
      </c>
      <c r="C484">
        <v>17</v>
      </c>
      <c r="D484" t="s">
        <v>40</v>
      </c>
      <c r="E484">
        <v>22</v>
      </c>
      <c r="U484" t="s">
        <v>195</v>
      </c>
      <c r="Y484" t="s">
        <v>544</v>
      </c>
    </row>
    <row r="485" spans="1:25">
      <c r="A485" t="s">
        <v>693</v>
      </c>
      <c r="B485">
        <v>1700.2856218320001</v>
      </c>
      <c r="C485">
        <v>10.006292281997499</v>
      </c>
      <c r="D485" t="s">
        <v>9</v>
      </c>
      <c r="E485">
        <v>41</v>
      </c>
      <c r="Y485" t="s">
        <v>544</v>
      </c>
    </row>
    <row r="486" spans="1:25">
      <c r="A486" t="s">
        <v>693</v>
      </c>
      <c r="B486">
        <v>1700.29758850032</v>
      </c>
      <c r="C486">
        <v>20</v>
      </c>
      <c r="D486" t="s">
        <v>783</v>
      </c>
      <c r="E486">
        <v>8</v>
      </c>
      <c r="I486" t="s">
        <v>439</v>
      </c>
      <c r="J486" t="s">
        <v>629</v>
      </c>
      <c r="M486" t="s">
        <v>438</v>
      </c>
      <c r="Y486" t="s">
        <v>544</v>
      </c>
    </row>
    <row r="487" spans="1:25">
      <c r="A487" t="s">
        <v>693</v>
      </c>
      <c r="B487">
        <v>1703.2919141139901</v>
      </c>
      <c r="C487">
        <v>17</v>
      </c>
      <c r="D487" t="s">
        <v>27</v>
      </c>
      <c r="E487">
        <v>20</v>
      </c>
      <c r="U487" t="s">
        <v>658</v>
      </c>
      <c r="Y487" t="s">
        <v>544</v>
      </c>
    </row>
    <row r="488" spans="1:25">
      <c r="A488" t="s">
        <v>693</v>
      </c>
      <c r="B488">
        <v>1703.3985877169901</v>
      </c>
      <c r="C488">
        <v>20</v>
      </c>
      <c r="D488" t="s">
        <v>687</v>
      </c>
      <c r="E488">
        <v>13</v>
      </c>
      <c r="H488" t="s">
        <v>606</v>
      </c>
      <c r="L488" t="s">
        <v>37</v>
      </c>
      <c r="Y488" t="s">
        <v>544</v>
      </c>
    </row>
    <row r="489" spans="1:25">
      <c r="A489" t="s">
        <v>693</v>
      </c>
      <c r="B489">
        <v>1704.5942736663201</v>
      </c>
      <c r="C489">
        <v>20</v>
      </c>
      <c r="D489" t="s">
        <v>36</v>
      </c>
      <c r="E489">
        <v>5</v>
      </c>
      <c r="N489">
        <v>86</v>
      </c>
      <c r="O489">
        <v>34</v>
      </c>
      <c r="Q489" t="s">
        <v>703</v>
      </c>
      <c r="Y489" t="s">
        <v>544</v>
      </c>
    </row>
    <row r="490" spans="1:25">
      <c r="A490" t="s">
        <v>693</v>
      </c>
      <c r="B490">
        <v>1704.6979781699999</v>
      </c>
      <c r="C490">
        <v>20</v>
      </c>
      <c r="D490" t="s">
        <v>33</v>
      </c>
      <c r="E490">
        <v>9</v>
      </c>
      <c r="Y490" t="s">
        <v>544</v>
      </c>
    </row>
    <row r="491" spans="1:25">
      <c r="A491" t="s">
        <v>693</v>
      </c>
      <c r="B491">
        <v>1706.6985161556599</v>
      </c>
      <c r="C491">
        <v>12.8957575106676</v>
      </c>
      <c r="D491" t="s">
        <v>32</v>
      </c>
      <c r="E491">
        <v>14</v>
      </c>
      <c r="R491" t="s">
        <v>20</v>
      </c>
      <c r="Y491" t="s">
        <v>544</v>
      </c>
    </row>
    <row r="492" spans="1:25">
      <c r="A492" t="s">
        <v>693</v>
      </c>
      <c r="B492">
        <v>1707.2919141139901</v>
      </c>
      <c r="C492">
        <v>14.1033628956618</v>
      </c>
      <c r="D492" t="s">
        <v>18</v>
      </c>
      <c r="E492">
        <v>38</v>
      </c>
      <c r="Y492" t="s">
        <v>544</v>
      </c>
    </row>
    <row r="493" spans="1:25">
      <c r="A493" t="s">
        <v>693</v>
      </c>
      <c r="B493">
        <v>1709.5942736663201</v>
      </c>
      <c r="C493">
        <v>15</v>
      </c>
      <c r="D493" t="s">
        <v>35</v>
      </c>
      <c r="E493">
        <v>5</v>
      </c>
      <c r="Y493" t="s">
        <v>544</v>
      </c>
    </row>
    <row r="494" spans="1:25">
      <c r="A494" t="s">
        <v>693</v>
      </c>
      <c r="B494">
        <v>1721.39527700965</v>
      </c>
      <c r="C494">
        <v>11.9007700126717</v>
      </c>
      <c r="D494" t="s">
        <v>10</v>
      </c>
      <c r="E494">
        <v>33</v>
      </c>
      <c r="Y494" t="s">
        <v>544</v>
      </c>
    </row>
    <row r="495" spans="1:25">
      <c r="A495" t="s">
        <v>693</v>
      </c>
      <c r="B495">
        <v>1725.4545835439999</v>
      </c>
      <c r="C495">
        <v>20</v>
      </c>
      <c r="D495" t="s">
        <v>687</v>
      </c>
      <c r="E495">
        <v>14</v>
      </c>
      <c r="H495" t="s">
        <v>437</v>
      </c>
      <c r="M495" t="s">
        <v>433</v>
      </c>
      <c r="Y495" t="s">
        <v>544</v>
      </c>
    </row>
    <row r="496" spans="1:25">
      <c r="A496" t="s">
        <v>693</v>
      </c>
      <c r="B496">
        <v>1726.29604702233</v>
      </c>
      <c r="C496">
        <v>17</v>
      </c>
      <c r="D496" t="s">
        <v>6</v>
      </c>
      <c r="E496">
        <v>15</v>
      </c>
      <c r="T496" t="s">
        <v>21</v>
      </c>
      <c r="U496" t="s">
        <v>14</v>
      </c>
      <c r="Y496" t="s">
        <v>544</v>
      </c>
    </row>
    <row r="497" spans="1:25">
      <c r="A497" t="s">
        <v>693</v>
      </c>
      <c r="B497">
        <v>1730.29604702233</v>
      </c>
      <c r="C497">
        <v>21.886731363669</v>
      </c>
      <c r="D497" t="s">
        <v>18</v>
      </c>
      <c r="E497">
        <v>39</v>
      </c>
      <c r="Y497" t="s">
        <v>544</v>
      </c>
    </row>
    <row r="498" spans="1:25">
      <c r="A498" t="s">
        <v>693</v>
      </c>
      <c r="B498">
        <v>1730.6980915709801</v>
      </c>
      <c r="C498">
        <v>20</v>
      </c>
      <c r="D498" t="s">
        <v>636</v>
      </c>
      <c r="E498">
        <v>24</v>
      </c>
      <c r="I498" t="s">
        <v>442</v>
      </c>
      <c r="M498" t="s">
        <v>438</v>
      </c>
      <c r="Y498" t="s">
        <v>544</v>
      </c>
    </row>
    <row r="499" spans="1:25">
      <c r="A499" t="s">
        <v>693</v>
      </c>
      <c r="B499">
        <v>1733.29604702233</v>
      </c>
      <c r="C499">
        <v>24.730709071668699</v>
      </c>
      <c r="D499" t="s">
        <v>19</v>
      </c>
      <c r="E499">
        <v>34</v>
      </c>
      <c r="Y499" t="s">
        <v>544</v>
      </c>
    </row>
    <row r="500" spans="1:25">
      <c r="A500" t="s">
        <v>693</v>
      </c>
      <c r="B500">
        <v>1734.59803701032</v>
      </c>
      <c r="C500">
        <v>20</v>
      </c>
      <c r="D500" t="s">
        <v>637</v>
      </c>
      <c r="E500">
        <v>23</v>
      </c>
      <c r="I500" t="s">
        <v>439</v>
      </c>
      <c r="M500" t="s">
        <v>604</v>
      </c>
      <c r="Y500" t="s">
        <v>544</v>
      </c>
    </row>
    <row r="501" spans="1:25">
      <c r="A501" t="s">
        <v>693</v>
      </c>
      <c r="B501">
        <v>1737.09819918432</v>
      </c>
      <c r="C501">
        <v>15.084579201671399</v>
      </c>
      <c r="D501" t="s">
        <v>32</v>
      </c>
      <c r="E501">
        <v>15</v>
      </c>
      <c r="R501" t="s">
        <v>23</v>
      </c>
      <c r="Y501" t="s">
        <v>544</v>
      </c>
    </row>
    <row r="502" spans="1:25">
      <c r="A502" t="s">
        <v>693</v>
      </c>
      <c r="B502">
        <v>1739.450210295</v>
      </c>
      <c r="C502">
        <v>20</v>
      </c>
      <c r="D502" t="s">
        <v>687</v>
      </c>
      <c r="E502">
        <v>15</v>
      </c>
      <c r="J502" t="s">
        <v>335</v>
      </c>
      <c r="M502" t="s">
        <v>615</v>
      </c>
      <c r="Y502" t="s">
        <v>544</v>
      </c>
    </row>
    <row r="503" spans="1:25">
      <c r="A503" t="s">
        <v>693</v>
      </c>
      <c r="B503">
        <v>1745.1827783860001</v>
      </c>
      <c r="C503">
        <v>17</v>
      </c>
      <c r="D503" t="s">
        <v>40</v>
      </c>
      <c r="E503">
        <v>23</v>
      </c>
      <c r="U503" t="s">
        <v>14</v>
      </c>
      <c r="Y503" t="s">
        <v>544</v>
      </c>
    </row>
    <row r="504" spans="1:25">
      <c r="A504" t="s">
        <v>693</v>
      </c>
      <c r="B504">
        <v>1749.1827783860001</v>
      </c>
      <c r="C504">
        <v>8.8439777079997803</v>
      </c>
      <c r="D504" t="s">
        <v>9</v>
      </c>
      <c r="E504">
        <v>42</v>
      </c>
      <c r="Y504" t="s">
        <v>544</v>
      </c>
    </row>
    <row r="505" spans="1:25">
      <c r="A505" t="s">
        <v>693</v>
      </c>
      <c r="B505">
        <v>1758.0267560939999</v>
      </c>
      <c r="C505">
        <v>121.884425114</v>
      </c>
      <c r="D505" t="s">
        <v>10</v>
      </c>
      <c r="E505">
        <v>34</v>
      </c>
      <c r="Y505" t="s">
        <v>544</v>
      </c>
    </row>
    <row r="506" spans="1:25">
      <c r="A506" t="s">
        <v>693</v>
      </c>
      <c r="B506">
        <v>1872.911181208</v>
      </c>
      <c r="C506">
        <v>17</v>
      </c>
      <c r="D506" t="s">
        <v>11</v>
      </c>
      <c r="E506">
        <v>16</v>
      </c>
      <c r="T506" t="s">
        <v>13</v>
      </c>
      <c r="Y506" t="s">
        <v>544</v>
      </c>
    </row>
    <row r="507" spans="1:25">
      <c r="A507" t="s">
        <v>693</v>
      </c>
      <c r="B507">
        <v>1875.3983796196601</v>
      </c>
      <c r="C507">
        <v>20</v>
      </c>
      <c r="D507" t="s">
        <v>41</v>
      </c>
      <c r="E507">
        <v>6</v>
      </c>
      <c r="Y507" t="s">
        <v>544</v>
      </c>
    </row>
    <row r="508" spans="1:25">
      <c r="A508" t="s">
        <v>693</v>
      </c>
      <c r="B508">
        <v>1876.911181208</v>
      </c>
      <c r="C508">
        <v>16.887431588667798</v>
      </c>
      <c r="D508" t="s">
        <v>9</v>
      </c>
      <c r="E508">
        <v>43</v>
      </c>
      <c r="Y508" t="s">
        <v>544</v>
      </c>
    </row>
    <row r="509" spans="1:25">
      <c r="A509" t="s">
        <v>693</v>
      </c>
      <c r="B509">
        <v>1877.0884464159999</v>
      </c>
      <c r="C509">
        <v>20</v>
      </c>
      <c r="D509" t="s">
        <v>777</v>
      </c>
      <c r="E509">
        <v>23</v>
      </c>
      <c r="K509" t="s">
        <v>441</v>
      </c>
      <c r="M509" t="s">
        <v>613</v>
      </c>
      <c r="Y509" t="s">
        <v>544</v>
      </c>
    </row>
    <row r="510" spans="1:25">
      <c r="A510" t="s">
        <v>693</v>
      </c>
      <c r="B510">
        <v>1879.911181208</v>
      </c>
      <c r="C510">
        <v>86.566558802999893</v>
      </c>
      <c r="D510" t="s">
        <v>19</v>
      </c>
      <c r="E510">
        <v>35</v>
      </c>
      <c r="Y510" t="s">
        <v>544</v>
      </c>
    </row>
    <row r="511" spans="1:25">
      <c r="A511" t="s">
        <v>693</v>
      </c>
      <c r="B511">
        <v>1883.3987546246599</v>
      </c>
      <c r="C511">
        <v>20</v>
      </c>
      <c r="D511" t="s">
        <v>637</v>
      </c>
      <c r="E511">
        <v>24</v>
      </c>
      <c r="H511" t="s">
        <v>450</v>
      </c>
      <c r="I511" t="s">
        <v>542</v>
      </c>
      <c r="J511" t="s">
        <v>629</v>
      </c>
      <c r="M511" t="s">
        <v>757</v>
      </c>
      <c r="Y511" t="s">
        <v>544</v>
      </c>
    </row>
    <row r="512" spans="1:25">
      <c r="A512" t="s">
        <v>693</v>
      </c>
      <c r="B512">
        <v>1886.7986127966601</v>
      </c>
      <c r="C512">
        <v>17</v>
      </c>
      <c r="D512" t="s">
        <v>27</v>
      </c>
      <c r="E512">
        <v>21</v>
      </c>
      <c r="U512" t="s">
        <v>190</v>
      </c>
      <c r="Y512" t="s">
        <v>544</v>
      </c>
    </row>
    <row r="513" spans="1:25">
      <c r="A513" t="s">
        <v>693</v>
      </c>
      <c r="B513">
        <v>1890.7986127966601</v>
      </c>
      <c r="C513">
        <v>70.592791220332103</v>
      </c>
      <c r="D513" t="s">
        <v>18</v>
      </c>
      <c r="E513">
        <v>40</v>
      </c>
      <c r="Y513" t="s">
        <v>544</v>
      </c>
    </row>
    <row r="514" spans="1:25">
      <c r="A514" t="s">
        <v>693</v>
      </c>
      <c r="B514">
        <v>1954.391404017</v>
      </c>
      <c r="C514">
        <v>17</v>
      </c>
      <c r="D514" t="s">
        <v>11</v>
      </c>
      <c r="E514">
        <v>17</v>
      </c>
      <c r="T514" t="s">
        <v>12</v>
      </c>
      <c r="Y514" t="s">
        <v>544</v>
      </c>
    </row>
    <row r="515" spans="1:25">
      <c r="A515" t="s">
        <v>693</v>
      </c>
      <c r="B515">
        <v>1958.391404017</v>
      </c>
      <c r="C515">
        <v>8.08633599399991</v>
      </c>
      <c r="D515" t="s">
        <v>9</v>
      </c>
      <c r="E515">
        <v>44</v>
      </c>
      <c r="Y515" t="s">
        <v>544</v>
      </c>
    </row>
    <row r="516" spans="1:25">
      <c r="A516" t="s">
        <v>693</v>
      </c>
      <c r="B516">
        <v>1965.4993894136601</v>
      </c>
      <c r="C516">
        <v>20</v>
      </c>
      <c r="D516" t="s">
        <v>743</v>
      </c>
      <c r="E516">
        <v>25</v>
      </c>
      <c r="I516" t="s">
        <v>440</v>
      </c>
      <c r="M516" t="s">
        <v>604</v>
      </c>
      <c r="Y516" t="s">
        <v>544</v>
      </c>
    </row>
    <row r="517" spans="1:25">
      <c r="A517" t="s">
        <v>693</v>
      </c>
      <c r="B517">
        <v>1966.4777400109999</v>
      </c>
      <c r="C517">
        <v>7.2209331393303202</v>
      </c>
      <c r="D517" t="s">
        <v>10</v>
      </c>
      <c r="E517">
        <v>35</v>
      </c>
      <c r="Y517" t="s">
        <v>544</v>
      </c>
    </row>
    <row r="518" spans="1:25">
      <c r="A518" t="s">
        <v>693</v>
      </c>
      <c r="B518">
        <v>1966.69867315033</v>
      </c>
      <c r="C518">
        <v>17</v>
      </c>
      <c r="D518" t="s">
        <v>6</v>
      </c>
      <c r="E518">
        <v>16</v>
      </c>
      <c r="T518" t="s">
        <v>21</v>
      </c>
      <c r="U518" t="s">
        <v>28</v>
      </c>
      <c r="Y518" t="s">
        <v>544</v>
      </c>
    </row>
    <row r="519" spans="1:25">
      <c r="A519" t="s">
        <v>693</v>
      </c>
      <c r="B519">
        <v>1968.3989642036499</v>
      </c>
      <c r="C519">
        <v>20</v>
      </c>
      <c r="D519" t="s">
        <v>638</v>
      </c>
      <c r="E519">
        <v>33</v>
      </c>
      <c r="I519" t="s">
        <v>447</v>
      </c>
      <c r="M519" t="s">
        <v>605</v>
      </c>
      <c r="Y519" t="s">
        <v>544</v>
      </c>
    </row>
    <row r="520" spans="1:25">
      <c r="A520" t="s">
        <v>693</v>
      </c>
      <c r="B520">
        <v>1970.69867315033</v>
      </c>
      <c r="C520">
        <v>16.6999577020012</v>
      </c>
      <c r="D520" t="s">
        <v>18</v>
      </c>
      <c r="E520">
        <v>41</v>
      </c>
      <c r="Y520" t="s">
        <v>544</v>
      </c>
    </row>
    <row r="521" spans="1:25">
      <c r="A521" t="s">
        <v>693</v>
      </c>
      <c r="B521">
        <v>1973.69867315033</v>
      </c>
      <c r="C521">
        <v>18.7987403920005</v>
      </c>
      <c r="D521" t="s">
        <v>19</v>
      </c>
      <c r="E521">
        <v>36</v>
      </c>
      <c r="Y521" t="s">
        <v>544</v>
      </c>
    </row>
    <row r="522" spans="1:25">
      <c r="A522" t="s">
        <v>693</v>
      </c>
      <c r="B522">
        <v>1974.69861011433</v>
      </c>
      <c r="C522">
        <v>12.7000207379981</v>
      </c>
      <c r="D522" t="s">
        <v>121</v>
      </c>
      <c r="E522">
        <v>20</v>
      </c>
      <c r="P522" t="s">
        <v>31</v>
      </c>
      <c r="R522" t="s">
        <v>23</v>
      </c>
      <c r="Y522" t="s">
        <v>544</v>
      </c>
    </row>
    <row r="523" spans="1:25">
      <c r="A523" t="s">
        <v>693</v>
      </c>
      <c r="B523">
        <v>1975.594387852</v>
      </c>
      <c r="C523">
        <v>20</v>
      </c>
      <c r="D523" t="s">
        <v>45</v>
      </c>
      <c r="E523">
        <v>8</v>
      </c>
      <c r="N523">
        <v>82</v>
      </c>
      <c r="O523">
        <v>30</v>
      </c>
      <c r="Q523" t="s">
        <v>718</v>
      </c>
      <c r="Y523" t="s">
        <v>544</v>
      </c>
    </row>
    <row r="524" spans="1:25">
      <c r="A524" t="s">
        <v>693</v>
      </c>
      <c r="B524">
        <v>1980.3986308523299</v>
      </c>
      <c r="C524">
        <v>17</v>
      </c>
      <c r="D524" t="s">
        <v>40</v>
      </c>
      <c r="E524">
        <v>24</v>
      </c>
      <c r="U524" t="s">
        <v>28</v>
      </c>
      <c r="Y524" t="s">
        <v>544</v>
      </c>
    </row>
    <row r="525" spans="1:25">
      <c r="A525" t="s">
        <v>693</v>
      </c>
      <c r="B525">
        <v>1981.1978723719999</v>
      </c>
      <c r="C525">
        <v>20</v>
      </c>
      <c r="D525" t="s">
        <v>638</v>
      </c>
      <c r="E525">
        <v>34</v>
      </c>
      <c r="G525" t="s">
        <v>448</v>
      </c>
      <c r="Y525" t="s">
        <v>544</v>
      </c>
    </row>
    <row r="526" spans="1:25">
      <c r="A526" t="s">
        <v>693</v>
      </c>
      <c r="B526">
        <v>1984.3986308523299</v>
      </c>
      <c r="C526">
        <v>8.0987826899993198</v>
      </c>
      <c r="D526" t="s">
        <v>9</v>
      </c>
      <c r="E526">
        <v>45</v>
      </c>
      <c r="Y526" t="s">
        <v>544</v>
      </c>
    </row>
    <row r="527" spans="1:25">
      <c r="A527" t="s">
        <v>693</v>
      </c>
      <c r="B527">
        <v>1992.4974135423299</v>
      </c>
      <c r="C527">
        <v>16.662469343669201</v>
      </c>
      <c r="D527" t="s">
        <v>10</v>
      </c>
      <c r="E527">
        <v>36</v>
      </c>
      <c r="Y527" t="s">
        <v>544</v>
      </c>
    </row>
    <row r="528" spans="1:25">
      <c r="A528" t="s">
        <v>693</v>
      </c>
      <c r="B528">
        <v>1998.79865746632</v>
      </c>
      <c r="C528">
        <v>20</v>
      </c>
      <c r="D528" t="s">
        <v>743</v>
      </c>
      <c r="E528">
        <v>26</v>
      </c>
      <c r="I528" t="s">
        <v>442</v>
      </c>
      <c r="M528" t="s">
        <v>438</v>
      </c>
      <c r="Y528" t="s">
        <v>544</v>
      </c>
    </row>
    <row r="529" spans="1:25">
      <c r="A529" t="s">
        <v>693</v>
      </c>
      <c r="B529">
        <v>2001.6984427069999</v>
      </c>
      <c r="C529">
        <v>20</v>
      </c>
      <c r="D529" t="s">
        <v>638</v>
      </c>
      <c r="E529">
        <v>35</v>
      </c>
      <c r="I529" t="s">
        <v>447</v>
      </c>
      <c r="M529" t="s">
        <v>605</v>
      </c>
      <c r="Y529" t="s">
        <v>544</v>
      </c>
    </row>
    <row r="530" spans="1:25">
      <c r="A530" t="s">
        <v>693</v>
      </c>
      <c r="B530">
        <v>2002.1598828860001</v>
      </c>
      <c r="C530">
        <v>17</v>
      </c>
      <c r="D530" t="s">
        <v>6</v>
      </c>
      <c r="E530">
        <v>17</v>
      </c>
      <c r="T530" t="s">
        <v>25</v>
      </c>
      <c r="Y530" t="s">
        <v>544</v>
      </c>
    </row>
    <row r="531" spans="1:25">
      <c r="A531" t="s">
        <v>693</v>
      </c>
      <c r="B531">
        <v>2004.8984586803299</v>
      </c>
      <c r="C531">
        <v>13.400271003339601</v>
      </c>
      <c r="D531" t="s">
        <v>121</v>
      </c>
      <c r="E531">
        <v>21</v>
      </c>
      <c r="P531" t="s">
        <v>31</v>
      </c>
      <c r="R531" t="s">
        <v>23</v>
      </c>
      <c r="Y531" t="s">
        <v>544</v>
      </c>
    </row>
    <row r="532" spans="1:25">
      <c r="A532" t="s">
        <v>693</v>
      </c>
      <c r="B532">
        <v>2006.1598828860001</v>
      </c>
      <c r="C532">
        <v>12.1388467976714</v>
      </c>
      <c r="D532" t="s">
        <v>18</v>
      </c>
      <c r="E532">
        <v>42</v>
      </c>
      <c r="Y532" t="s">
        <v>544</v>
      </c>
    </row>
    <row r="533" spans="1:25">
      <c r="A533" t="s">
        <v>693</v>
      </c>
      <c r="B533">
        <v>2009.1598828860001</v>
      </c>
      <c r="C533">
        <v>43.822422542999902</v>
      </c>
      <c r="D533" t="s">
        <v>19</v>
      </c>
      <c r="E533">
        <v>37</v>
      </c>
      <c r="Y533" t="s">
        <v>544</v>
      </c>
    </row>
    <row r="534" spans="1:25">
      <c r="A534" t="s">
        <v>693</v>
      </c>
      <c r="B534">
        <v>2011.29872968367</v>
      </c>
      <c r="C534">
        <v>17</v>
      </c>
      <c r="D534" t="s">
        <v>40</v>
      </c>
      <c r="E534">
        <v>25</v>
      </c>
      <c r="U534" t="s">
        <v>195</v>
      </c>
      <c r="Y534" t="s">
        <v>544</v>
      </c>
    </row>
    <row r="535" spans="1:25">
      <c r="A535" t="s">
        <v>693</v>
      </c>
      <c r="B535">
        <v>2012.99811394165</v>
      </c>
      <c r="C535">
        <v>20</v>
      </c>
      <c r="D535" t="s">
        <v>743</v>
      </c>
      <c r="E535">
        <v>27</v>
      </c>
      <c r="I535" t="s">
        <v>439</v>
      </c>
      <c r="J535" t="s">
        <v>629</v>
      </c>
      <c r="M535" t="s">
        <v>632</v>
      </c>
      <c r="Y535" t="s">
        <v>544</v>
      </c>
    </row>
    <row r="536" spans="1:25">
      <c r="A536" t="s">
        <v>693</v>
      </c>
      <c r="B536">
        <v>2014.0114833370001</v>
      </c>
      <c r="C536">
        <v>17</v>
      </c>
      <c r="D536" t="s">
        <v>27</v>
      </c>
      <c r="E536">
        <v>22</v>
      </c>
      <c r="U536" t="s">
        <v>28</v>
      </c>
      <c r="Y536" t="s">
        <v>544</v>
      </c>
    </row>
    <row r="537" spans="1:25">
      <c r="A537" t="s">
        <v>693</v>
      </c>
      <c r="B537">
        <v>2015.29872968367</v>
      </c>
      <c r="C537">
        <v>5.7127536533284902</v>
      </c>
      <c r="D537" t="s">
        <v>9</v>
      </c>
      <c r="E537">
        <v>46</v>
      </c>
      <c r="Y537" t="s">
        <v>544</v>
      </c>
    </row>
    <row r="538" spans="1:25">
      <c r="A538" t="s">
        <v>693</v>
      </c>
      <c r="B538">
        <v>2016.346200705</v>
      </c>
      <c r="C538">
        <v>20</v>
      </c>
      <c r="D538" t="s">
        <v>795</v>
      </c>
      <c r="E538">
        <v>8</v>
      </c>
      <c r="H538" t="s">
        <v>621</v>
      </c>
      <c r="I538" t="s">
        <v>442</v>
      </c>
      <c r="M538" t="s">
        <v>604</v>
      </c>
      <c r="Y538" t="s">
        <v>544</v>
      </c>
    </row>
    <row r="539" spans="1:25">
      <c r="A539" t="s">
        <v>693</v>
      </c>
      <c r="B539">
        <v>2018.0114833370001</v>
      </c>
      <c r="C539">
        <v>34.970822091999899</v>
      </c>
      <c r="D539" t="s">
        <v>18</v>
      </c>
      <c r="E539">
        <v>43</v>
      </c>
      <c r="Y539" t="s">
        <v>544</v>
      </c>
    </row>
    <row r="540" spans="1:25">
      <c r="A540" t="s">
        <v>693</v>
      </c>
      <c r="B540">
        <v>2018.859952497</v>
      </c>
      <c r="C540">
        <v>20</v>
      </c>
      <c r="D540" t="s">
        <v>33</v>
      </c>
      <c r="E540">
        <v>10</v>
      </c>
      <c r="Y540" t="s">
        <v>544</v>
      </c>
    </row>
    <row r="541" spans="1:25">
      <c r="A541" t="s">
        <v>693</v>
      </c>
      <c r="B541">
        <v>2018.8988848439899</v>
      </c>
      <c r="C541">
        <v>24.9992339719965</v>
      </c>
      <c r="D541" t="s">
        <v>32</v>
      </c>
      <c r="E541">
        <v>16</v>
      </c>
      <c r="R541" t="s">
        <v>23</v>
      </c>
      <c r="Y541" t="s">
        <v>544</v>
      </c>
    </row>
    <row r="542" spans="1:25">
      <c r="A542" t="s">
        <v>693</v>
      </c>
      <c r="B542">
        <v>2022.0970410979901</v>
      </c>
      <c r="C542">
        <v>20</v>
      </c>
      <c r="D542" t="s">
        <v>774</v>
      </c>
      <c r="E542">
        <v>15</v>
      </c>
      <c r="I542" t="s">
        <v>440</v>
      </c>
      <c r="M542" t="s">
        <v>604</v>
      </c>
      <c r="Y542" t="s">
        <v>544</v>
      </c>
    </row>
    <row r="543" spans="1:25">
      <c r="A543" t="s">
        <v>693</v>
      </c>
      <c r="B543">
        <v>2024.79743453433</v>
      </c>
      <c r="C543">
        <v>20</v>
      </c>
      <c r="D543" t="s">
        <v>777</v>
      </c>
      <c r="E543">
        <v>24</v>
      </c>
      <c r="H543" t="s">
        <v>621</v>
      </c>
      <c r="I543" t="s">
        <v>440</v>
      </c>
      <c r="M543" t="s">
        <v>604</v>
      </c>
      <c r="Y543" t="s">
        <v>544</v>
      </c>
    </row>
    <row r="544" spans="1:25">
      <c r="A544" t="s">
        <v>693</v>
      </c>
      <c r="B544">
        <v>2027.7984921633199</v>
      </c>
      <c r="C544">
        <v>20</v>
      </c>
      <c r="D544" t="s">
        <v>743</v>
      </c>
      <c r="E544">
        <v>28</v>
      </c>
      <c r="I544" t="s">
        <v>447</v>
      </c>
      <c r="M544" t="s">
        <v>689</v>
      </c>
      <c r="Y544" t="s">
        <v>544</v>
      </c>
    </row>
    <row r="545" spans="1:25">
      <c r="A545" t="s">
        <v>693</v>
      </c>
      <c r="B545">
        <v>2031.0665663</v>
      </c>
      <c r="C545">
        <v>20</v>
      </c>
      <c r="D545" t="s">
        <v>637</v>
      </c>
      <c r="E545">
        <v>25</v>
      </c>
      <c r="I545" t="s">
        <v>439</v>
      </c>
      <c r="M545" t="s">
        <v>443</v>
      </c>
      <c r="Y545" t="s">
        <v>544</v>
      </c>
    </row>
    <row r="546" spans="1:25">
      <c r="A546" t="s">
        <v>693</v>
      </c>
      <c r="B546">
        <v>2033.1424273780001</v>
      </c>
      <c r="C546">
        <v>20.000000000000199</v>
      </c>
      <c r="D546" t="s">
        <v>770</v>
      </c>
      <c r="E546">
        <v>17</v>
      </c>
      <c r="I546" t="s">
        <v>447</v>
      </c>
      <c r="M546" t="s">
        <v>438</v>
      </c>
      <c r="Y546" t="s">
        <v>544</v>
      </c>
    </row>
    <row r="547" spans="1:25">
      <c r="A547" t="s">
        <v>693</v>
      </c>
      <c r="B547">
        <v>2033.3991207286699</v>
      </c>
      <c r="C547">
        <v>20</v>
      </c>
      <c r="D547" t="s">
        <v>33</v>
      </c>
      <c r="E547">
        <v>11</v>
      </c>
      <c r="Y547" t="s">
        <v>544</v>
      </c>
    </row>
    <row r="548" spans="1:25">
      <c r="A548" t="s">
        <v>693</v>
      </c>
      <c r="B548">
        <v>2035.9623204500001</v>
      </c>
      <c r="C548">
        <v>20.000000000000199</v>
      </c>
      <c r="D548" t="s">
        <v>795</v>
      </c>
      <c r="E548">
        <v>9</v>
      </c>
      <c r="H548" t="s">
        <v>621</v>
      </c>
      <c r="I548" t="s">
        <v>439</v>
      </c>
      <c r="M548" t="s">
        <v>605</v>
      </c>
      <c r="Y548" t="s">
        <v>544</v>
      </c>
    </row>
    <row r="549" spans="1:25">
      <c r="A549" t="s">
        <v>693</v>
      </c>
      <c r="B549">
        <v>2036.8981188159901</v>
      </c>
      <c r="C549">
        <v>16.999999999999702</v>
      </c>
      <c r="D549" t="s">
        <v>27</v>
      </c>
      <c r="E549">
        <v>23</v>
      </c>
      <c r="U549" t="s">
        <v>195</v>
      </c>
      <c r="Y549" t="s">
        <v>544</v>
      </c>
    </row>
    <row r="550" spans="1:25">
      <c r="A550" t="s">
        <v>693</v>
      </c>
      <c r="B550">
        <v>2052.982305429</v>
      </c>
      <c r="C550">
        <v>34.306690104000097</v>
      </c>
      <c r="D550" t="s">
        <v>10</v>
      </c>
      <c r="E550">
        <v>37</v>
      </c>
      <c r="Y550" t="s">
        <v>544</v>
      </c>
    </row>
    <row r="551" spans="1:25">
      <c r="A551" t="s">
        <v>693</v>
      </c>
      <c r="B551">
        <v>2080.2889955330002</v>
      </c>
      <c r="C551">
        <v>17</v>
      </c>
      <c r="D551" t="s">
        <v>11</v>
      </c>
      <c r="E551">
        <v>18</v>
      </c>
      <c r="T551" t="s">
        <v>16</v>
      </c>
      <c r="Y551" t="s">
        <v>544</v>
      </c>
    </row>
    <row r="552" spans="1:25">
      <c r="A552" t="s">
        <v>693</v>
      </c>
      <c r="B552">
        <v>2083.1982022883099</v>
      </c>
      <c r="C552">
        <v>20</v>
      </c>
      <c r="D552" t="s">
        <v>777</v>
      </c>
      <c r="E552">
        <v>25</v>
      </c>
      <c r="I552" t="s">
        <v>439</v>
      </c>
      <c r="J552" t="s">
        <v>629</v>
      </c>
      <c r="M552" t="s">
        <v>438</v>
      </c>
      <c r="Y552" t="s">
        <v>544</v>
      </c>
    </row>
    <row r="553" spans="1:25">
      <c r="A553" t="s">
        <v>693</v>
      </c>
      <c r="B553">
        <v>2083.7947634206498</v>
      </c>
      <c r="C553">
        <v>20</v>
      </c>
      <c r="D553" t="s">
        <v>795</v>
      </c>
      <c r="E553">
        <v>10</v>
      </c>
      <c r="I553" t="s">
        <v>439</v>
      </c>
      <c r="M553" t="s">
        <v>605</v>
      </c>
      <c r="Y553" t="s">
        <v>544</v>
      </c>
    </row>
    <row r="554" spans="1:25">
      <c r="A554" t="s">
        <v>693</v>
      </c>
      <c r="B554">
        <v>2084.2889955330002</v>
      </c>
      <c r="C554">
        <v>9.2098273673350306</v>
      </c>
      <c r="D554" t="s">
        <v>9</v>
      </c>
      <c r="E554">
        <v>47</v>
      </c>
      <c r="Y554" t="s">
        <v>544</v>
      </c>
    </row>
    <row r="555" spans="1:25">
      <c r="A555" t="s">
        <v>693</v>
      </c>
      <c r="B555">
        <v>2086.4988229003302</v>
      </c>
      <c r="C555">
        <v>17</v>
      </c>
      <c r="D555" t="s">
        <v>27</v>
      </c>
      <c r="E555">
        <v>24</v>
      </c>
      <c r="U555" t="s">
        <v>195</v>
      </c>
      <c r="Y555" t="s">
        <v>544</v>
      </c>
    </row>
    <row r="556" spans="1:25">
      <c r="A556" t="s">
        <v>693</v>
      </c>
      <c r="B556">
        <v>2087.2889955330002</v>
      </c>
      <c r="C556">
        <v>14.8221416979999</v>
      </c>
      <c r="D556" t="s">
        <v>19</v>
      </c>
      <c r="E556">
        <v>38</v>
      </c>
      <c r="Y556" t="s">
        <v>544</v>
      </c>
    </row>
    <row r="557" spans="1:25">
      <c r="A557" t="s">
        <v>693</v>
      </c>
      <c r="B557">
        <v>2088.9976434066498</v>
      </c>
      <c r="C557">
        <v>20</v>
      </c>
      <c r="D557" t="s">
        <v>795</v>
      </c>
      <c r="E557">
        <v>11</v>
      </c>
      <c r="J557" t="s">
        <v>608</v>
      </c>
      <c r="Y557" t="s">
        <v>544</v>
      </c>
    </row>
    <row r="558" spans="1:25">
      <c r="A558" t="s">
        <v>693</v>
      </c>
      <c r="B558">
        <v>2090.0151099469999</v>
      </c>
      <c r="C558">
        <v>17</v>
      </c>
      <c r="D558" t="s">
        <v>40</v>
      </c>
      <c r="E558">
        <v>26</v>
      </c>
      <c r="U558" t="s">
        <v>14</v>
      </c>
      <c r="Y558" t="s">
        <v>544</v>
      </c>
    </row>
    <row r="559" spans="1:25">
      <c r="A559" t="s">
        <v>693</v>
      </c>
      <c r="B559">
        <v>2090.4988229003302</v>
      </c>
      <c r="C559">
        <v>6.5162870466647203</v>
      </c>
      <c r="D559" t="s">
        <v>18</v>
      </c>
      <c r="E559">
        <v>44</v>
      </c>
      <c r="Y559" t="s">
        <v>544</v>
      </c>
    </row>
    <row r="560" spans="1:25">
      <c r="A560" t="s">
        <v>693</v>
      </c>
      <c r="B560">
        <v>2094.0151099469999</v>
      </c>
      <c r="C560">
        <v>8.0960272840002201</v>
      </c>
      <c r="D560" t="s">
        <v>9</v>
      </c>
      <c r="E560">
        <v>48</v>
      </c>
      <c r="Y560" t="s">
        <v>544</v>
      </c>
    </row>
    <row r="561" spans="1:25">
      <c r="A561" t="s">
        <v>693</v>
      </c>
      <c r="B561">
        <v>2102.1111372310002</v>
      </c>
      <c r="C561">
        <v>9.5068177839998498</v>
      </c>
      <c r="D561" t="s">
        <v>10</v>
      </c>
      <c r="E561">
        <v>38</v>
      </c>
      <c r="Y561" t="s">
        <v>544</v>
      </c>
    </row>
    <row r="562" spans="1:25">
      <c r="A562" t="s">
        <v>693</v>
      </c>
      <c r="B562">
        <v>2104.1987954403298</v>
      </c>
      <c r="C562">
        <v>20</v>
      </c>
      <c r="D562" t="s">
        <v>777</v>
      </c>
      <c r="E562">
        <v>26</v>
      </c>
      <c r="K562" t="s">
        <v>48</v>
      </c>
      <c r="M562" t="s">
        <v>615</v>
      </c>
      <c r="Y562" t="s">
        <v>544</v>
      </c>
    </row>
    <row r="563" spans="1:25">
      <c r="A563" t="s">
        <v>693</v>
      </c>
      <c r="B563">
        <v>2104.617955015</v>
      </c>
      <c r="C563">
        <v>17</v>
      </c>
      <c r="D563" t="s">
        <v>11</v>
      </c>
      <c r="E563">
        <v>19</v>
      </c>
      <c r="T563" t="s">
        <v>12</v>
      </c>
      <c r="Y563" t="s">
        <v>544</v>
      </c>
    </row>
    <row r="564" spans="1:25">
      <c r="A564" t="s">
        <v>693</v>
      </c>
      <c r="B564">
        <v>2108.5957185010002</v>
      </c>
      <c r="C564">
        <v>20</v>
      </c>
      <c r="D564" t="s">
        <v>774</v>
      </c>
      <c r="E564">
        <v>16</v>
      </c>
      <c r="K564" t="s">
        <v>444</v>
      </c>
      <c r="M564" t="s">
        <v>613</v>
      </c>
      <c r="Y564" t="s">
        <v>544</v>
      </c>
    </row>
    <row r="565" spans="1:25">
      <c r="A565" t="s">
        <v>693</v>
      </c>
      <c r="B565">
        <v>2108.617955015</v>
      </c>
      <c r="C565">
        <v>19.204177219999998</v>
      </c>
      <c r="D565" t="s">
        <v>9</v>
      </c>
      <c r="E565">
        <v>49</v>
      </c>
      <c r="Y565" t="s">
        <v>544</v>
      </c>
    </row>
    <row r="566" spans="1:25">
      <c r="A566" t="s">
        <v>693</v>
      </c>
      <c r="B566">
        <v>2111.617955015</v>
      </c>
      <c r="C566">
        <v>16.204177219999998</v>
      </c>
      <c r="D566" t="s">
        <v>19</v>
      </c>
      <c r="E566">
        <v>39</v>
      </c>
      <c r="Y566" t="s">
        <v>544</v>
      </c>
    </row>
    <row r="567" spans="1:25">
      <c r="A567" t="s">
        <v>693</v>
      </c>
      <c r="B567">
        <v>2112.3982307326701</v>
      </c>
      <c r="C567">
        <v>20</v>
      </c>
      <c r="D567" t="s">
        <v>41</v>
      </c>
      <c r="E567">
        <v>7</v>
      </c>
      <c r="Y567" t="s">
        <v>544</v>
      </c>
    </row>
    <row r="568" spans="1:25">
      <c r="A568" t="s">
        <v>693</v>
      </c>
      <c r="B568">
        <v>2113.599883418</v>
      </c>
      <c r="C568">
        <v>20</v>
      </c>
      <c r="D568" t="s">
        <v>636</v>
      </c>
      <c r="E568">
        <v>25</v>
      </c>
      <c r="J568" t="s">
        <v>620</v>
      </c>
      <c r="K568" t="s">
        <v>441</v>
      </c>
      <c r="M568" t="s">
        <v>615</v>
      </c>
      <c r="Y568" t="s">
        <v>544</v>
      </c>
    </row>
    <row r="569" spans="1:25">
      <c r="A569" t="s">
        <v>693</v>
      </c>
      <c r="B569">
        <v>2127.822132235</v>
      </c>
      <c r="C569">
        <v>15.987753562999799</v>
      </c>
      <c r="D569" t="s">
        <v>10</v>
      </c>
      <c r="E569">
        <v>39</v>
      </c>
      <c r="Y569" t="s">
        <v>544</v>
      </c>
    </row>
    <row r="570" spans="1:25">
      <c r="A570" t="s">
        <v>693</v>
      </c>
      <c r="B570">
        <v>2134.5981322909902</v>
      </c>
      <c r="C570">
        <v>20</v>
      </c>
      <c r="D570" t="s">
        <v>743</v>
      </c>
      <c r="E570">
        <v>29</v>
      </c>
      <c r="I570" t="s">
        <v>442</v>
      </c>
      <c r="M570" t="s">
        <v>438</v>
      </c>
      <c r="Y570" t="s">
        <v>544</v>
      </c>
    </row>
    <row r="571" spans="1:25">
      <c r="A571" t="s">
        <v>693</v>
      </c>
      <c r="B571">
        <v>2136.8098857979999</v>
      </c>
      <c r="C571">
        <v>17</v>
      </c>
      <c r="D571" t="s">
        <v>6</v>
      </c>
      <c r="E571">
        <v>18</v>
      </c>
      <c r="T571" t="s">
        <v>25</v>
      </c>
      <c r="Y571" t="s">
        <v>544</v>
      </c>
    </row>
    <row r="572" spans="1:25">
      <c r="A572" t="s">
        <v>693</v>
      </c>
      <c r="B572">
        <v>2137.1979513913302</v>
      </c>
      <c r="C572">
        <v>20</v>
      </c>
      <c r="D572" t="s">
        <v>638</v>
      </c>
      <c r="E572">
        <v>36</v>
      </c>
      <c r="I572" t="s">
        <v>447</v>
      </c>
      <c r="M572" t="s">
        <v>604</v>
      </c>
      <c r="Y572" t="s">
        <v>544</v>
      </c>
    </row>
    <row r="573" spans="1:25">
      <c r="A573" t="s">
        <v>693</v>
      </c>
      <c r="B573">
        <v>2139.6988081689901</v>
      </c>
      <c r="C573">
        <v>23.203668787292301</v>
      </c>
      <c r="D573" t="s">
        <v>121</v>
      </c>
      <c r="E573">
        <v>22</v>
      </c>
      <c r="P573" t="s">
        <v>667</v>
      </c>
      <c r="R573" t="s">
        <v>20</v>
      </c>
      <c r="Y573" t="s">
        <v>544</v>
      </c>
    </row>
    <row r="574" spans="1:25">
      <c r="A574" t="s">
        <v>693</v>
      </c>
      <c r="B574">
        <v>2140.8098857979999</v>
      </c>
      <c r="C574">
        <v>22.188560216330998</v>
      </c>
      <c r="D574" t="s">
        <v>18</v>
      </c>
      <c r="E574">
        <v>45</v>
      </c>
      <c r="Y574" t="s">
        <v>544</v>
      </c>
    </row>
    <row r="575" spans="1:25">
      <c r="A575" t="s">
        <v>693</v>
      </c>
      <c r="B575">
        <v>2143.8098857979999</v>
      </c>
      <c r="C575">
        <v>29.846595206</v>
      </c>
      <c r="D575" t="s">
        <v>19</v>
      </c>
      <c r="E575">
        <v>40</v>
      </c>
      <c r="Y575" t="s">
        <v>544</v>
      </c>
    </row>
    <row r="576" spans="1:25">
      <c r="A576" t="s">
        <v>693</v>
      </c>
      <c r="B576">
        <v>2144.5980746253199</v>
      </c>
      <c r="C576">
        <v>20</v>
      </c>
      <c r="D576" t="s">
        <v>774</v>
      </c>
      <c r="E576">
        <v>17</v>
      </c>
      <c r="H576" t="s">
        <v>336</v>
      </c>
      <c r="I576" t="s">
        <v>440</v>
      </c>
      <c r="M576" t="s">
        <v>622</v>
      </c>
      <c r="Y576" t="s">
        <v>544</v>
      </c>
    </row>
    <row r="577" spans="1:25">
      <c r="A577" t="s">
        <v>693</v>
      </c>
      <c r="B577">
        <v>2148.2212094249999</v>
      </c>
      <c r="C577">
        <v>20</v>
      </c>
      <c r="D577" t="s">
        <v>687</v>
      </c>
      <c r="E577">
        <v>16</v>
      </c>
      <c r="I577" t="s">
        <v>455</v>
      </c>
      <c r="M577" t="s">
        <v>735</v>
      </c>
      <c r="Y577" t="s">
        <v>544</v>
      </c>
    </row>
    <row r="578" spans="1:25">
      <c r="A578" t="s">
        <v>693</v>
      </c>
      <c r="B578">
        <v>2151.5982864549901</v>
      </c>
      <c r="C578">
        <v>11.400159559333501</v>
      </c>
      <c r="D578" t="s">
        <v>32</v>
      </c>
      <c r="E578">
        <v>17</v>
      </c>
      <c r="R578" t="s">
        <v>23</v>
      </c>
      <c r="Y578" t="s">
        <v>544</v>
      </c>
    </row>
    <row r="579" spans="1:25">
      <c r="A579" t="s">
        <v>693</v>
      </c>
      <c r="B579">
        <v>2155.9984460143301</v>
      </c>
      <c r="C579">
        <v>17</v>
      </c>
      <c r="D579" t="s">
        <v>40</v>
      </c>
      <c r="E579">
        <v>27</v>
      </c>
      <c r="U579" t="s">
        <v>14</v>
      </c>
      <c r="Y579" t="s">
        <v>544</v>
      </c>
    </row>
    <row r="580" spans="1:25">
      <c r="A580" t="s">
        <v>693</v>
      </c>
      <c r="B580">
        <v>2159.9984460143301</v>
      </c>
      <c r="C580">
        <v>13.6580349896689</v>
      </c>
      <c r="D580" t="s">
        <v>9</v>
      </c>
      <c r="E580">
        <v>50</v>
      </c>
      <c r="Y580" t="s">
        <v>544</v>
      </c>
    </row>
    <row r="581" spans="1:25">
      <c r="A581" t="s">
        <v>693</v>
      </c>
      <c r="B581">
        <v>2161.9983515896602</v>
      </c>
      <c r="C581">
        <v>20</v>
      </c>
      <c r="D581" t="s">
        <v>638</v>
      </c>
      <c r="E581">
        <v>37</v>
      </c>
      <c r="G581" t="s">
        <v>449</v>
      </c>
      <c r="I581" t="s">
        <v>447</v>
      </c>
      <c r="M581" t="s">
        <v>443</v>
      </c>
      <c r="Y581" t="s">
        <v>544</v>
      </c>
    </row>
    <row r="582" spans="1:25">
      <c r="A582" t="s">
        <v>693</v>
      </c>
      <c r="B582">
        <v>2173.6564810039999</v>
      </c>
      <c r="C582">
        <v>14.342073960328401</v>
      </c>
      <c r="D582" t="s">
        <v>10</v>
      </c>
      <c r="E582">
        <v>40</v>
      </c>
      <c r="Y582" t="s">
        <v>544</v>
      </c>
    </row>
    <row r="583" spans="1:25">
      <c r="A583" t="s">
        <v>693</v>
      </c>
      <c r="B583">
        <v>2180.1980812933298</v>
      </c>
      <c r="C583">
        <v>20</v>
      </c>
      <c r="D583" t="s">
        <v>774</v>
      </c>
      <c r="E583">
        <v>18</v>
      </c>
      <c r="J583" t="s">
        <v>49</v>
      </c>
      <c r="Y583" t="s">
        <v>544</v>
      </c>
    </row>
    <row r="584" spans="1:25">
      <c r="A584" t="s">
        <v>693</v>
      </c>
      <c r="B584">
        <v>2180.9985549643202</v>
      </c>
      <c r="C584">
        <v>17</v>
      </c>
      <c r="D584" t="s">
        <v>11</v>
      </c>
      <c r="E584">
        <v>20</v>
      </c>
      <c r="T584" t="s">
        <v>12</v>
      </c>
      <c r="Y584" t="s">
        <v>544</v>
      </c>
    </row>
    <row r="585" spans="1:25">
      <c r="A585" t="s">
        <v>693</v>
      </c>
      <c r="B585">
        <v>2184.9985549643202</v>
      </c>
      <c r="C585">
        <v>10.298688423004</v>
      </c>
      <c r="D585" t="s">
        <v>9</v>
      </c>
      <c r="E585">
        <v>51</v>
      </c>
      <c r="Y585" t="s">
        <v>544</v>
      </c>
    </row>
    <row r="586" spans="1:25">
      <c r="A586" t="s">
        <v>693</v>
      </c>
      <c r="B586">
        <v>2186.5985163310002</v>
      </c>
      <c r="C586">
        <v>20</v>
      </c>
      <c r="D586" t="s">
        <v>685</v>
      </c>
      <c r="E586">
        <v>10</v>
      </c>
      <c r="J586" t="s">
        <v>608</v>
      </c>
      <c r="Y586" t="s">
        <v>544</v>
      </c>
    </row>
    <row r="587" spans="1:25">
      <c r="A587" t="s">
        <v>693</v>
      </c>
      <c r="B587">
        <v>2187.9985549643202</v>
      </c>
      <c r="C587">
        <v>16.900089278333699</v>
      </c>
      <c r="D587" t="s">
        <v>19</v>
      </c>
      <c r="E587">
        <v>41</v>
      </c>
      <c r="Y587" t="s">
        <v>544</v>
      </c>
    </row>
    <row r="588" spans="1:25">
      <c r="A588" t="s">
        <v>693</v>
      </c>
      <c r="B588">
        <v>2188.19907177099</v>
      </c>
      <c r="C588">
        <v>20</v>
      </c>
      <c r="D588" t="s">
        <v>770</v>
      </c>
      <c r="E588">
        <v>18</v>
      </c>
      <c r="I588" t="s">
        <v>772</v>
      </c>
      <c r="M588" t="s">
        <v>773</v>
      </c>
      <c r="Y588" t="s">
        <v>544</v>
      </c>
    </row>
    <row r="589" spans="1:25">
      <c r="A589" t="s">
        <v>693</v>
      </c>
      <c r="B589">
        <v>2188.2972433873301</v>
      </c>
      <c r="C589">
        <v>17</v>
      </c>
      <c r="D589" t="s">
        <v>27</v>
      </c>
      <c r="E589">
        <v>25</v>
      </c>
      <c r="U589" t="s">
        <v>694</v>
      </c>
      <c r="Y589" t="s">
        <v>544</v>
      </c>
    </row>
    <row r="590" spans="1:25">
      <c r="A590" t="s">
        <v>693</v>
      </c>
      <c r="B590">
        <v>2189.8986442426599</v>
      </c>
      <c r="C590">
        <v>20</v>
      </c>
      <c r="D590" t="s">
        <v>36</v>
      </c>
      <c r="E590">
        <v>6</v>
      </c>
      <c r="N590">
        <v>83</v>
      </c>
      <c r="O590">
        <v>55</v>
      </c>
      <c r="Q590" t="s">
        <v>704</v>
      </c>
      <c r="Y590" t="s">
        <v>544</v>
      </c>
    </row>
    <row r="591" spans="1:25">
      <c r="A591" t="s">
        <v>693</v>
      </c>
      <c r="B591">
        <v>2189.8986442426599</v>
      </c>
      <c r="C591">
        <v>20</v>
      </c>
      <c r="D591" t="s">
        <v>453</v>
      </c>
      <c r="E591">
        <v>2</v>
      </c>
      <c r="Y591" t="s">
        <v>544</v>
      </c>
    </row>
    <row r="592" spans="1:25">
      <c r="A592" t="s">
        <v>693</v>
      </c>
      <c r="B592">
        <v>2189.9985791039799</v>
      </c>
      <c r="C592">
        <v>20</v>
      </c>
      <c r="D592" t="s">
        <v>637</v>
      </c>
      <c r="E592">
        <v>26</v>
      </c>
      <c r="I592" t="s">
        <v>616</v>
      </c>
      <c r="M592" t="s">
        <v>686</v>
      </c>
      <c r="Y592" t="s">
        <v>544</v>
      </c>
    </row>
    <row r="593" spans="1:25">
      <c r="A593" t="s">
        <v>693</v>
      </c>
      <c r="B593">
        <v>2192.2972433873301</v>
      </c>
      <c r="C593">
        <v>12.6014008553297</v>
      </c>
      <c r="D593" t="s">
        <v>18</v>
      </c>
      <c r="E593">
        <v>46</v>
      </c>
      <c r="Y593" t="s">
        <v>544</v>
      </c>
    </row>
    <row r="594" spans="1:25">
      <c r="A594" t="s">
        <v>693</v>
      </c>
      <c r="B594">
        <v>2193.5983728286601</v>
      </c>
      <c r="C594">
        <v>20</v>
      </c>
      <c r="D594" t="s">
        <v>33</v>
      </c>
      <c r="E594">
        <v>12</v>
      </c>
      <c r="Y594" t="s">
        <v>544</v>
      </c>
    </row>
    <row r="595" spans="1:25">
      <c r="A595" t="s">
        <v>693</v>
      </c>
      <c r="B595">
        <v>2194.8986442426599</v>
      </c>
      <c r="C595">
        <v>15</v>
      </c>
      <c r="D595" t="s">
        <v>35</v>
      </c>
      <c r="E595">
        <v>6</v>
      </c>
      <c r="Y595" t="s">
        <v>544</v>
      </c>
    </row>
    <row r="596" spans="1:25">
      <c r="A596" t="s">
        <v>693</v>
      </c>
      <c r="B596">
        <v>2195.1987266740002</v>
      </c>
      <c r="C596">
        <v>9.6999175686614691</v>
      </c>
      <c r="D596" t="s">
        <v>32</v>
      </c>
      <c r="E596">
        <v>18</v>
      </c>
      <c r="R596" t="s">
        <v>20</v>
      </c>
      <c r="Y596" t="s">
        <v>544</v>
      </c>
    </row>
    <row r="597" spans="1:25">
      <c r="A597" t="s">
        <v>693</v>
      </c>
      <c r="B597">
        <v>2196.2977583769998</v>
      </c>
      <c r="C597">
        <v>20</v>
      </c>
      <c r="D597" t="s">
        <v>687</v>
      </c>
      <c r="E597">
        <v>17</v>
      </c>
      <c r="H597" t="s">
        <v>460</v>
      </c>
      <c r="L597" t="s">
        <v>51</v>
      </c>
      <c r="M597" t="s">
        <v>677</v>
      </c>
      <c r="Y597" t="s">
        <v>544</v>
      </c>
    </row>
    <row r="598" spans="1:25">
      <c r="A598" t="s">
        <v>693</v>
      </c>
      <c r="B598">
        <v>2204.8986442426599</v>
      </c>
      <c r="C598">
        <v>42.999821851671598</v>
      </c>
      <c r="D598" t="s">
        <v>10</v>
      </c>
      <c r="E598">
        <v>41</v>
      </c>
      <c r="Y598" t="s">
        <v>544</v>
      </c>
    </row>
    <row r="599" spans="1:25">
      <c r="A599" t="s">
        <v>693</v>
      </c>
      <c r="B599">
        <v>2244.8984660943302</v>
      </c>
      <c r="C599">
        <v>9.7001171069991798</v>
      </c>
      <c r="D599" t="s">
        <v>9</v>
      </c>
      <c r="E599">
        <v>52</v>
      </c>
      <c r="Y599" t="s">
        <v>544</v>
      </c>
    </row>
    <row r="600" spans="1:25">
      <c r="A600" t="s">
        <v>693</v>
      </c>
      <c r="B600">
        <v>2245.6978557149901</v>
      </c>
      <c r="C600">
        <v>20</v>
      </c>
      <c r="D600" t="s">
        <v>637</v>
      </c>
      <c r="E600">
        <v>27</v>
      </c>
      <c r="J600" t="s">
        <v>49</v>
      </c>
      <c r="Y600" t="s">
        <v>544</v>
      </c>
    </row>
    <row r="601" spans="1:25">
      <c r="A601" t="s">
        <v>693</v>
      </c>
      <c r="B601">
        <v>2247.5985832013298</v>
      </c>
      <c r="C601">
        <v>17</v>
      </c>
      <c r="D601" t="s">
        <v>27</v>
      </c>
      <c r="E601">
        <v>26</v>
      </c>
      <c r="U601" t="s">
        <v>195</v>
      </c>
      <c r="Y601" t="s">
        <v>544</v>
      </c>
    </row>
    <row r="602" spans="1:25">
      <c r="A602" t="s">
        <v>693</v>
      </c>
      <c r="B602">
        <v>2247.8984660943302</v>
      </c>
      <c r="C602">
        <v>1</v>
      </c>
      <c r="D602" t="s">
        <v>17</v>
      </c>
      <c r="E602">
        <v>2</v>
      </c>
      <c r="Y602" t="s">
        <v>544</v>
      </c>
    </row>
    <row r="603" spans="1:25">
      <c r="A603" t="s">
        <v>693</v>
      </c>
      <c r="B603">
        <v>2247.8984660943302</v>
      </c>
      <c r="C603">
        <v>17.700506754660999</v>
      </c>
      <c r="D603" t="s">
        <v>19</v>
      </c>
      <c r="E603">
        <v>42</v>
      </c>
      <c r="Y603" t="s">
        <v>544</v>
      </c>
    </row>
    <row r="604" spans="1:25">
      <c r="A604" t="s">
        <v>693</v>
      </c>
      <c r="B604">
        <v>2251.0924847963202</v>
      </c>
      <c r="C604">
        <v>20</v>
      </c>
      <c r="D604" t="s">
        <v>795</v>
      </c>
      <c r="E604">
        <v>12</v>
      </c>
      <c r="J604" t="s">
        <v>620</v>
      </c>
      <c r="Y604" t="s">
        <v>544</v>
      </c>
    </row>
    <row r="605" spans="1:25">
      <c r="A605" t="s">
        <v>693</v>
      </c>
      <c r="B605">
        <v>2251.5960630186601</v>
      </c>
      <c r="C605">
        <v>17</v>
      </c>
      <c r="D605" t="s">
        <v>40</v>
      </c>
      <c r="E605">
        <v>28</v>
      </c>
      <c r="U605" t="s">
        <v>195</v>
      </c>
      <c r="Y605" t="s">
        <v>544</v>
      </c>
    </row>
    <row r="606" spans="1:25">
      <c r="A606" t="s">
        <v>693</v>
      </c>
      <c r="B606">
        <v>2251.5985832013298</v>
      </c>
      <c r="C606">
        <v>6.9974798173320698</v>
      </c>
      <c r="D606" t="s">
        <v>18</v>
      </c>
      <c r="E606">
        <v>47</v>
      </c>
      <c r="Y606" t="s">
        <v>544</v>
      </c>
    </row>
    <row r="607" spans="1:25">
      <c r="A607" t="s">
        <v>693</v>
      </c>
      <c r="B607">
        <v>2254.2984216299801</v>
      </c>
      <c r="C607">
        <v>20</v>
      </c>
      <c r="D607" t="s">
        <v>637</v>
      </c>
      <c r="E607">
        <v>28</v>
      </c>
      <c r="J607" t="s">
        <v>222</v>
      </c>
      <c r="Y607" t="s">
        <v>544</v>
      </c>
    </row>
    <row r="608" spans="1:25">
      <c r="A608" t="s">
        <v>693</v>
      </c>
      <c r="B608">
        <v>2255.5960630186601</v>
      </c>
      <c r="C608">
        <v>10.0029098303298</v>
      </c>
      <c r="D608" t="s">
        <v>9</v>
      </c>
      <c r="E608">
        <v>53</v>
      </c>
      <c r="Y608" t="s">
        <v>544</v>
      </c>
    </row>
    <row r="609" spans="1:25">
      <c r="A609" t="s">
        <v>693</v>
      </c>
      <c r="B609">
        <v>2265.5989728489899</v>
      </c>
      <c r="C609">
        <v>12.8995597470047</v>
      </c>
      <c r="D609" t="s">
        <v>10</v>
      </c>
      <c r="E609">
        <v>42</v>
      </c>
      <c r="Y609" t="s">
        <v>544</v>
      </c>
    </row>
    <row r="610" spans="1:25">
      <c r="A610" t="s">
        <v>693</v>
      </c>
      <c r="B610">
        <v>2269.6927217529901</v>
      </c>
      <c r="C610">
        <v>20</v>
      </c>
      <c r="D610" t="s">
        <v>636</v>
      </c>
      <c r="E610">
        <v>26</v>
      </c>
      <c r="I610" t="s">
        <v>440</v>
      </c>
      <c r="M610" t="s">
        <v>438</v>
      </c>
      <c r="Y610" t="s">
        <v>544</v>
      </c>
    </row>
    <row r="611" spans="1:25">
      <c r="A611" t="s">
        <v>693</v>
      </c>
      <c r="B611">
        <v>2271.4985325959901</v>
      </c>
      <c r="C611">
        <v>17</v>
      </c>
      <c r="D611" t="s">
        <v>6</v>
      </c>
      <c r="E611">
        <v>19</v>
      </c>
      <c r="T611" t="s">
        <v>24</v>
      </c>
      <c r="Y611" t="s">
        <v>544</v>
      </c>
    </row>
    <row r="612" spans="1:25">
      <c r="A612" t="s">
        <v>693</v>
      </c>
      <c r="B612">
        <v>2271.7987775036599</v>
      </c>
      <c r="C612">
        <v>20</v>
      </c>
      <c r="D612" t="s">
        <v>638</v>
      </c>
      <c r="E612">
        <v>38</v>
      </c>
      <c r="I612" t="s">
        <v>439</v>
      </c>
      <c r="M612" t="s">
        <v>604</v>
      </c>
      <c r="Y612" t="s">
        <v>544</v>
      </c>
    </row>
    <row r="613" spans="1:25">
      <c r="A613" t="s">
        <v>693</v>
      </c>
      <c r="B613">
        <v>2275.4985325959901</v>
      </c>
      <c r="C613">
        <v>13.6731970570003</v>
      </c>
      <c r="D613" t="s">
        <v>18</v>
      </c>
      <c r="E613">
        <v>48</v>
      </c>
      <c r="Y613" t="s">
        <v>544</v>
      </c>
    </row>
    <row r="614" spans="1:25">
      <c r="A614" t="s">
        <v>693</v>
      </c>
      <c r="B614">
        <v>2276.3991379269901</v>
      </c>
      <c r="C614">
        <v>20</v>
      </c>
      <c r="D614" t="s">
        <v>45</v>
      </c>
      <c r="E614">
        <v>9</v>
      </c>
      <c r="N614">
        <v>83</v>
      </c>
      <c r="O614">
        <v>50</v>
      </c>
      <c r="Q614" t="s">
        <v>719</v>
      </c>
      <c r="Y614" t="s">
        <v>544</v>
      </c>
    </row>
    <row r="615" spans="1:25">
      <c r="A615" t="s">
        <v>693</v>
      </c>
      <c r="B615">
        <v>2276.3991379269901</v>
      </c>
      <c r="C615">
        <v>20</v>
      </c>
      <c r="D615" t="s">
        <v>192</v>
      </c>
      <c r="E615">
        <v>1</v>
      </c>
      <c r="Y615" t="s">
        <v>544</v>
      </c>
    </row>
    <row r="616" spans="1:25">
      <c r="A616" t="s">
        <v>693</v>
      </c>
      <c r="B616">
        <v>2278.4978619193298</v>
      </c>
      <c r="C616">
        <v>10.673867733667899</v>
      </c>
      <c r="D616" t="s">
        <v>121</v>
      </c>
      <c r="E616">
        <v>23</v>
      </c>
      <c r="P616" t="s">
        <v>30</v>
      </c>
      <c r="R616" t="s">
        <v>23</v>
      </c>
      <c r="Y616" t="s">
        <v>544</v>
      </c>
    </row>
    <row r="617" spans="1:25">
      <c r="A617" t="s">
        <v>693</v>
      </c>
      <c r="B617">
        <v>2278.4985325959901</v>
      </c>
      <c r="C617">
        <v>12.900605330992599</v>
      </c>
      <c r="D617" t="s">
        <v>19</v>
      </c>
      <c r="E617">
        <v>43</v>
      </c>
      <c r="Y617" t="s">
        <v>544</v>
      </c>
    </row>
    <row r="618" spans="1:25">
      <c r="A618" t="s">
        <v>693</v>
      </c>
      <c r="B618">
        <v>2278.8979013696598</v>
      </c>
      <c r="C618">
        <v>20</v>
      </c>
      <c r="D618" t="s">
        <v>685</v>
      </c>
      <c r="E618">
        <v>11</v>
      </c>
      <c r="H618" t="s">
        <v>445</v>
      </c>
      <c r="M618" t="s">
        <v>663</v>
      </c>
      <c r="Y618" t="s">
        <v>544</v>
      </c>
    </row>
    <row r="619" spans="1:25">
      <c r="A619" t="s">
        <v>693</v>
      </c>
      <c r="B619">
        <v>2279.5252197129998</v>
      </c>
      <c r="C619">
        <v>20</v>
      </c>
      <c r="D619" t="s">
        <v>685</v>
      </c>
      <c r="E619">
        <v>12</v>
      </c>
      <c r="J619" t="s">
        <v>786</v>
      </c>
      <c r="M619" t="s">
        <v>615</v>
      </c>
      <c r="Y619" t="s">
        <v>544</v>
      </c>
    </row>
    <row r="620" spans="1:25">
      <c r="A620" t="s">
        <v>693</v>
      </c>
      <c r="B620">
        <v>2282.1717296530001</v>
      </c>
      <c r="C620">
        <v>17</v>
      </c>
      <c r="D620" t="s">
        <v>40</v>
      </c>
      <c r="E620">
        <v>29</v>
      </c>
      <c r="U620" t="s">
        <v>28</v>
      </c>
      <c r="Y620" t="s">
        <v>544</v>
      </c>
    </row>
    <row r="621" spans="1:25">
      <c r="A621" t="s">
        <v>693</v>
      </c>
      <c r="B621">
        <v>2283.7990081196499</v>
      </c>
      <c r="C621">
        <v>20</v>
      </c>
      <c r="D621" t="s">
        <v>638</v>
      </c>
      <c r="E621">
        <v>39</v>
      </c>
      <c r="G621" t="s">
        <v>768</v>
      </c>
      <c r="Y621" t="s">
        <v>544</v>
      </c>
    </row>
    <row r="622" spans="1:25">
      <c r="A622" t="s">
        <v>693</v>
      </c>
      <c r="B622">
        <v>2286.1717296530001</v>
      </c>
      <c r="C622">
        <v>5.2274082739922898</v>
      </c>
      <c r="D622" t="s">
        <v>9</v>
      </c>
      <c r="E622">
        <v>54</v>
      </c>
      <c r="Y622" t="s">
        <v>544</v>
      </c>
    </row>
    <row r="623" spans="1:25">
      <c r="A623" t="s">
        <v>693</v>
      </c>
      <c r="B623">
        <v>2291.3991379269901</v>
      </c>
      <c r="C623">
        <v>37.753087303007703</v>
      </c>
      <c r="D623" t="s">
        <v>10</v>
      </c>
      <c r="E623">
        <v>43</v>
      </c>
      <c r="Y623" t="s">
        <v>544</v>
      </c>
    </row>
    <row r="624" spans="1:25">
      <c r="A624" t="s">
        <v>693</v>
      </c>
      <c r="B624">
        <v>2319.4196751320001</v>
      </c>
      <c r="C624">
        <v>20</v>
      </c>
      <c r="D624" t="s">
        <v>687</v>
      </c>
      <c r="E624">
        <v>18</v>
      </c>
      <c r="I624" t="s">
        <v>440</v>
      </c>
      <c r="M624" t="s">
        <v>438</v>
      </c>
      <c r="Y624" t="s">
        <v>544</v>
      </c>
    </row>
    <row r="625" spans="1:25">
      <c r="A625" t="s">
        <v>693</v>
      </c>
      <c r="B625">
        <v>2320.4989207419799</v>
      </c>
      <c r="C625">
        <v>20</v>
      </c>
      <c r="D625" t="s">
        <v>743</v>
      </c>
      <c r="E625">
        <v>30</v>
      </c>
      <c r="H625" t="s">
        <v>621</v>
      </c>
      <c r="I625" t="s">
        <v>660</v>
      </c>
      <c r="M625" t="s">
        <v>661</v>
      </c>
      <c r="Y625" t="s">
        <v>544</v>
      </c>
    </row>
    <row r="626" spans="1:25">
      <c r="A626" t="s">
        <v>693</v>
      </c>
      <c r="B626">
        <v>2322.59340182499</v>
      </c>
      <c r="C626">
        <v>20</v>
      </c>
      <c r="D626" t="s">
        <v>777</v>
      </c>
      <c r="E626">
        <v>27</v>
      </c>
      <c r="H626" t="s">
        <v>621</v>
      </c>
      <c r="I626" t="s">
        <v>440</v>
      </c>
      <c r="M626" t="s">
        <v>604</v>
      </c>
      <c r="Y626" t="s">
        <v>544</v>
      </c>
    </row>
    <row r="627" spans="1:25">
      <c r="A627" t="s">
        <v>693</v>
      </c>
      <c r="B627">
        <v>2324.09871767599</v>
      </c>
      <c r="C627">
        <v>20</v>
      </c>
      <c r="D627" t="s">
        <v>743</v>
      </c>
      <c r="E627">
        <v>31</v>
      </c>
      <c r="I627" t="s">
        <v>440</v>
      </c>
      <c r="M627" t="s">
        <v>604</v>
      </c>
      <c r="Y627" t="s">
        <v>544</v>
      </c>
    </row>
    <row r="628" spans="1:25">
      <c r="A628" t="s">
        <v>693</v>
      </c>
      <c r="B628">
        <v>2326.1522252300001</v>
      </c>
      <c r="C628">
        <v>15.644798627665701</v>
      </c>
      <c r="D628" t="s">
        <v>18</v>
      </c>
      <c r="E628">
        <v>49</v>
      </c>
      <c r="Y628" t="s">
        <v>544</v>
      </c>
    </row>
    <row r="629" spans="1:25">
      <c r="A629" t="s">
        <v>693</v>
      </c>
      <c r="B629">
        <v>2327.69823015167</v>
      </c>
      <c r="C629">
        <v>20</v>
      </c>
      <c r="D629" t="s">
        <v>638</v>
      </c>
      <c r="E629">
        <v>40</v>
      </c>
      <c r="I629" t="s">
        <v>439</v>
      </c>
      <c r="M629" t="s">
        <v>604</v>
      </c>
      <c r="Y629" t="s">
        <v>544</v>
      </c>
    </row>
    <row r="630" spans="1:25">
      <c r="A630" t="s">
        <v>693</v>
      </c>
      <c r="B630">
        <v>2328.8982695076602</v>
      </c>
      <c r="C630">
        <v>20</v>
      </c>
      <c r="D630" t="s">
        <v>45</v>
      </c>
      <c r="E630">
        <v>10</v>
      </c>
      <c r="N630">
        <v>82</v>
      </c>
      <c r="O630">
        <v>68</v>
      </c>
      <c r="Q630" t="s">
        <v>601</v>
      </c>
      <c r="Y630" t="s">
        <v>544</v>
      </c>
    </row>
    <row r="631" spans="1:25">
      <c r="A631" t="s">
        <v>693</v>
      </c>
      <c r="B631">
        <v>2329.1522252300001</v>
      </c>
      <c r="C631">
        <v>1</v>
      </c>
      <c r="D631" t="s">
        <v>26</v>
      </c>
      <c r="E631">
        <v>2</v>
      </c>
      <c r="Y631" t="s">
        <v>544</v>
      </c>
    </row>
    <row r="632" spans="1:25">
      <c r="A632" t="s">
        <v>693</v>
      </c>
      <c r="B632">
        <v>2329.1522252300001</v>
      </c>
      <c r="C632">
        <v>44.146476717331502</v>
      </c>
      <c r="D632" t="s">
        <v>19</v>
      </c>
      <c r="E632">
        <v>44</v>
      </c>
      <c r="Y632" t="s">
        <v>544</v>
      </c>
    </row>
    <row r="633" spans="1:25">
      <c r="A633" t="s">
        <v>693</v>
      </c>
      <c r="B633">
        <v>2330.9977288969899</v>
      </c>
      <c r="C633">
        <v>20</v>
      </c>
      <c r="D633" t="s">
        <v>770</v>
      </c>
      <c r="E633">
        <v>19</v>
      </c>
      <c r="H633" t="s">
        <v>445</v>
      </c>
      <c r="M633" t="s">
        <v>663</v>
      </c>
      <c r="Y633" t="s">
        <v>544</v>
      </c>
    </row>
    <row r="634" spans="1:25">
      <c r="A634" t="s">
        <v>693</v>
      </c>
      <c r="B634">
        <v>2332.99836440732</v>
      </c>
      <c r="C634">
        <v>8.7986594503363396</v>
      </c>
      <c r="D634" t="s">
        <v>121</v>
      </c>
      <c r="E634">
        <v>24</v>
      </c>
      <c r="P634" t="s">
        <v>30</v>
      </c>
      <c r="R634" t="s">
        <v>23</v>
      </c>
      <c r="Y634" t="s">
        <v>544</v>
      </c>
    </row>
    <row r="635" spans="1:25">
      <c r="A635" t="s">
        <v>693</v>
      </c>
      <c r="B635">
        <v>2334.39789579632</v>
      </c>
      <c r="C635">
        <v>20</v>
      </c>
      <c r="D635" t="s">
        <v>636</v>
      </c>
      <c r="E635">
        <v>27</v>
      </c>
      <c r="I635" t="s">
        <v>439</v>
      </c>
      <c r="J635" t="s">
        <v>55</v>
      </c>
      <c r="M635" t="s">
        <v>443</v>
      </c>
      <c r="Y635" t="s">
        <v>544</v>
      </c>
    </row>
    <row r="636" spans="1:25">
      <c r="A636" t="s">
        <v>693</v>
      </c>
      <c r="B636">
        <v>2334.79702385766</v>
      </c>
      <c r="C636">
        <v>17</v>
      </c>
      <c r="D636" t="s">
        <v>40</v>
      </c>
      <c r="E636">
        <v>30</v>
      </c>
      <c r="U636" t="s">
        <v>28</v>
      </c>
      <c r="Y636" t="s">
        <v>544</v>
      </c>
    </row>
    <row r="637" spans="1:25">
      <c r="A637" t="s">
        <v>693</v>
      </c>
      <c r="B637">
        <v>2338.29888048166</v>
      </c>
      <c r="C637">
        <v>17</v>
      </c>
      <c r="D637" t="s">
        <v>27</v>
      </c>
      <c r="E637">
        <v>27</v>
      </c>
      <c r="U637" t="s">
        <v>28</v>
      </c>
      <c r="Y637" t="s">
        <v>544</v>
      </c>
    </row>
    <row r="638" spans="1:25">
      <c r="A638" t="s">
        <v>693</v>
      </c>
      <c r="B638">
        <v>2338.79702385766</v>
      </c>
      <c r="C638">
        <v>6.5018566239978099</v>
      </c>
      <c r="D638" t="s">
        <v>9</v>
      </c>
      <c r="E638">
        <v>55</v>
      </c>
      <c r="Y638" t="s">
        <v>544</v>
      </c>
    </row>
    <row r="639" spans="1:25">
      <c r="A639" t="s">
        <v>693</v>
      </c>
      <c r="B639">
        <v>2339.59866718799</v>
      </c>
      <c r="C639">
        <v>20</v>
      </c>
      <c r="D639" t="s">
        <v>45</v>
      </c>
      <c r="E639">
        <v>11</v>
      </c>
      <c r="N639">
        <v>81</v>
      </c>
      <c r="O639">
        <v>43</v>
      </c>
      <c r="Q639" t="s">
        <v>720</v>
      </c>
      <c r="Y639" t="s">
        <v>544</v>
      </c>
    </row>
    <row r="640" spans="1:25">
      <c r="A640" t="s">
        <v>693</v>
      </c>
      <c r="B640">
        <v>2341.29880189699</v>
      </c>
      <c r="C640">
        <v>17</v>
      </c>
      <c r="D640" t="s">
        <v>40</v>
      </c>
      <c r="E640">
        <v>31</v>
      </c>
      <c r="U640" t="s">
        <v>28</v>
      </c>
      <c r="Y640" t="s">
        <v>544</v>
      </c>
    </row>
    <row r="641" spans="1:25">
      <c r="A641" t="s">
        <v>693</v>
      </c>
      <c r="B641">
        <v>2342.29888048166</v>
      </c>
      <c r="C641">
        <v>5.9999214153335698</v>
      </c>
      <c r="D641" t="s">
        <v>18</v>
      </c>
      <c r="E641">
        <v>50</v>
      </c>
      <c r="Y641" t="s">
        <v>544</v>
      </c>
    </row>
    <row r="642" spans="1:25">
      <c r="A642" t="s">
        <v>693</v>
      </c>
      <c r="B642">
        <v>2342.5951289760001</v>
      </c>
      <c r="C642">
        <v>20</v>
      </c>
      <c r="D642" t="s">
        <v>637</v>
      </c>
      <c r="E642">
        <v>29</v>
      </c>
      <c r="K642" t="s">
        <v>432</v>
      </c>
      <c r="M642" t="s">
        <v>613</v>
      </c>
      <c r="Y642" t="s">
        <v>544</v>
      </c>
    </row>
    <row r="643" spans="1:25">
      <c r="A643" t="s">
        <v>693</v>
      </c>
      <c r="B643">
        <v>2345.29880189699</v>
      </c>
      <c r="C643">
        <v>12.0995202800072</v>
      </c>
      <c r="D643" t="s">
        <v>9</v>
      </c>
      <c r="E643">
        <v>56</v>
      </c>
      <c r="Y643" t="s">
        <v>544</v>
      </c>
    </row>
    <row r="644" spans="1:25">
      <c r="A644" t="s">
        <v>693</v>
      </c>
      <c r="B644">
        <v>2346.7989835373201</v>
      </c>
      <c r="C644">
        <v>20</v>
      </c>
      <c r="D644" t="s">
        <v>638</v>
      </c>
      <c r="E644">
        <v>41</v>
      </c>
      <c r="G644" t="s">
        <v>51</v>
      </c>
      <c r="I644" t="s">
        <v>439</v>
      </c>
      <c r="M644" t="s">
        <v>438</v>
      </c>
      <c r="Y644" t="s">
        <v>544</v>
      </c>
    </row>
    <row r="645" spans="1:25">
      <c r="A645" t="s">
        <v>693</v>
      </c>
      <c r="B645">
        <v>2350.398322177</v>
      </c>
      <c r="C645">
        <v>17</v>
      </c>
      <c r="D645" t="s">
        <v>27</v>
      </c>
      <c r="E645">
        <v>28</v>
      </c>
      <c r="U645" t="s">
        <v>28</v>
      </c>
      <c r="Y645" t="s">
        <v>544</v>
      </c>
    </row>
    <row r="646" spans="1:25">
      <c r="A646" t="s">
        <v>693</v>
      </c>
      <c r="B646">
        <v>2354.398322177</v>
      </c>
      <c r="C646">
        <v>18.900379770327099</v>
      </c>
      <c r="D646" t="s">
        <v>18</v>
      </c>
      <c r="E646">
        <v>51</v>
      </c>
      <c r="Y646" t="s">
        <v>544</v>
      </c>
    </row>
    <row r="647" spans="1:25">
      <c r="A647" t="s">
        <v>693</v>
      </c>
      <c r="B647">
        <v>2359.6978625626598</v>
      </c>
      <c r="C647">
        <v>13.6008393846668</v>
      </c>
      <c r="D647" t="s">
        <v>121</v>
      </c>
      <c r="E647">
        <v>25</v>
      </c>
      <c r="R647" t="s">
        <v>23</v>
      </c>
      <c r="Y647" t="s">
        <v>544</v>
      </c>
    </row>
    <row r="648" spans="1:25">
      <c r="A648" t="s">
        <v>693</v>
      </c>
      <c r="B648">
        <v>2360.2986002990001</v>
      </c>
      <c r="C648">
        <v>20</v>
      </c>
      <c r="D648" t="s">
        <v>687</v>
      </c>
      <c r="E648">
        <v>19</v>
      </c>
      <c r="J648" t="s">
        <v>223</v>
      </c>
      <c r="K648" t="s">
        <v>441</v>
      </c>
      <c r="M648" t="s">
        <v>613</v>
      </c>
      <c r="Y648" t="s">
        <v>544</v>
      </c>
    </row>
    <row r="649" spans="1:25">
      <c r="A649" t="s">
        <v>693</v>
      </c>
      <c r="B649">
        <v>2368.6986647439899</v>
      </c>
      <c r="C649">
        <v>20</v>
      </c>
      <c r="D649" t="s">
        <v>41</v>
      </c>
      <c r="E649">
        <v>8</v>
      </c>
      <c r="Y649" t="s">
        <v>544</v>
      </c>
    </row>
    <row r="650" spans="1:25">
      <c r="A650" t="s">
        <v>693</v>
      </c>
      <c r="B650">
        <v>2370.2934598776601</v>
      </c>
      <c r="C650">
        <v>17</v>
      </c>
      <c r="D650" t="s">
        <v>11</v>
      </c>
      <c r="E650">
        <v>21</v>
      </c>
      <c r="T650" t="s">
        <v>13</v>
      </c>
      <c r="Y650" t="s">
        <v>544</v>
      </c>
    </row>
    <row r="651" spans="1:25">
      <c r="A651" t="s">
        <v>693</v>
      </c>
      <c r="B651">
        <v>2371.0742002000002</v>
      </c>
      <c r="C651">
        <v>20</v>
      </c>
      <c r="D651" t="s">
        <v>136</v>
      </c>
      <c r="E651">
        <v>5</v>
      </c>
      <c r="Y651" t="s">
        <v>544</v>
      </c>
    </row>
    <row r="652" spans="1:25">
      <c r="A652" t="s">
        <v>693</v>
      </c>
      <c r="B652">
        <v>2372.2984879279802</v>
      </c>
      <c r="C652">
        <v>20</v>
      </c>
      <c r="D652" t="s">
        <v>637</v>
      </c>
      <c r="E652">
        <v>30</v>
      </c>
      <c r="J652" t="s">
        <v>335</v>
      </c>
      <c r="M652" t="s">
        <v>615</v>
      </c>
      <c r="Y652" t="s">
        <v>544</v>
      </c>
    </row>
    <row r="653" spans="1:25">
      <c r="A653" t="s">
        <v>693</v>
      </c>
      <c r="B653">
        <v>2372.5979715353301</v>
      </c>
      <c r="C653">
        <v>20</v>
      </c>
      <c r="D653" t="s">
        <v>45</v>
      </c>
      <c r="E653">
        <v>12</v>
      </c>
      <c r="N653">
        <v>87</v>
      </c>
      <c r="O653">
        <v>36</v>
      </c>
      <c r="Q653" t="s">
        <v>721</v>
      </c>
      <c r="Y653" t="s">
        <v>544</v>
      </c>
    </row>
    <row r="654" spans="1:25">
      <c r="A654" t="s">
        <v>693</v>
      </c>
      <c r="B654">
        <v>2372.5979715353301</v>
      </c>
      <c r="C654">
        <v>20</v>
      </c>
      <c r="D654" t="s">
        <v>192</v>
      </c>
      <c r="E654">
        <v>2</v>
      </c>
      <c r="Y654" t="s">
        <v>544</v>
      </c>
    </row>
    <row r="655" spans="1:25">
      <c r="A655" t="s">
        <v>693</v>
      </c>
      <c r="B655">
        <v>2373.2987019473298</v>
      </c>
      <c r="C655">
        <v>3.9947579303316099</v>
      </c>
      <c r="D655" t="s">
        <v>10</v>
      </c>
      <c r="E655">
        <v>44</v>
      </c>
      <c r="Y655" t="s">
        <v>544</v>
      </c>
    </row>
    <row r="656" spans="1:25">
      <c r="A656" t="s">
        <v>693</v>
      </c>
      <c r="B656">
        <v>2374.185865591</v>
      </c>
      <c r="C656">
        <v>20</v>
      </c>
      <c r="D656" t="s">
        <v>687</v>
      </c>
      <c r="E656">
        <v>20</v>
      </c>
      <c r="I656" t="s">
        <v>439</v>
      </c>
      <c r="J656" t="s">
        <v>47</v>
      </c>
      <c r="M656" t="s">
        <v>736</v>
      </c>
      <c r="Y656" t="s">
        <v>544</v>
      </c>
    </row>
    <row r="657" spans="1:25">
      <c r="A657" t="s">
        <v>693</v>
      </c>
      <c r="B657">
        <v>2374.2934598776601</v>
      </c>
      <c r="C657">
        <v>13.3045116576745</v>
      </c>
      <c r="D657" t="s">
        <v>9</v>
      </c>
      <c r="E657">
        <v>57</v>
      </c>
      <c r="Y657" t="s">
        <v>544</v>
      </c>
    </row>
    <row r="658" spans="1:25">
      <c r="A658" t="s">
        <v>693</v>
      </c>
      <c r="B658">
        <v>2375.4981830050001</v>
      </c>
      <c r="C658">
        <v>20</v>
      </c>
      <c r="D658" t="s">
        <v>136</v>
      </c>
      <c r="E658">
        <v>6</v>
      </c>
      <c r="Y658" t="s">
        <v>544</v>
      </c>
    </row>
    <row r="659" spans="1:25">
      <c r="A659" t="s">
        <v>693</v>
      </c>
      <c r="B659">
        <v>2377.2934598776601</v>
      </c>
      <c r="C659">
        <v>10.3045116576745</v>
      </c>
      <c r="D659" t="s">
        <v>19</v>
      </c>
      <c r="E659">
        <v>45</v>
      </c>
      <c r="Y659" t="s">
        <v>544</v>
      </c>
    </row>
    <row r="660" spans="1:25">
      <c r="A660" t="s">
        <v>693</v>
      </c>
      <c r="B660">
        <v>2377.2991468759901</v>
      </c>
      <c r="C660">
        <v>20</v>
      </c>
      <c r="D660" t="s">
        <v>638</v>
      </c>
      <c r="E660">
        <v>42</v>
      </c>
      <c r="G660" t="s">
        <v>690</v>
      </c>
      <c r="Y660" t="s">
        <v>544</v>
      </c>
    </row>
    <row r="661" spans="1:25">
      <c r="A661" t="s">
        <v>693</v>
      </c>
      <c r="B661">
        <v>2387.5979715353301</v>
      </c>
      <c r="C661">
        <v>25.8769451313287</v>
      </c>
      <c r="D661" t="s">
        <v>10</v>
      </c>
      <c r="E661">
        <v>45</v>
      </c>
      <c r="Y661" t="s">
        <v>544</v>
      </c>
    </row>
    <row r="662" spans="1:25">
      <c r="A662" t="s">
        <v>693</v>
      </c>
      <c r="B662">
        <v>2406.4260668420002</v>
      </c>
      <c r="C662">
        <v>20</v>
      </c>
      <c r="D662" t="s">
        <v>687</v>
      </c>
      <c r="E662">
        <v>21</v>
      </c>
      <c r="I662" t="s">
        <v>440</v>
      </c>
      <c r="M662" t="s">
        <v>438</v>
      </c>
      <c r="Y662" t="s">
        <v>544</v>
      </c>
    </row>
    <row r="663" spans="1:25">
      <c r="A663" t="s">
        <v>693</v>
      </c>
      <c r="B663">
        <v>2407.2991702169902</v>
      </c>
      <c r="C663">
        <v>20</v>
      </c>
      <c r="D663" t="s">
        <v>770</v>
      </c>
      <c r="E663">
        <v>20</v>
      </c>
      <c r="I663" t="s">
        <v>440</v>
      </c>
      <c r="M663" t="s">
        <v>680</v>
      </c>
      <c r="Y663" t="s">
        <v>544</v>
      </c>
    </row>
    <row r="664" spans="1:25">
      <c r="A664" t="s">
        <v>693</v>
      </c>
      <c r="B664">
        <v>2408.6983825089901</v>
      </c>
      <c r="C664">
        <v>20</v>
      </c>
      <c r="D664" t="s">
        <v>743</v>
      </c>
      <c r="E664">
        <v>32</v>
      </c>
      <c r="I664" t="s">
        <v>439</v>
      </c>
      <c r="M664" t="s">
        <v>605</v>
      </c>
      <c r="Y664" t="s">
        <v>544</v>
      </c>
    </row>
    <row r="665" spans="1:25">
      <c r="A665" t="s">
        <v>693</v>
      </c>
      <c r="B665">
        <v>2412.30027794133</v>
      </c>
      <c r="C665">
        <v>8.7991013156683895</v>
      </c>
      <c r="D665" t="s">
        <v>18</v>
      </c>
      <c r="E665">
        <v>52</v>
      </c>
      <c r="Y665" t="s">
        <v>544</v>
      </c>
    </row>
    <row r="666" spans="1:25">
      <c r="A666" t="s">
        <v>693</v>
      </c>
      <c r="B666">
        <v>2414.0993792569998</v>
      </c>
      <c r="C666">
        <v>17</v>
      </c>
      <c r="D666" t="s">
        <v>40</v>
      </c>
      <c r="E666">
        <v>32</v>
      </c>
      <c r="U666" t="s">
        <v>195</v>
      </c>
      <c r="Y666" t="s">
        <v>544</v>
      </c>
    </row>
    <row r="667" spans="1:25">
      <c r="A667" t="s">
        <v>693</v>
      </c>
      <c r="B667">
        <v>2415.30027794133</v>
      </c>
      <c r="C667">
        <v>1</v>
      </c>
      <c r="D667" t="s">
        <v>26</v>
      </c>
      <c r="E667">
        <v>3</v>
      </c>
      <c r="Y667" t="s">
        <v>544</v>
      </c>
    </row>
    <row r="668" spans="1:25">
      <c r="A668" t="s">
        <v>693</v>
      </c>
      <c r="B668">
        <v>2415.30027794133</v>
      </c>
      <c r="C668">
        <v>14.998305858661199</v>
      </c>
      <c r="D668" t="s">
        <v>19</v>
      </c>
      <c r="E668">
        <v>46</v>
      </c>
      <c r="Y668" t="s">
        <v>544</v>
      </c>
    </row>
    <row r="669" spans="1:25">
      <c r="A669" t="s">
        <v>693</v>
      </c>
      <c r="B669">
        <v>2416.29898358932</v>
      </c>
      <c r="C669">
        <v>20</v>
      </c>
      <c r="D669" t="s">
        <v>637</v>
      </c>
      <c r="E669">
        <v>31</v>
      </c>
      <c r="J669" t="s">
        <v>620</v>
      </c>
      <c r="Y669" t="s">
        <v>544</v>
      </c>
    </row>
    <row r="670" spans="1:25">
      <c r="A670" t="s">
        <v>693</v>
      </c>
      <c r="B670">
        <v>2418.0993792569998</v>
      </c>
      <c r="C670">
        <v>12.1992045429929</v>
      </c>
      <c r="D670" t="s">
        <v>9</v>
      </c>
      <c r="E670">
        <v>58</v>
      </c>
      <c r="Y670" t="s">
        <v>544</v>
      </c>
    </row>
    <row r="671" spans="1:25">
      <c r="A671" t="s">
        <v>693</v>
      </c>
      <c r="B671">
        <v>2430.29858379999</v>
      </c>
      <c r="C671">
        <v>80.715027493005394</v>
      </c>
      <c r="D671" t="s">
        <v>10</v>
      </c>
      <c r="E671">
        <v>46</v>
      </c>
      <c r="Y671" t="s">
        <v>544</v>
      </c>
    </row>
    <row r="672" spans="1:25">
      <c r="A672" t="s">
        <v>693</v>
      </c>
      <c r="B672">
        <v>2504.0136112929999</v>
      </c>
      <c r="C672">
        <v>17</v>
      </c>
      <c r="D672" t="s">
        <v>6</v>
      </c>
      <c r="E672">
        <v>20</v>
      </c>
      <c r="T672" t="s">
        <v>25</v>
      </c>
      <c r="Y672" t="s">
        <v>544</v>
      </c>
    </row>
    <row r="673" spans="1:25">
      <c r="A673" t="s">
        <v>693</v>
      </c>
      <c r="B673">
        <v>2506.2974669969899</v>
      </c>
      <c r="C673">
        <v>16.300844367003201</v>
      </c>
      <c r="D673" t="s">
        <v>121</v>
      </c>
      <c r="E673">
        <v>26</v>
      </c>
      <c r="P673" t="s">
        <v>31</v>
      </c>
      <c r="R673" t="s">
        <v>23</v>
      </c>
      <c r="Y673" t="s">
        <v>544</v>
      </c>
    </row>
    <row r="674" spans="1:25">
      <c r="A674" t="s">
        <v>693</v>
      </c>
      <c r="B674">
        <v>2508.0136112929999</v>
      </c>
      <c r="C674">
        <v>14.584700071002301</v>
      </c>
      <c r="D674" t="s">
        <v>18</v>
      </c>
      <c r="E674">
        <v>53</v>
      </c>
      <c r="Y674" t="s">
        <v>544</v>
      </c>
    </row>
    <row r="675" spans="1:25">
      <c r="A675" t="s">
        <v>693</v>
      </c>
      <c r="B675">
        <v>2511.0136112929999</v>
      </c>
      <c r="C675">
        <v>19.986086130662802</v>
      </c>
      <c r="D675" t="s">
        <v>19</v>
      </c>
      <c r="E675">
        <v>47</v>
      </c>
      <c r="Y675" t="s">
        <v>544</v>
      </c>
    </row>
    <row r="676" spans="1:25">
      <c r="A676" t="s">
        <v>693</v>
      </c>
      <c r="B676">
        <v>2515.3992935480001</v>
      </c>
      <c r="C676">
        <v>20</v>
      </c>
      <c r="D676" t="s">
        <v>41</v>
      </c>
      <c r="E676">
        <v>9</v>
      </c>
      <c r="Y676" t="s">
        <v>544</v>
      </c>
    </row>
    <row r="677" spans="1:25">
      <c r="A677" t="s">
        <v>693</v>
      </c>
      <c r="B677">
        <v>2515.598311364</v>
      </c>
      <c r="C677">
        <v>17</v>
      </c>
      <c r="D677" t="s">
        <v>40</v>
      </c>
      <c r="E677">
        <v>33</v>
      </c>
      <c r="U677" t="s">
        <v>195</v>
      </c>
      <c r="Y677" t="s">
        <v>544</v>
      </c>
    </row>
    <row r="678" spans="1:25">
      <c r="A678" t="s">
        <v>693</v>
      </c>
      <c r="B678">
        <v>2517.7874320390001</v>
      </c>
      <c r="C678">
        <v>20</v>
      </c>
      <c r="D678" t="s">
        <v>136</v>
      </c>
      <c r="E678">
        <v>7</v>
      </c>
      <c r="Y678" t="s">
        <v>544</v>
      </c>
    </row>
    <row r="679" spans="1:25">
      <c r="A679" t="s">
        <v>693</v>
      </c>
      <c r="B679">
        <v>2519.598311364</v>
      </c>
      <c r="C679">
        <v>11.401386059660499</v>
      </c>
      <c r="D679" t="s">
        <v>9</v>
      </c>
      <c r="E679">
        <v>59</v>
      </c>
      <c r="Y679" t="s">
        <v>544</v>
      </c>
    </row>
    <row r="680" spans="1:25">
      <c r="A680" t="s">
        <v>693</v>
      </c>
      <c r="B680">
        <v>2530.9996974236601</v>
      </c>
      <c r="C680">
        <v>14.5479473703371</v>
      </c>
      <c r="D680" t="s">
        <v>10</v>
      </c>
      <c r="E680">
        <v>47</v>
      </c>
      <c r="Y680" t="s">
        <v>544</v>
      </c>
    </row>
    <row r="681" spans="1:25">
      <c r="A681" t="s">
        <v>693</v>
      </c>
      <c r="B681">
        <v>2536.49789620099</v>
      </c>
      <c r="C681">
        <v>20</v>
      </c>
      <c r="D681" t="s">
        <v>638</v>
      </c>
      <c r="E681">
        <v>43</v>
      </c>
      <c r="I681" t="s">
        <v>442</v>
      </c>
      <c r="M681" t="s">
        <v>438</v>
      </c>
      <c r="Y681" t="s">
        <v>544</v>
      </c>
    </row>
    <row r="682" spans="1:25">
      <c r="A682" t="s">
        <v>693</v>
      </c>
      <c r="B682">
        <v>2538.09707896398</v>
      </c>
      <c r="C682">
        <v>20</v>
      </c>
      <c r="D682" t="s">
        <v>743</v>
      </c>
      <c r="E682">
        <v>33</v>
      </c>
      <c r="I682" t="s">
        <v>442</v>
      </c>
      <c r="M682" t="s">
        <v>604</v>
      </c>
      <c r="Y682" t="s">
        <v>544</v>
      </c>
    </row>
    <row r="683" spans="1:25">
      <c r="A683" t="s">
        <v>693</v>
      </c>
      <c r="B683">
        <v>2538.547644794</v>
      </c>
      <c r="C683">
        <v>17</v>
      </c>
      <c r="D683" t="s">
        <v>6</v>
      </c>
      <c r="E683">
        <v>21</v>
      </c>
      <c r="T683" t="s">
        <v>25</v>
      </c>
      <c r="Y683" t="s">
        <v>544</v>
      </c>
    </row>
    <row r="684" spans="1:25">
      <c r="A684" t="s">
        <v>693</v>
      </c>
      <c r="B684">
        <v>2538.6981940379901</v>
      </c>
      <c r="C684">
        <v>20</v>
      </c>
      <c r="D684" t="s">
        <v>777</v>
      </c>
      <c r="E684">
        <v>28</v>
      </c>
      <c r="H684" t="s">
        <v>621</v>
      </c>
      <c r="I684" t="s">
        <v>691</v>
      </c>
      <c r="M684" t="s">
        <v>680</v>
      </c>
      <c r="Y684" t="s">
        <v>544</v>
      </c>
    </row>
    <row r="685" spans="1:25">
      <c r="A685" t="s">
        <v>693</v>
      </c>
      <c r="B685">
        <v>2540.59864074699</v>
      </c>
      <c r="C685">
        <v>20</v>
      </c>
      <c r="D685" t="s">
        <v>743</v>
      </c>
      <c r="E685">
        <v>34</v>
      </c>
      <c r="I685" t="s">
        <v>447</v>
      </c>
      <c r="M685" t="s">
        <v>605</v>
      </c>
      <c r="Y685" t="s">
        <v>544</v>
      </c>
    </row>
    <row r="686" spans="1:25">
      <c r="A686" t="s">
        <v>693</v>
      </c>
      <c r="B686">
        <v>2540.9954533796599</v>
      </c>
      <c r="C686">
        <v>22.580235767760701</v>
      </c>
      <c r="D686" t="s">
        <v>121</v>
      </c>
      <c r="E686">
        <v>27</v>
      </c>
      <c r="P686" t="s">
        <v>29</v>
      </c>
      <c r="R686" t="s">
        <v>20</v>
      </c>
      <c r="Y686" t="s">
        <v>544</v>
      </c>
    </row>
    <row r="687" spans="1:25">
      <c r="A687" t="s">
        <v>693</v>
      </c>
      <c r="B687">
        <v>2542.547644794</v>
      </c>
      <c r="C687">
        <v>21.5514874666673</v>
      </c>
      <c r="D687" t="s">
        <v>18</v>
      </c>
      <c r="E687">
        <v>54</v>
      </c>
      <c r="Y687" t="s">
        <v>544</v>
      </c>
    </row>
    <row r="688" spans="1:25">
      <c r="A688" t="s">
        <v>693</v>
      </c>
      <c r="B688">
        <v>2544.49412434533</v>
      </c>
      <c r="C688">
        <v>20</v>
      </c>
      <c r="D688" t="s">
        <v>795</v>
      </c>
      <c r="E688">
        <v>13</v>
      </c>
      <c r="I688" t="s">
        <v>439</v>
      </c>
      <c r="J688" t="s">
        <v>608</v>
      </c>
      <c r="M688" t="s">
        <v>438</v>
      </c>
      <c r="Y688" t="s">
        <v>544</v>
      </c>
    </row>
    <row r="689" spans="1:25">
      <c r="A689" t="s">
        <v>693</v>
      </c>
      <c r="B689">
        <v>2545.547644794</v>
      </c>
      <c r="C689">
        <v>18.5514874666673</v>
      </c>
      <c r="D689" t="s">
        <v>19</v>
      </c>
      <c r="E689">
        <v>48</v>
      </c>
      <c r="Y689" t="s">
        <v>544</v>
      </c>
    </row>
    <row r="690" spans="1:25">
      <c r="A690" t="s">
        <v>693</v>
      </c>
      <c r="B690">
        <v>2547.4990697406602</v>
      </c>
      <c r="C690">
        <v>20</v>
      </c>
      <c r="D690" t="s">
        <v>33</v>
      </c>
      <c r="E690">
        <v>13</v>
      </c>
      <c r="Y690" t="s">
        <v>544</v>
      </c>
    </row>
    <row r="691" spans="1:25">
      <c r="A691" t="s">
        <v>693</v>
      </c>
      <c r="B691">
        <v>2548.0238528479999</v>
      </c>
      <c r="C691">
        <v>20</v>
      </c>
      <c r="D691" t="s">
        <v>687</v>
      </c>
      <c r="E691">
        <v>22</v>
      </c>
      <c r="H691" t="s">
        <v>460</v>
      </c>
      <c r="I691" t="s">
        <v>442</v>
      </c>
      <c r="M691" t="s">
        <v>605</v>
      </c>
      <c r="Y691" t="s">
        <v>544</v>
      </c>
    </row>
    <row r="692" spans="1:25">
      <c r="A692" t="s">
        <v>693</v>
      </c>
      <c r="B692">
        <v>2549.7943862403299</v>
      </c>
      <c r="C692">
        <v>14.304746020336999</v>
      </c>
      <c r="D692" t="s">
        <v>32</v>
      </c>
      <c r="E692">
        <v>19</v>
      </c>
      <c r="R692" t="s">
        <v>23</v>
      </c>
      <c r="Y692" t="s">
        <v>544</v>
      </c>
    </row>
    <row r="693" spans="1:25">
      <c r="A693" t="s">
        <v>693</v>
      </c>
      <c r="B693">
        <v>2564.0991322606601</v>
      </c>
      <c r="C693">
        <v>15.499401943333799</v>
      </c>
      <c r="D693" t="s">
        <v>10</v>
      </c>
      <c r="E693">
        <v>48</v>
      </c>
      <c r="Y693" t="s">
        <v>544</v>
      </c>
    </row>
    <row r="694" spans="1:25">
      <c r="A694" t="s">
        <v>693</v>
      </c>
      <c r="B694">
        <v>2570.6230347169999</v>
      </c>
      <c r="C694">
        <v>20</v>
      </c>
      <c r="D694" t="s">
        <v>795</v>
      </c>
      <c r="E694">
        <v>14</v>
      </c>
      <c r="I694" t="s">
        <v>440</v>
      </c>
      <c r="M694" t="s">
        <v>604</v>
      </c>
      <c r="Y694" t="s">
        <v>544</v>
      </c>
    </row>
    <row r="695" spans="1:25">
      <c r="A695" t="s">
        <v>693</v>
      </c>
      <c r="B695">
        <v>2572.5985342039999</v>
      </c>
      <c r="C695">
        <v>17</v>
      </c>
      <c r="D695" t="s">
        <v>6</v>
      </c>
      <c r="E695">
        <v>22</v>
      </c>
      <c r="T695" t="s">
        <v>21</v>
      </c>
      <c r="U695" t="s">
        <v>14</v>
      </c>
      <c r="Y695" t="s">
        <v>544</v>
      </c>
    </row>
    <row r="696" spans="1:25">
      <c r="A696" t="s">
        <v>693</v>
      </c>
      <c r="B696">
        <v>2573.2973137553299</v>
      </c>
      <c r="C696">
        <v>20</v>
      </c>
      <c r="D696" t="s">
        <v>777</v>
      </c>
      <c r="E696">
        <v>29</v>
      </c>
      <c r="I696" t="s">
        <v>440</v>
      </c>
      <c r="M696" t="s">
        <v>604</v>
      </c>
      <c r="Y696" t="s">
        <v>544</v>
      </c>
    </row>
    <row r="697" spans="1:25">
      <c r="A697" t="s">
        <v>693</v>
      </c>
      <c r="B697">
        <v>2576.5985342039999</v>
      </c>
      <c r="C697">
        <v>24.399761465998299</v>
      </c>
      <c r="D697" t="s">
        <v>18</v>
      </c>
      <c r="E697">
        <v>55</v>
      </c>
      <c r="Y697" t="s">
        <v>544</v>
      </c>
    </row>
    <row r="698" spans="1:25">
      <c r="A698" t="s">
        <v>693</v>
      </c>
      <c r="B698">
        <v>2576.7974776293199</v>
      </c>
      <c r="C698">
        <v>20</v>
      </c>
      <c r="D698" t="s">
        <v>636</v>
      </c>
      <c r="E698">
        <v>28</v>
      </c>
      <c r="H698" t="s">
        <v>336</v>
      </c>
      <c r="I698" t="s">
        <v>633</v>
      </c>
      <c r="M698" t="s">
        <v>681</v>
      </c>
      <c r="Y698" t="s">
        <v>544</v>
      </c>
    </row>
    <row r="699" spans="1:25">
      <c r="A699" t="s">
        <v>693</v>
      </c>
      <c r="B699">
        <v>2578.5972496713298</v>
      </c>
      <c r="C699">
        <v>20</v>
      </c>
      <c r="D699" t="s">
        <v>637</v>
      </c>
      <c r="E699">
        <v>32</v>
      </c>
      <c r="H699" t="s">
        <v>336</v>
      </c>
      <c r="I699" t="s">
        <v>439</v>
      </c>
      <c r="M699" t="s">
        <v>622</v>
      </c>
      <c r="Y699" t="s">
        <v>544</v>
      </c>
    </row>
    <row r="700" spans="1:25">
      <c r="A700" t="s">
        <v>693</v>
      </c>
      <c r="B700">
        <v>2579.5985342039999</v>
      </c>
      <c r="C700">
        <v>21.399761465998299</v>
      </c>
      <c r="D700" t="s">
        <v>19</v>
      </c>
      <c r="E700">
        <v>49</v>
      </c>
      <c r="Y700" t="s">
        <v>544</v>
      </c>
    </row>
    <row r="701" spans="1:25">
      <c r="A701" t="s">
        <v>693</v>
      </c>
      <c r="B701">
        <v>2584.59860875499</v>
      </c>
      <c r="C701">
        <v>16.3996869150028</v>
      </c>
      <c r="D701" t="s">
        <v>32</v>
      </c>
      <c r="E701">
        <v>20</v>
      </c>
      <c r="R701" t="s">
        <v>23</v>
      </c>
      <c r="Y701" t="s">
        <v>544</v>
      </c>
    </row>
    <row r="702" spans="1:25">
      <c r="A702" t="s">
        <v>693</v>
      </c>
      <c r="B702">
        <v>2585.1994758719902</v>
      </c>
      <c r="C702">
        <v>20</v>
      </c>
      <c r="D702" t="s">
        <v>33</v>
      </c>
      <c r="E702">
        <v>14</v>
      </c>
      <c r="Y702" t="s">
        <v>544</v>
      </c>
    </row>
    <row r="703" spans="1:25">
      <c r="A703" t="s">
        <v>693</v>
      </c>
      <c r="B703">
        <v>2586.0472236380001</v>
      </c>
      <c r="C703">
        <v>20</v>
      </c>
      <c r="D703" t="s">
        <v>795</v>
      </c>
      <c r="E703">
        <v>15</v>
      </c>
      <c r="H703" t="s">
        <v>621</v>
      </c>
      <c r="I703" t="s">
        <v>439</v>
      </c>
      <c r="M703" t="s">
        <v>605</v>
      </c>
      <c r="Y703" t="s">
        <v>544</v>
      </c>
    </row>
    <row r="704" spans="1:25">
      <c r="A704" t="s">
        <v>693</v>
      </c>
      <c r="B704">
        <v>2600.9982956699901</v>
      </c>
      <c r="C704">
        <v>22.299944078999399</v>
      </c>
      <c r="D704" t="s">
        <v>10</v>
      </c>
      <c r="E704">
        <v>49</v>
      </c>
      <c r="Y704" t="s">
        <v>544</v>
      </c>
    </row>
    <row r="705" spans="1:25">
      <c r="A705" t="s">
        <v>693</v>
      </c>
      <c r="B705">
        <v>2616.29823974899</v>
      </c>
      <c r="C705">
        <v>17</v>
      </c>
      <c r="D705" t="s">
        <v>11</v>
      </c>
      <c r="E705">
        <v>22</v>
      </c>
      <c r="T705" t="s">
        <v>16</v>
      </c>
      <c r="Y705" t="s">
        <v>544</v>
      </c>
    </row>
    <row r="706" spans="1:25">
      <c r="A706" t="s">
        <v>693</v>
      </c>
      <c r="B706">
        <v>2617.5897400099998</v>
      </c>
      <c r="C706">
        <v>20</v>
      </c>
      <c r="D706" t="s">
        <v>743</v>
      </c>
      <c r="E706">
        <v>35</v>
      </c>
      <c r="I706" t="s">
        <v>439</v>
      </c>
      <c r="M706" t="s">
        <v>443</v>
      </c>
      <c r="Y706" t="s">
        <v>544</v>
      </c>
    </row>
    <row r="707" spans="1:25">
      <c r="A707" t="s">
        <v>693</v>
      </c>
      <c r="B707">
        <v>2620.0578593700002</v>
      </c>
      <c r="C707">
        <v>20</v>
      </c>
      <c r="D707" t="s">
        <v>685</v>
      </c>
      <c r="E707">
        <v>13</v>
      </c>
      <c r="K707" t="s">
        <v>48</v>
      </c>
      <c r="M707" t="s">
        <v>613</v>
      </c>
      <c r="Y707" t="s">
        <v>544</v>
      </c>
    </row>
    <row r="708" spans="1:25">
      <c r="A708" t="s">
        <v>693</v>
      </c>
      <c r="B708">
        <v>2620.29823974899</v>
      </c>
      <c r="C708">
        <v>13.081814094000899</v>
      </c>
      <c r="D708" t="s">
        <v>9</v>
      </c>
      <c r="E708">
        <v>60</v>
      </c>
      <c r="Y708" t="s">
        <v>544</v>
      </c>
    </row>
    <row r="709" spans="1:25">
      <c r="A709" t="s">
        <v>693</v>
      </c>
      <c r="B709">
        <v>2620.7566815499999</v>
      </c>
      <c r="C709">
        <v>20</v>
      </c>
      <c r="D709" t="s">
        <v>743</v>
      </c>
      <c r="E709">
        <v>36</v>
      </c>
      <c r="K709" t="s">
        <v>48</v>
      </c>
      <c r="M709" t="s">
        <v>615</v>
      </c>
      <c r="Y709" t="s">
        <v>544</v>
      </c>
    </row>
    <row r="710" spans="1:25">
      <c r="A710" t="s">
        <v>693</v>
      </c>
      <c r="B710">
        <v>2621.1978965466601</v>
      </c>
      <c r="C710">
        <v>20</v>
      </c>
      <c r="D710" t="s">
        <v>795</v>
      </c>
      <c r="E710">
        <v>16</v>
      </c>
      <c r="I710" t="s">
        <v>440</v>
      </c>
      <c r="M710" t="s">
        <v>438</v>
      </c>
      <c r="Y710" t="s">
        <v>544</v>
      </c>
    </row>
    <row r="711" spans="1:25">
      <c r="A711" t="s">
        <v>693</v>
      </c>
      <c r="B711">
        <v>2623.29823974899</v>
      </c>
      <c r="C711">
        <v>12.4014808980009</v>
      </c>
      <c r="D711" t="s">
        <v>19</v>
      </c>
      <c r="E711">
        <v>50</v>
      </c>
      <c r="Y711" t="s">
        <v>544</v>
      </c>
    </row>
    <row r="712" spans="1:25">
      <c r="A712" t="s">
        <v>693</v>
      </c>
      <c r="B712">
        <v>2624.8113792559998</v>
      </c>
      <c r="C712">
        <v>20</v>
      </c>
      <c r="D712" t="s">
        <v>774</v>
      </c>
      <c r="E712">
        <v>19</v>
      </c>
      <c r="I712" t="s">
        <v>442</v>
      </c>
      <c r="M712" t="s">
        <v>604</v>
      </c>
      <c r="Y712" t="s">
        <v>544</v>
      </c>
    </row>
    <row r="713" spans="1:25">
      <c r="A713" t="s">
        <v>693</v>
      </c>
      <c r="B713">
        <v>2626.380053843</v>
      </c>
      <c r="C713">
        <v>17</v>
      </c>
      <c r="D713" t="s">
        <v>27</v>
      </c>
      <c r="E713">
        <v>29</v>
      </c>
      <c r="U713" t="s">
        <v>195</v>
      </c>
      <c r="Y713" t="s">
        <v>544</v>
      </c>
    </row>
    <row r="714" spans="1:25">
      <c r="A714" t="s">
        <v>693</v>
      </c>
      <c r="B714">
        <v>2630.380053843</v>
      </c>
      <c r="C714">
        <v>5.3196668039999997</v>
      </c>
      <c r="D714" t="s">
        <v>18</v>
      </c>
      <c r="E714">
        <v>56</v>
      </c>
      <c r="Y714" t="s">
        <v>544</v>
      </c>
    </row>
    <row r="715" spans="1:25">
      <c r="A715" t="s">
        <v>693</v>
      </c>
      <c r="B715">
        <v>2635.699720647</v>
      </c>
      <c r="C715">
        <v>87.560250984999996</v>
      </c>
      <c r="D715" t="s">
        <v>10</v>
      </c>
      <c r="E715">
        <v>50</v>
      </c>
      <c r="Y715" t="s">
        <v>544</v>
      </c>
    </row>
    <row r="716" spans="1:25">
      <c r="A716" t="s">
        <v>693</v>
      </c>
      <c r="B716">
        <v>2713.29819554899</v>
      </c>
      <c r="C716">
        <v>20</v>
      </c>
      <c r="D716" t="s">
        <v>777</v>
      </c>
      <c r="E716">
        <v>30</v>
      </c>
      <c r="I716" t="s">
        <v>442</v>
      </c>
      <c r="M716" t="s">
        <v>438</v>
      </c>
      <c r="Y716" t="s">
        <v>544</v>
      </c>
    </row>
    <row r="717" spans="1:25">
      <c r="A717" t="s">
        <v>693</v>
      </c>
      <c r="B717">
        <v>2713.7988170083299</v>
      </c>
      <c r="C717">
        <v>20</v>
      </c>
      <c r="D717" t="s">
        <v>770</v>
      </c>
      <c r="E717">
        <v>21</v>
      </c>
      <c r="H717" t="s">
        <v>445</v>
      </c>
      <c r="M717" t="s">
        <v>436</v>
      </c>
      <c r="Y717" t="s">
        <v>544</v>
      </c>
    </row>
    <row r="718" spans="1:25">
      <c r="A718" t="s">
        <v>693</v>
      </c>
      <c r="B718">
        <v>2719.4978212723299</v>
      </c>
      <c r="C718">
        <v>17</v>
      </c>
      <c r="D718" t="s">
        <v>40</v>
      </c>
      <c r="E718">
        <v>34</v>
      </c>
      <c r="U718" t="s">
        <v>195</v>
      </c>
      <c r="Y718" t="s">
        <v>544</v>
      </c>
    </row>
    <row r="719" spans="1:25">
      <c r="A719" t="s">
        <v>693</v>
      </c>
      <c r="B719">
        <v>2720.2599716320001</v>
      </c>
      <c r="C719">
        <v>6.2378496403325698</v>
      </c>
      <c r="D719" t="s">
        <v>18</v>
      </c>
      <c r="E719">
        <v>57</v>
      </c>
      <c r="Y719" t="s">
        <v>544</v>
      </c>
    </row>
    <row r="720" spans="1:25">
      <c r="A720" t="s">
        <v>693</v>
      </c>
      <c r="B720">
        <v>2722.1982641913301</v>
      </c>
      <c r="C720">
        <v>15</v>
      </c>
      <c r="D720" t="s">
        <v>328</v>
      </c>
      <c r="E720">
        <v>2</v>
      </c>
      <c r="Y720" t="s">
        <v>544</v>
      </c>
    </row>
    <row r="721" spans="1:25">
      <c r="A721" t="s">
        <v>693</v>
      </c>
      <c r="B721">
        <v>2723.2599716320001</v>
      </c>
      <c r="C721">
        <v>9.8380210103327901</v>
      </c>
      <c r="D721" t="s">
        <v>19</v>
      </c>
      <c r="E721">
        <v>51</v>
      </c>
      <c r="Y721" t="s">
        <v>544</v>
      </c>
    </row>
    <row r="722" spans="1:25">
      <c r="A722" t="s">
        <v>693</v>
      </c>
      <c r="B722">
        <v>2723.4978212723299</v>
      </c>
      <c r="C722">
        <v>9.6001713700002203</v>
      </c>
      <c r="D722" t="s">
        <v>9</v>
      </c>
      <c r="E722">
        <v>61</v>
      </c>
      <c r="Y722" t="s">
        <v>544</v>
      </c>
    </row>
    <row r="723" spans="1:25">
      <c r="A723" t="s">
        <v>693</v>
      </c>
      <c r="B723">
        <v>2733.0979926423302</v>
      </c>
      <c r="C723">
        <v>16.3979878690029</v>
      </c>
      <c r="D723" t="s">
        <v>10</v>
      </c>
      <c r="E723">
        <v>51</v>
      </c>
      <c r="Y723" t="s">
        <v>544</v>
      </c>
    </row>
    <row r="724" spans="1:25">
      <c r="A724" t="s">
        <v>693</v>
      </c>
      <c r="B724">
        <v>2740.0984038373199</v>
      </c>
      <c r="C724">
        <v>20</v>
      </c>
      <c r="D724" t="s">
        <v>743</v>
      </c>
      <c r="E724">
        <v>37</v>
      </c>
      <c r="I724" t="s">
        <v>440</v>
      </c>
      <c r="M724" t="s">
        <v>438</v>
      </c>
      <c r="Y724" t="s">
        <v>544</v>
      </c>
    </row>
    <row r="725" spans="1:25">
      <c r="A725" t="s">
        <v>693</v>
      </c>
      <c r="B725">
        <v>2742.4959805113299</v>
      </c>
      <c r="C725">
        <v>17</v>
      </c>
      <c r="D725" t="s">
        <v>6</v>
      </c>
      <c r="E725">
        <v>23</v>
      </c>
      <c r="T725" t="s">
        <v>24</v>
      </c>
      <c r="Y725" t="s">
        <v>544</v>
      </c>
    </row>
    <row r="726" spans="1:25">
      <c r="A726" t="s">
        <v>693</v>
      </c>
      <c r="B726">
        <v>2744.0988584189799</v>
      </c>
      <c r="C726">
        <v>20</v>
      </c>
      <c r="D726" t="s">
        <v>638</v>
      </c>
      <c r="E726">
        <v>44</v>
      </c>
      <c r="I726" t="s">
        <v>447</v>
      </c>
      <c r="M726" t="s">
        <v>605</v>
      </c>
      <c r="Y726" t="s">
        <v>544</v>
      </c>
    </row>
    <row r="727" spans="1:25">
      <c r="A727" t="s">
        <v>693</v>
      </c>
      <c r="B727">
        <v>2746.4959805113299</v>
      </c>
      <c r="C727">
        <v>12.4023489493251</v>
      </c>
      <c r="D727" t="s">
        <v>18</v>
      </c>
      <c r="E727">
        <v>58</v>
      </c>
      <c r="Y727" t="s">
        <v>544</v>
      </c>
    </row>
    <row r="728" spans="1:25">
      <c r="A728" t="s">
        <v>693</v>
      </c>
      <c r="B728">
        <v>2747.1988883159902</v>
      </c>
      <c r="C728">
        <v>11.699441144663901</v>
      </c>
      <c r="D728" t="s">
        <v>121</v>
      </c>
      <c r="E728">
        <v>28</v>
      </c>
      <c r="P728" t="s">
        <v>31</v>
      </c>
      <c r="R728" t="s">
        <v>23</v>
      </c>
      <c r="Y728" t="s">
        <v>544</v>
      </c>
    </row>
    <row r="729" spans="1:25">
      <c r="A729" t="s">
        <v>693</v>
      </c>
      <c r="B729">
        <v>2749.4959805113299</v>
      </c>
      <c r="C729">
        <v>54.500633809665402</v>
      </c>
      <c r="D729" t="s">
        <v>19</v>
      </c>
      <c r="E729">
        <v>52</v>
      </c>
      <c r="Y729" t="s">
        <v>544</v>
      </c>
    </row>
    <row r="730" spans="1:25">
      <c r="A730" t="s">
        <v>693</v>
      </c>
      <c r="B730">
        <v>2751.8983294606601</v>
      </c>
      <c r="C730">
        <v>17</v>
      </c>
      <c r="D730" t="s">
        <v>40</v>
      </c>
      <c r="E730">
        <v>35</v>
      </c>
      <c r="U730" t="s">
        <v>14</v>
      </c>
      <c r="Y730" t="s">
        <v>544</v>
      </c>
    </row>
    <row r="731" spans="1:25">
      <c r="A731" t="s">
        <v>693</v>
      </c>
      <c r="B731">
        <v>2755.3986632586598</v>
      </c>
      <c r="C731">
        <v>20</v>
      </c>
      <c r="D731" t="s">
        <v>743</v>
      </c>
      <c r="E731">
        <v>38</v>
      </c>
      <c r="I731" t="s">
        <v>439</v>
      </c>
      <c r="M731" t="s">
        <v>443</v>
      </c>
      <c r="Y731" t="s">
        <v>544</v>
      </c>
    </row>
    <row r="732" spans="1:25">
      <c r="A732" t="s">
        <v>693</v>
      </c>
      <c r="B732">
        <v>2755.8983294606601</v>
      </c>
      <c r="C732">
        <v>16.200064093335101</v>
      </c>
      <c r="D732" t="s">
        <v>9</v>
      </c>
      <c r="E732">
        <v>62</v>
      </c>
      <c r="Y732" t="s">
        <v>544</v>
      </c>
    </row>
    <row r="733" spans="1:25">
      <c r="A733" t="s">
        <v>693</v>
      </c>
      <c r="B733">
        <v>2760.4990542543201</v>
      </c>
      <c r="C733">
        <v>20</v>
      </c>
      <c r="D733" t="s">
        <v>685</v>
      </c>
      <c r="E733">
        <v>14</v>
      </c>
      <c r="H733" t="s">
        <v>5</v>
      </c>
      <c r="I733" t="s">
        <v>542</v>
      </c>
      <c r="K733" t="s">
        <v>444</v>
      </c>
      <c r="M733" t="s">
        <v>787</v>
      </c>
      <c r="Y733" t="s">
        <v>544</v>
      </c>
    </row>
    <row r="734" spans="1:25">
      <c r="A734" t="s">
        <v>693</v>
      </c>
      <c r="B734">
        <v>2765.0983935539898</v>
      </c>
      <c r="C734">
        <v>17</v>
      </c>
      <c r="D734" t="s">
        <v>27</v>
      </c>
      <c r="E734">
        <v>30</v>
      </c>
      <c r="U734" t="s">
        <v>600</v>
      </c>
      <c r="Y734" t="s">
        <v>544</v>
      </c>
    </row>
    <row r="735" spans="1:25">
      <c r="A735" t="s">
        <v>693</v>
      </c>
      <c r="B735">
        <v>2765.79942119099</v>
      </c>
      <c r="C735">
        <v>20</v>
      </c>
      <c r="D735" t="s">
        <v>33</v>
      </c>
      <c r="E735">
        <v>15</v>
      </c>
      <c r="Y735" t="s">
        <v>544</v>
      </c>
    </row>
    <row r="736" spans="1:25">
      <c r="A736" t="s">
        <v>693</v>
      </c>
      <c r="B736">
        <v>2766.8437146599999</v>
      </c>
      <c r="C736">
        <v>20</v>
      </c>
      <c r="D736" t="s">
        <v>135</v>
      </c>
      <c r="E736">
        <v>7</v>
      </c>
      <c r="Y736" t="s">
        <v>544</v>
      </c>
    </row>
    <row r="737" spans="1:25">
      <c r="A737" t="s">
        <v>693</v>
      </c>
      <c r="B737">
        <v>2766.8620718819998</v>
      </c>
      <c r="C737">
        <v>20</v>
      </c>
      <c r="D737" t="s">
        <v>687</v>
      </c>
      <c r="E737">
        <v>23</v>
      </c>
      <c r="H737" t="s">
        <v>737</v>
      </c>
      <c r="I737" t="s">
        <v>542</v>
      </c>
      <c r="M737" t="s">
        <v>622</v>
      </c>
      <c r="Y737" t="s">
        <v>544</v>
      </c>
    </row>
    <row r="738" spans="1:25">
      <c r="A738" t="s">
        <v>693</v>
      </c>
      <c r="B738">
        <v>2768.59898076133</v>
      </c>
      <c r="C738">
        <v>24.299906675325001</v>
      </c>
      <c r="D738" t="s">
        <v>32</v>
      </c>
      <c r="E738">
        <v>21</v>
      </c>
      <c r="R738" t="s">
        <v>20</v>
      </c>
      <c r="Y738" t="s">
        <v>544</v>
      </c>
    </row>
    <row r="739" spans="1:25">
      <c r="A739" t="s">
        <v>693</v>
      </c>
      <c r="B739">
        <v>2769.0983935539898</v>
      </c>
      <c r="C739">
        <v>27.799887502999301</v>
      </c>
      <c r="D739" t="s">
        <v>18</v>
      </c>
      <c r="E739">
        <v>59</v>
      </c>
      <c r="Y739" t="s">
        <v>544</v>
      </c>
    </row>
    <row r="740" spans="1:25">
      <c r="A740" t="s">
        <v>693</v>
      </c>
      <c r="B740">
        <v>2775.4979854646599</v>
      </c>
      <c r="C740">
        <v>20</v>
      </c>
      <c r="D740" t="s">
        <v>637</v>
      </c>
      <c r="E740">
        <v>33</v>
      </c>
      <c r="H740" t="s">
        <v>758</v>
      </c>
      <c r="I740" t="s">
        <v>53</v>
      </c>
      <c r="M740" t="s">
        <v>443</v>
      </c>
      <c r="Y740" t="s">
        <v>544</v>
      </c>
    </row>
    <row r="741" spans="1:25">
      <c r="A741" t="s">
        <v>693</v>
      </c>
      <c r="B741">
        <v>2777.5984900226599</v>
      </c>
      <c r="C741">
        <v>20</v>
      </c>
      <c r="D741" t="s">
        <v>34</v>
      </c>
      <c r="E741">
        <v>5</v>
      </c>
      <c r="R741" t="s">
        <v>20</v>
      </c>
      <c r="Y741" t="s">
        <v>544</v>
      </c>
    </row>
    <row r="742" spans="1:25">
      <c r="A742" t="s">
        <v>693</v>
      </c>
      <c r="B742">
        <v>2784.8975161909898</v>
      </c>
      <c r="C742">
        <v>20</v>
      </c>
      <c r="D742" t="s">
        <v>34</v>
      </c>
      <c r="E742">
        <v>6</v>
      </c>
      <c r="R742" t="s">
        <v>23</v>
      </c>
      <c r="Y742" t="s">
        <v>544</v>
      </c>
    </row>
    <row r="743" spans="1:25">
      <c r="A743" t="s">
        <v>693</v>
      </c>
      <c r="B743">
        <v>2785.9991361736402</v>
      </c>
      <c r="C743">
        <v>20</v>
      </c>
      <c r="D743" t="s">
        <v>777</v>
      </c>
      <c r="E743">
        <v>31</v>
      </c>
      <c r="I743" t="s">
        <v>53</v>
      </c>
      <c r="M743" t="s">
        <v>443</v>
      </c>
      <c r="Y743" t="s">
        <v>544</v>
      </c>
    </row>
    <row r="744" spans="1:25">
      <c r="A744" t="s">
        <v>693</v>
      </c>
      <c r="B744">
        <v>2789.8982810569901</v>
      </c>
      <c r="C744">
        <v>17</v>
      </c>
      <c r="D744" t="s">
        <v>40</v>
      </c>
      <c r="E744">
        <v>36</v>
      </c>
      <c r="U744" t="s">
        <v>14</v>
      </c>
      <c r="Y744" t="s">
        <v>544</v>
      </c>
    </row>
    <row r="745" spans="1:25">
      <c r="A745" t="s">
        <v>693</v>
      </c>
      <c r="B745">
        <v>2793.8982810569901</v>
      </c>
      <c r="C745">
        <v>10.098333264005699</v>
      </c>
      <c r="D745" t="s">
        <v>9</v>
      </c>
      <c r="E745">
        <v>63</v>
      </c>
      <c r="Y745" t="s">
        <v>544</v>
      </c>
    </row>
    <row r="746" spans="1:25">
      <c r="A746" t="s">
        <v>693</v>
      </c>
      <c r="B746">
        <v>2803.9966143209999</v>
      </c>
      <c r="C746">
        <v>1.1025308093244299</v>
      </c>
      <c r="D746" t="s">
        <v>10</v>
      </c>
      <c r="E746">
        <v>52</v>
      </c>
      <c r="Y746" t="s">
        <v>544</v>
      </c>
    </row>
    <row r="747" spans="1:25">
      <c r="A747" t="s">
        <v>693</v>
      </c>
      <c r="B747">
        <v>2811.9271381399999</v>
      </c>
      <c r="C747">
        <v>20</v>
      </c>
      <c r="D747" t="s">
        <v>196</v>
      </c>
      <c r="E747">
        <v>1</v>
      </c>
      <c r="W747" t="s">
        <v>731</v>
      </c>
      <c r="Y747" t="s">
        <v>545</v>
      </c>
    </row>
    <row r="748" spans="1:25">
      <c r="A748" t="s">
        <v>693</v>
      </c>
      <c r="B748">
        <v>2819.4320011270001</v>
      </c>
      <c r="C748">
        <v>20</v>
      </c>
      <c r="D748" t="s">
        <v>777</v>
      </c>
      <c r="E748">
        <v>32</v>
      </c>
      <c r="J748" t="s">
        <v>49</v>
      </c>
      <c r="Y748" t="s">
        <v>545</v>
      </c>
    </row>
    <row r="749" spans="1:25">
      <c r="A749" t="s">
        <v>693</v>
      </c>
      <c r="B749">
        <v>2819.5601517710002</v>
      </c>
      <c r="C749">
        <v>11.335812652328899</v>
      </c>
      <c r="D749" t="s">
        <v>9</v>
      </c>
      <c r="E749">
        <v>64</v>
      </c>
      <c r="Y749" t="s">
        <v>545</v>
      </c>
    </row>
    <row r="750" spans="1:25">
      <c r="A750" t="s">
        <v>693</v>
      </c>
      <c r="B750">
        <v>2822.5601517710002</v>
      </c>
      <c r="C750">
        <v>1</v>
      </c>
      <c r="D750" t="s">
        <v>17</v>
      </c>
      <c r="E750">
        <v>3</v>
      </c>
      <c r="Y750" t="s">
        <v>545</v>
      </c>
    </row>
    <row r="751" spans="1:25">
      <c r="A751" t="s">
        <v>693</v>
      </c>
      <c r="B751">
        <v>2822.5601517710002</v>
      </c>
      <c r="C751">
        <v>21.124647101999901</v>
      </c>
      <c r="D751" t="s">
        <v>19</v>
      </c>
      <c r="E751">
        <v>53</v>
      </c>
      <c r="Y751" t="s">
        <v>545</v>
      </c>
    </row>
    <row r="752" spans="1:25">
      <c r="A752" t="s">
        <v>693</v>
      </c>
      <c r="B752">
        <v>2823.1689330069999</v>
      </c>
      <c r="C752">
        <v>20</v>
      </c>
      <c r="D752" t="s">
        <v>795</v>
      </c>
      <c r="E752">
        <v>17</v>
      </c>
      <c r="M752" t="s">
        <v>436</v>
      </c>
      <c r="Y752" t="s">
        <v>545</v>
      </c>
    </row>
    <row r="753" spans="1:25">
      <c r="A753" t="s">
        <v>693</v>
      </c>
      <c r="B753">
        <v>2823.89596442332</v>
      </c>
      <c r="C753">
        <v>17</v>
      </c>
      <c r="D753" t="s">
        <v>27</v>
      </c>
      <c r="E753">
        <v>31</v>
      </c>
      <c r="U753" t="s">
        <v>195</v>
      </c>
      <c r="Y753" t="s">
        <v>545</v>
      </c>
    </row>
    <row r="754" spans="1:25">
      <c r="A754" t="s">
        <v>693</v>
      </c>
      <c r="B754">
        <v>2826.6979486496598</v>
      </c>
      <c r="C754">
        <v>17</v>
      </c>
      <c r="D754" t="s">
        <v>40</v>
      </c>
      <c r="E754">
        <v>37</v>
      </c>
      <c r="U754" t="s">
        <v>195</v>
      </c>
      <c r="Y754" t="s">
        <v>545</v>
      </c>
    </row>
    <row r="755" spans="1:25">
      <c r="A755" t="s">
        <v>693</v>
      </c>
      <c r="B755">
        <v>2827.89596442332</v>
      </c>
      <c r="C755">
        <v>5.8019842263393002</v>
      </c>
      <c r="D755" t="s">
        <v>18</v>
      </c>
      <c r="E755">
        <v>60</v>
      </c>
      <c r="Y755" t="s">
        <v>545</v>
      </c>
    </row>
    <row r="756" spans="1:25">
      <c r="A756" t="s">
        <v>693</v>
      </c>
      <c r="B756">
        <v>2830.6979486496598</v>
      </c>
      <c r="C756">
        <v>12.986850223331601</v>
      </c>
      <c r="D756" t="s">
        <v>9</v>
      </c>
      <c r="E756">
        <v>65</v>
      </c>
      <c r="Y756" t="s">
        <v>545</v>
      </c>
    </row>
    <row r="757" spans="1:25">
      <c r="A757" t="s">
        <v>693</v>
      </c>
      <c r="B757">
        <v>2831.19777132933</v>
      </c>
      <c r="C757">
        <v>20</v>
      </c>
      <c r="D757" t="s">
        <v>788</v>
      </c>
      <c r="E757">
        <v>1</v>
      </c>
      <c r="J757" t="s">
        <v>49</v>
      </c>
      <c r="Y757" t="s">
        <v>545</v>
      </c>
    </row>
    <row r="758" spans="1:25">
      <c r="A758" t="s">
        <v>693</v>
      </c>
      <c r="B758">
        <v>2832.0984743579902</v>
      </c>
      <c r="C758">
        <v>11.586324515003501</v>
      </c>
      <c r="D758" t="s">
        <v>42</v>
      </c>
      <c r="E758">
        <v>1</v>
      </c>
      <c r="R758" t="s">
        <v>20</v>
      </c>
      <c r="Y758" t="s">
        <v>545</v>
      </c>
    </row>
    <row r="759" spans="1:25">
      <c r="A759" t="s">
        <v>693</v>
      </c>
      <c r="B759">
        <v>2840.59812674165</v>
      </c>
      <c r="C759">
        <v>20</v>
      </c>
      <c r="D759" t="s">
        <v>791</v>
      </c>
      <c r="E759">
        <v>1</v>
      </c>
      <c r="H759" t="s">
        <v>437</v>
      </c>
      <c r="M759" t="s">
        <v>631</v>
      </c>
      <c r="Y759" t="s">
        <v>545</v>
      </c>
    </row>
    <row r="760" spans="1:25">
      <c r="A760" t="s">
        <v>693</v>
      </c>
      <c r="B760">
        <v>2843.3985865479899</v>
      </c>
      <c r="C760">
        <v>17</v>
      </c>
      <c r="D760" t="s">
        <v>6</v>
      </c>
      <c r="E760">
        <v>24</v>
      </c>
      <c r="T760" t="s">
        <v>21</v>
      </c>
      <c r="U760" t="s">
        <v>195</v>
      </c>
      <c r="Y760" t="s">
        <v>545</v>
      </c>
    </row>
    <row r="761" spans="1:25">
      <c r="A761" t="s">
        <v>693</v>
      </c>
      <c r="B761">
        <v>2843.6847988730001</v>
      </c>
      <c r="C761">
        <v>6.7137876749975396</v>
      </c>
      <c r="D761" t="s">
        <v>10</v>
      </c>
      <c r="E761">
        <v>53</v>
      </c>
      <c r="Y761" t="s">
        <v>545</v>
      </c>
    </row>
    <row r="762" spans="1:25">
      <c r="A762" t="s">
        <v>693</v>
      </c>
      <c r="B762">
        <v>2847.3985865479899</v>
      </c>
      <c r="C762">
        <v>6.0889212570023101</v>
      </c>
      <c r="D762" t="s">
        <v>18</v>
      </c>
      <c r="E762">
        <v>61</v>
      </c>
      <c r="Y762" t="s">
        <v>545</v>
      </c>
    </row>
    <row r="763" spans="1:25">
      <c r="A763" t="s">
        <v>693</v>
      </c>
      <c r="B763">
        <v>2850.3985865479899</v>
      </c>
      <c r="C763">
        <v>3.0889212570023101</v>
      </c>
      <c r="D763" t="s">
        <v>19</v>
      </c>
      <c r="E763">
        <v>54</v>
      </c>
      <c r="Y763" t="s">
        <v>545</v>
      </c>
    </row>
    <row r="764" spans="1:25">
      <c r="A764" t="s">
        <v>693</v>
      </c>
      <c r="B764">
        <v>2851.5995046646599</v>
      </c>
      <c r="C764">
        <v>20</v>
      </c>
      <c r="D764" t="s">
        <v>743</v>
      </c>
      <c r="E764">
        <v>39</v>
      </c>
      <c r="I764" t="s">
        <v>439</v>
      </c>
      <c r="M764" t="s">
        <v>438</v>
      </c>
      <c r="Y764" t="s">
        <v>545</v>
      </c>
    </row>
    <row r="765" spans="1:25">
      <c r="A765" t="s">
        <v>693</v>
      </c>
      <c r="B765">
        <v>2853.487507805</v>
      </c>
      <c r="C765">
        <v>7.5568057250002303</v>
      </c>
      <c r="D765" t="s">
        <v>10</v>
      </c>
      <c r="E765">
        <v>54</v>
      </c>
      <c r="Y765" t="s">
        <v>545</v>
      </c>
    </row>
    <row r="766" spans="1:25">
      <c r="A766" t="s">
        <v>693</v>
      </c>
      <c r="B766">
        <v>2853.8606069970001</v>
      </c>
      <c r="C766">
        <v>20</v>
      </c>
      <c r="D766" t="s">
        <v>770</v>
      </c>
      <c r="E766">
        <v>22</v>
      </c>
      <c r="I766" t="s">
        <v>442</v>
      </c>
      <c r="M766" t="s">
        <v>438</v>
      </c>
      <c r="Y766" t="s">
        <v>545</v>
      </c>
    </row>
    <row r="767" spans="1:25">
      <c r="A767" t="s">
        <v>693</v>
      </c>
      <c r="B767">
        <v>2854.0443135300002</v>
      </c>
      <c r="C767">
        <v>17</v>
      </c>
      <c r="D767" t="s">
        <v>11</v>
      </c>
      <c r="E767">
        <v>23</v>
      </c>
      <c r="T767" t="s">
        <v>12</v>
      </c>
      <c r="Y767" t="s">
        <v>545</v>
      </c>
    </row>
    <row r="768" spans="1:25">
      <c r="A768" t="s">
        <v>693</v>
      </c>
      <c r="B768">
        <v>2855.3993867273198</v>
      </c>
      <c r="C768">
        <v>20</v>
      </c>
      <c r="D768" t="s">
        <v>637</v>
      </c>
      <c r="E768">
        <v>34</v>
      </c>
      <c r="H768" t="s">
        <v>621</v>
      </c>
      <c r="M768" t="s">
        <v>759</v>
      </c>
      <c r="Y768" t="s">
        <v>545</v>
      </c>
    </row>
    <row r="769" spans="1:25">
      <c r="A769" t="s">
        <v>693</v>
      </c>
      <c r="B769">
        <v>2858.0443135300002</v>
      </c>
      <c r="C769">
        <v>8.4536945126669707</v>
      </c>
      <c r="D769" t="s">
        <v>9</v>
      </c>
      <c r="E769">
        <v>66</v>
      </c>
      <c r="Y769" t="s">
        <v>545</v>
      </c>
    </row>
    <row r="770" spans="1:25">
      <c r="A770" t="s">
        <v>693</v>
      </c>
      <c r="B770">
        <v>2859.4980080426599</v>
      </c>
      <c r="C770">
        <v>17</v>
      </c>
      <c r="D770" t="s">
        <v>27</v>
      </c>
      <c r="E770">
        <v>32</v>
      </c>
      <c r="U770" t="s">
        <v>28</v>
      </c>
      <c r="Y770" t="s">
        <v>545</v>
      </c>
    </row>
    <row r="771" spans="1:25">
      <c r="A771" t="s">
        <v>693</v>
      </c>
      <c r="B771">
        <v>2861.0443135300002</v>
      </c>
      <c r="C771">
        <v>27.1830281879997</v>
      </c>
      <c r="D771" t="s">
        <v>19</v>
      </c>
      <c r="E771">
        <v>55</v>
      </c>
      <c r="Y771" t="s">
        <v>545</v>
      </c>
    </row>
    <row r="772" spans="1:25">
      <c r="A772" t="s">
        <v>693</v>
      </c>
      <c r="B772">
        <v>2861.1976589143201</v>
      </c>
      <c r="C772">
        <v>20</v>
      </c>
      <c r="D772" t="s">
        <v>642</v>
      </c>
      <c r="E772">
        <v>1</v>
      </c>
      <c r="I772" t="s">
        <v>440</v>
      </c>
      <c r="M772" t="s">
        <v>438</v>
      </c>
      <c r="Y772" t="s">
        <v>545</v>
      </c>
    </row>
    <row r="773" spans="1:25">
      <c r="A773" t="s">
        <v>693</v>
      </c>
      <c r="B773">
        <v>2863.29750233098</v>
      </c>
      <c r="C773">
        <v>20</v>
      </c>
      <c r="D773" t="s">
        <v>638</v>
      </c>
      <c r="E773">
        <v>45</v>
      </c>
      <c r="I773" t="s">
        <v>439</v>
      </c>
      <c r="M773" t="s">
        <v>604</v>
      </c>
      <c r="Y773" t="s">
        <v>545</v>
      </c>
    </row>
    <row r="774" spans="1:25">
      <c r="A774" t="s">
        <v>693</v>
      </c>
      <c r="B774">
        <v>2863.4980080426599</v>
      </c>
      <c r="C774">
        <v>20.201428573997799</v>
      </c>
      <c r="D774" t="s">
        <v>18</v>
      </c>
      <c r="E774">
        <v>62</v>
      </c>
      <c r="Y774" t="s">
        <v>545</v>
      </c>
    </row>
    <row r="775" spans="1:25">
      <c r="A775" t="s">
        <v>693</v>
      </c>
      <c r="B775">
        <v>2864.4980297806601</v>
      </c>
      <c r="C775">
        <v>17</v>
      </c>
      <c r="D775" t="s">
        <v>27</v>
      </c>
      <c r="E775">
        <v>33</v>
      </c>
      <c r="U775" t="s">
        <v>28</v>
      </c>
      <c r="Y775" t="s">
        <v>545</v>
      </c>
    </row>
    <row r="776" spans="1:25">
      <c r="A776" t="s">
        <v>693</v>
      </c>
      <c r="B776">
        <v>2866.5988640259902</v>
      </c>
      <c r="C776">
        <v>20</v>
      </c>
      <c r="D776" t="s">
        <v>743</v>
      </c>
      <c r="E776">
        <v>40</v>
      </c>
      <c r="I776" t="s">
        <v>683</v>
      </c>
      <c r="M776" t="s">
        <v>661</v>
      </c>
      <c r="Y776" t="s">
        <v>545</v>
      </c>
    </row>
    <row r="777" spans="1:25">
      <c r="A777" t="s">
        <v>693</v>
      </c>
      <c r="B777">
        <v>2868.9986180263199</v>
      </c>
      <c r="C777">
        <v>20</v>
      </c>
      <c r="D777" t="s">
        <v>777</v>
      </c>
      <c r="E777">
        <v>33</v>
      </c>
      <c r="H777" t="s">
        <v>621</v>
      </c>
      <c r="I777" t="s">
        <v>439</v>
      </c>
      <c r="M777" t="s">
        <v>604</v>
      </c>
      <c r="Y777" t="s">
        <v>545</v>
      </c>
    </row>
    <row r="778" spans="1:25">
      <c r="A778" t="s">
        <v>693</v>
      </c>
      <c r="B778">
        <v>2869.49793538932</v>
      </c>
      <c r="C778">
        <v>14.2015012273395</v>
      </c>
      <c r="D778" t="s">
        <v>121</v>
      </c>
      <c r="E778">
        <v>29</v>
      </c>
      <c r="P778" t="s">
        <v>30</v>
      </c>
      <c r="R778" t="s">
        <v>23</v>
      </c>
      <c r="Y778" t="s">
        <v>545</v>
      </c>
    </row>
    <row r="779" spans="1:25">
      <c r="A779" t="s">
        <v>693</v>
      </c>
      <c r="B779">
        <v>2871.0952615076699</v>
      </c>
      <c r="C779">
        <v>20</v>
      </c>
      <c r="D779" t="s">
        <v>795</v>
      </c>
      <c r="E779">
        <v>18</v>
      </c>
      <c r="H779" t="s">
        <v>621</v>
      </c>
      <c r="M779" t="s">
        <v>631</v>
      </c>
      <c r="Y779" t="s">
        <v>545</v>
      </c>
    </row>
    <row r="780" spans="1:25">
      <c r="A780" t="s">
        <v>693</v>
      </c>
      <c r="B780">
        <v>2876.2012531790001</v>
      </c>
      <c r="C780">
        <v>20</v>
      </c>
      <c r="D780" t="s">
        <v>777</v>
      </c>
      <c r="E780">
        <v>34</v>
      </c>
      <c r="J780" t="s">
        <v>222</v>
      </c>
      <c r="K780" t="s">
        <v>441</v>
      </c>
      <c r="M780" t="s">
        <v>615</v>
      </c>
      <c r="Y780" t="s">
        <v>545</v>
      </c>
    </row>
    <row r="781" spans="1:25">
      <c r="A781" t="s">
        <v>693</v>
      </c>
      <c r="B781">
        <v>2876.69943661666</v>
      </c>
      <c r="C781">
        <v>17</v>
      </c>
      <c r="D781" t="s">
        <v>40</v>
      </c>
      <c r="E781">
        <v>38</v>
      </c>
      <c r="U781" t="s">
        <v>195</v>
      </c>
      <c r="Y781" t="s">
        <v>545</v>
      </c>
    </row>
    <row r="782" spans="1:25">
      <c r="A782" t="s">
        <v>693</v>
      </c>
      <c r="B782">
        <v>2880.69943661666</v>
      </c>
      <c r="C782">
        <v>7.5279051013349001</v>
      </c>
      <c r="D782" t="s">
        <v>9</v>
      </c>
      <c r="E782">
        <v>67</v>
      </c>
      <c r="Y782" t="s">
        <v>545</v>
      </c>
    </row>
    <row r="783" spans="1:25">
      <c r="A783" t="s">
        <v>693</v>
      </c>
      <c r="B783">
        <v>2888.2273417179999</v>
      </c>
      <c r="C783">
        <v>28.806450725000101</v>
      </c>
      <c r="D783" t="s">
        <v>10</v>
      </c>
      <c r="E783">
        <v>55</v>
      </c>
      <c r="Y783" t="s">
        <v>545</v>
      </c>
    </row>
    <row r="784" spans="1:25">
      <c r="A784" t="s">
        <v>693</v>
      </c>
      <c r="B784">
        <v>2907.6949527879901</v>
      </c>
      <c r="C784">
        <v>20</v>
      </c>
      <c r="D784" t="s">
        <v>777</v>
      </c>
      <c r="E784">
        <v>35</v>
      </c>
      <c r="I784" t="s">
        <v>662</v>
      </c>
      <c r="M784" t="s">
        <v>438</v>
      </c>
      <c r="Y784" t="s">
        <v>545</v>
      </c>
    </row>
    <row r="785" spans="1:25">
      <c r="A785" t="s">
        <v>693</v>
      </c>
      <c r="B785">
        <v>2910.033792443</v>
      </c>
      <c r="C785">
        <v>17</v>
      </c>
      <c r="D785" t="s">
        <v>6</v>
      </c>
      <c r="E785">
        <v>25</v>
      </c>
      <c r="T785" t="s">
        <v>24</v>
      </c>
      <c r="Y785" t="s">
        <v>545</v>
      </c>
    </row>
    <row r="786" spans="1:25">
      <c r="A786" t="s">
        <v>693</v>
      </c>
      <c r="B786">
        <v>2911.39821434233</v>
      </c>
      <c r="C786">
        <v>20</v>
      </c>
      <c r="D786" t="s">
        <v>637</v>
      </c>
      <c r="E786">
        <v>35</v>
      </c>
      <c r="I786" t="s">
        <v>440</v>
      </c>
      <c r="M786" t="s">
        <v>604</v>
      </c>
      <c r="Y786" t="s">
        <v>545</v>
      </c>
    </row>
    <row r="787" spans="1:25">
      <c r="A787" t="s">
        <v>693</v>
      </c>
      <c r="B787">
        <v>2914.033792443</v>
      </c>
      <c r="C787">
        <v>29.763934968329</v>
      </c>
      <c r="D787" t="s">
        <v>18</v>
      </c>
      <c r="E787">
        <v>63</v>
      </c>
      <c r="Y787" t="s">
        <v>545</v>
      </c>
    </row>
    <row r="788" spans="1:25">
      <c r="A788" t="s">
        <v>693</v>
      </c>
      <c r="B788">
        <v>2914.9978304126598</v>
      </c>
      <c r="C788">
        <v>20</v>
      </c>
      <c r="D788" t="s">
        <v>642</v>
      </c>
      <c r="E788">
        <v>2</v>
      </c>
      <c r="I788" t="s">
        <v>440</v>
      </c>
      <c r="M788" t="s">
        <v>604</v>
      </c>
      <c r="Y788" t="s">
        <v>545</v>
      </c>
    </row>
    <row r="789" spans="1:25">
      <c r="A789" t="s">
        <v>693</v>
      </c>
      <c r="B789">
        <v>2917.033792443</v>
      </c>
      <c r="C789">
        <v>47.0636610549927</v>
      </c>
      <c r="D789" t="s">
        <v>19</v>
      </c>
      <c r="E789">
        <v>56</v>
      </c>
      <c r="Y789" t="s">
        <v>545</v>
      </c>
    </row>
    <row r="790" spans="1:25">
      <c r="A790" t="s">
        <v>693</v>
      </c>
      <c r="B790">
        <v>2921.99720158833</v>
      </c>
      <c r="C790">
        <v>20</v>
      </c>
      <c r="D790" t="s">
        <v>638</v>
      </c>
      <c r="E790">
        <v>46</v>
      </c>
      <c r="I790" t="s">
        <v>439</v>
      </c>
      <c r="M790" t="s">
        <v>604</v>
      </c>
      <c r="Y790" t="s">
        <v>545</v>
      </c>
    </row>
    <row r="791" spans="1:25">
      <c r="A791" t="s">
        <v>693</v>
      </c>
      <c r="B791">
        <v>2922.0984935869901</v>
      </c>
      <c r="C791">
        <v>24.714939686749801</v>
      </c>
      <c r="D791" t="s">
        <v>121</v>
      </c>
      <c r="E791">
        <v>30</v>
      </c>
      <c r="P791" t="s">
        <v>29</v>
      </c>
      <c r="R791" t="s">
        <v>20</v>
      </c>
      <c r="Y791" t="s">
        <v>545</v>
      </c>
    </row>
    <row r="792" spans="1:25">
      <c r="A792" t="s">
        <v>693</v>
      </c>
      <c r="B792">
        <v>2923.0251264150002</v>
      </c>
      <c r="C792">
        <v>20</v>
      </c>
      <c r="D792" t="s">
        <v>687</v>
      </c>
      <c r="E792">
        <v>24</v>
      </c>
      <c r="H792" t="s">
        <v>670</v>
      </c>
      <c r="I792" t="s">
        <v>439</v>
      </c>
      <c r="M792" t="s">
        <v>610</v>
      </c>
      <c r="Y792" t="s">
        <v>545</v>
      </c>
    </row>
    <row r="793" spans="1:25">
      <c r="A793" t="s">
        <v>693</v>
      </c>
      <c r="B793">
        <v>2929.79804359633</v>
      </c>
      <c r="C793">
        <v>20</v>
      </c>
      <c r="D793" t="s">
        <v>788</v>
      </c>
      <c r="E793">
        <v>2</v>
      </c>
      <c r="H793" t="s">
        <v>617</v>
      </c>
      <c r="M793" t="s">
        <v>659</v>
      </c>
      <c r="Y793" t="s">
        <v>545</v>
      </c>
    </row>
    <row r="794" spans="1:25">
      <c r="A794" t="s">
        <v>693</v>
      </c>
      <c r="B794">
        <v>2934.9980549216598</v>
      </c>
      <c r="C794">
        <v>8.7996724896679499</v>
      </c>
      <c r="D794" t="s">
        <v>32</v>
      </c>
      <c r="E794">
        <v>22</v>
      </c>
      <c r="R794" t="s">
        <v>23</v>
      </c>
      <c r="Y794" t="s">
        <v>545</v>
      </c>
    </row>
    <row r="795" spans="1:25">
      <c r="A795" t="s">
        <v>693</v>
      </c>
      <c r="B795">
        <v>2936.79772741132</v>
      </c>
      <c r="C795">
        <v>17</v>
      </c>
      <c r="D795" t="s">
        <v>40</v>
      </c>
      <c r="E795">
        <v>39</v>
      </c>
      <c r="U795" t="s">
        <v>14</v>
      </c>
      <c r="Y795" t="s">
        <v>545</v>
      </c>
    </row>
    <row r="796" spans="1:25">
      <c r="A796" t="s">
        <v>693</v>
      </c>
      <c r="B796">
        <v>2940.79772741132</v>
      </c>
      <c r="C796">
        <v>18.000883646335701</v>
      </c>
      <c r="D796" t="s">
        <v>9</v>
      </c>
      <c r="E796">
        <v>68</v>
      </c>
      <c r="Y796" t="s">
        <v>545</v>
      </c>
    </row>
    <row r="797" spans="1:25">
      <c r="A797" t="s">
        <v>693</v>
      </c>
      <c r="B797">
        <v>2945.2984632586499</v>
      </c>
      <c r="C797">
        <v>13.500147799006699</v>
      </c>
      <c r="D797" t="s">
        <v>427</v>
      </c>
      <c r="E797">
        <v>2</v>
      </c>
      <c r="R797" t="s">
        <v>20</v>
      </c>
      <c r="S797" t="s">
        <v>43</v>
      </c>
      <c r="Y797" t="s">
        <v>545</v>
      </c>
    </row>
    <row r="798" spans="1:25">
      <c r="A798" t="s">
        <v>693</v>
      </c>
      <c r="B798">
        <v>2947.5987065643299</v>
      </c>
      <c r="C798">
        <v>20</v>
      </c>
      <c r="D798" t="s">
        <v>36</v>
      </c>
      <c r="E798">
        <v>7</v>
      </c>
      <c r="N798">
        <v>79</v>
      </c>
      <c r="O798">
        <v>62</v>
      </c>
      <c r="Q798" t="s">
        <v>601</v>
      </c>
      <c r="Y798" t="s">
        <v>545</v>
      </c>
    </row>
    <row r="799" spans="1:25">
      <c r="A799" t="s">
        <v>693</v>
      </c>
      <c r="B799">
        <v>2949.0550789640001</v>
      </c>
      <c r="C799">
        <v>20</v>
      </c>
      <c r="D799" t="s">
        <v>791</v>
      </c>
      <c r="E799">
        <v>2</v>
      </c>
      <c r="I799" t="s">
        <v>439</v>
      </c>
      <c r="J799" t="s">
        <v>49</v>
      </c>
      <c r="M799" t="s">
        <v>438</v>
      </c>
      <c r="Y799" t="s">
        <v>545</v>
      </c>
    </row>
    <row r="800" spans="1:25">
      <c r="A800" t="s">
        <v>693</v>
      </c>
      <c r="B800">
        <v>2950.1954420653201</v>
      </c>
      <c r="C800">
        <v>20</v>
      </c>
      <c r="D800" t="s">
        <v>687</v>
      </c>
      <c r="E800">
        <v>25</v>
      </c>
      <c r="L800" t="s">
        <v>448</v>
      </c>
      <c r="Y800" t="s">
        <v>545</v>
      </c>
    </row>
    <row r="801" spans="1:25">
      <c r="A801" t="s">
        <v>693</v>
      </c>
      <c r="B801">
        <v>2951.7986110576599</v>
      </c>
      <c r="C801">
        <v>17</v>
      </c>
      <c r="D801" t="s">
        <v>27</v>
      </c>
      <c r="E801">
        <v>34</v>
      </c>
      <c r="U801" t="s">
        <v>14</v>
      </c>
      <c r="Y801" t="s">
        <v>545</v>
      </c>
    </row>
    <row r="802" spans="1:25">
      <c r="A802" t="s">
        <v>693</v>
      </c>
      <c r="B802">
        <v>2952.5987065643299</v>
      </c>
      <c r="C802">
        <v>15</v>
      </c>
      <c r="D802" t="s">
        <v>35</v>
      </c>
      <c r="E802">
        <v>7</v>
      </c>
      <c r="Y802" t="s">
        <v>545</v>
      </c>
    </row>
    <row r="803" spans="1:25">
      <c r="A803" t="s">
        <v>693</v>
      </c>
      <c r="B803">
        <v>2955.7986110576599</v>
      </c>
      <c r="C803">
        <v>8.2988424403279097</v>
      </c>
      <c r="D803" t="s">
        <v>18</v>
      </c>
      <c r="E803">
        <v>64</v>
      </c>
      <c r="Y803" t="s">
        <v>545</v>
      </c>
    </row>
    <row r="804" spans="1:25">
      <c r="A804" t="s">
        <v>693</v>
      </c>
      <c r="B804">
        <v>2964.09745349799</v>
      </c>
      <c r="C804">
        <v>18.175269564006999</v>
      </c>
      <c r="D804" t="s">
        <v>10</v>
      </c>
      <c r="E804">
        <v>56</v>
      </c>
      <c r="Y804" t="s">
        <v>545</v>
      </c>
    </row>
    <row r="805" spans="1:25">
      <c r="A805" t="s">
        <v>693</v>
      </c>
      <c r="B805">
        <v>2975.2727230619998</v>
      </c>
      <c r="C805">
        <v>17</v>
      </c>
      <c r="D805" t="s">
        <v>11</v>
      </c>
      <c r="E805">
        <v>24</v>
      </c>
      <c r="T805" t="s">
        <v>16</v>
      </c>
      <c r="Y805" t="s">
        <v>545</v>
      </c>
    </row>
    <row r="806" spans="1:25">
      <c r="A806" t="s">
        <v>693</v>
      </c>
      <c r="B806">
        <v>2979.2727230619998</v>
      </c>
      <c r="C806">
        <v>15.1261141019977</v>
      </c>
      <c r="D806" t="s">
        <v>9</v>
      </c>
      <c r="E806">
        <v>69</v>
      </c>
      <c r="Y806" t="s">
        <v>545</v>
      </c>
    </row>
    <row r="807" spans="1:25">
      <c r="A807" t="s">
        <v>693</v>
      </c>
      <c r="B807">
        <v>2980.1977618743199</v>
      </c>
      <c r="C807">
        <v>20</v>
      </c>
      <c r="D807" t="s">
        <v>770</v>
      </c>
      <c r="E807">
        <v>23</v>
      </c>
      <c r="K807" t="s">
        <v>441</v>
      </c>
      <c r="M807" t="s">
        <v>613</v>
      </c>
      <c r="Y807" t="s">
        <v>545</v>
      </c>
    </row>
    <row r="808" spans="1:25">
      <c r="A808" t="s">
        <v>693</v>
      </c>
      <c r="B808">
        <v>2982.2727230619998</v>
      </c>
      <c r="C808">
        <v>12.1261141019977</v>
      </c>
      <c r="D808" t="s">
        <v>19</v>
      </c>
      <c r="E808">
        <v>57</v>
      </c>
      <c r="Y808" t="s">
        <v>545</v>
      </c>
    </row>
    <row r="809" spans="1:25">
      <c r="A809" t="s">
        <v>693</v>
      </c>
      <c r="B809">
        <v>2983.7975780029901</v>
      </c>
      <c r="C809">
        <v>20</v>
      </c>
      <c r="D809" t="s">
        <v>637</v>
      </c>
      <c r="E809">
        <v>36</v>
      </c>
      <c r="K809" t="s">
        <v>432</v>
      </c>
      <c r="M809" t="s">
        <v>615</v>
      </c>
      <c r="Y809" t="s">
        <v>545</v>
      </c>
    </row>
    <row r="810" spans="1:25">
      <c r="A810" t="s">
        <v>693</v>
      </c>
      <c r="B810">
        <v>2994.3988371639898</v>
      </c>
      <c r="C810">
        <v>9.1959410296722108</v>
      </c>
      <c r="D810" t="s">
        <v>10</v>
      </c>
      <c r="E810">
        <v>57</v>
      </c>
      <c r="Y810" t="s">
        <v>545</v>
      </c>
    </row>
    <row r="811" spans="1:25">
      <c r="A811" t="s">
        <v>693</v>
      </c>
      <c r="B811">
        <v>2996.5947781936602</v>
      </c>
      <c r="C811">
        <v>17</v>
      </c>
      <c r="D811" t="s">
        <v>11</v>
      </c>
      <c r="E811">
        <v>25</v>
      </c>
      <c r="T811" t="s">
        <v>12</v>
      </c>
      <c r="U811" t="s">
        <v>195</v>
      </c>
      <c r="Y811" t="s">
        <v>545</v>
      </c>
    </row>
    <row r="812" spans="1:25">
      <c r="A812" t="s">
        <v>693</v>
      </c>
      <c r="B812">
        <v>3000.5947781936602</v>
      </c>
      <c r="C812">
        <v>23.004163448330399</v>
      </c>
      <c r="D812" t="s">
        <v>9</v>
      </c>
      <c r="E812">
        <v>70</v>
      </c>
      <c r="Y812" t="s">
        <v>545</v>
      </c>
    </row>
    <row r="813" spans="1:25">
      <c r="A813" t="s">
        <v>693</v>
      </c>
      <c r="B813">
        <v>3003.266117008</v>
      </c>
      <c r="C813">
        <v>20</v>
      </c>
      <c r="D813" t="s">
        <v>795</v>
      </c>
      <c r="E813">
        <v>19</v>
      </c>
      <c r="K813" t="s">
        <v>441</v>
      </c>
      <c r="M813" t="s">
        <v>613</v>
      </c>
      <c r="Y813" t="s">
        <v>545</v>
      </c>
    </row>
    <row r="814" spans="1:25">
      <c r="A814" t="s">
        <v>693</v>
      </c>
      <c r="B814">
        <v>3003.5947781936602</v>
      </c>
      <c r="C814">
        <v>58.890285420330201</v>
      </c>
      <c r="D814" t="s">
        <v>19</v>
      </c>
      <c r="E814">
        <v>58</v>
      </c>
      <c r="Y814" t="s">
        <v>545</v>
      </c>
    </row>
    <row r="815" spans="1:25">
      <c r="A815" t="s">
        <v>693</v>
      </c>
      <c r="B815">
        <v>3005.2324970029999</v>
      </c>
      <c r="C815">
        <v>20</v>
      </c>
      <c r="D815" t="s">
        <v>642</v>
      </c>
      <c r="E815">
        <v>3</v>
      </c>
      <c r="I815" t="s">
        <v>439</v>
      </c>
      <c r="M815" t="s">
        <v>443</v>
      </c>
      <c r="Y815" t="s">
        <v>545</v>
      </c>
    </row>
    <row r="816" spans="1:25">
      <c r="A816" t="s">
        <v>693</v>
      </c>
      <c r="B816">
        <v>3005.3989236429902</v>
      </c>
      <c r="C816">
        <v>18.200017999003101</v>
      </c>
      <c r="D816" t="s">
        <v>42</v>
      </c>
      <c r="E816">
        <v>2</v>
      </c>
      <c r="R816" t="s">
        <v>20</v>
      </c>
      <c r="Y816" t="s">
        <v>545</v>
      </c>
    </row>
    <row r="817" spans="1:25">
      <c r="A817" t="s">
        <v>693</v>
      </c>
      <c r="B817">
        <v>3013.2834532010002</v>
      </c>
      <c r="C817">
        <v>20</v>
      </c>
      <c r="D817" t="s">
        <v>743</v>
      </c>
      <c r="E817">
        <v>41</v>
      </c>
      <c r="K817" t="s">
        <v>432</v>
      </c>
      <c r="M817" t="s">
        <v>615</v>
      </c>
      <c r="Y817" t="s">
        <v>545</v>
      </c>
    </row>
    <row r="818" spans="1:25">
      <c r="A818" t="s">
        <v>693</v>
      </c>
      <c r="B818">
        <v>3015.1992918440001</v>
      </c>
      <c r="C818">
        <v>20</v>
      </c>
      <c r="D818" t="s">
        <v>777</v>
      </c>
      <c r="E818">
        <v>36</v>
      </c>
      <c r="I818" t="s">
        <v>440</v>
      </c>
      <c r="M818" t="s">
        <v>438</v>
      </c>
      <c r="Y818" t="s">
        <v>545</v>
      </c>
    </row>
    <row r="819" spans="1:25">
      <c r="A819" t="s">
        <v>693</v>
      </c>
      <c r="B819">
        <v>3016.5989416420002</v>
      </c>
      <c r="C819">
        <v>17</v>
      </c>
      <c r="D819" t="s">
        <v>27</v>
      </c>
      <c r="E819">
        <v>35</v>
      </c>
      <c r="U819" t="s">
        <v>28</v>
      </c>
      <c r="Y819" t="s">
        <v>545</v>
      </c>
    </row>
    <row r="820" spans="1:25">
      <c r="A820" t="s">
        <v>693</v>
      </c>
      <c r="B820">
        <v>3019.0974260070002</v>
      </c>
      <c r="C820">
        <v>20</v>
      </c>
      <c r="D820" t="s">
        <v>638</v>
      </c>
      <c r="E820">
        <v>47</v>
      </c>
      <c r="I820" t="s">
        <v>439</v>
      </c>
      <c r="M820" t="s">
        <v>604</v>
      </c>
      <c r="Y820" t="s">
        <v>545</v>
      </c>
    </row>
    <row r="821" spans="1:25">
      <c r="A821" t="s">
        <v>693</v>
      </c>
      <c r="B821">
        <v>3020.5989416420002</v>
      </c>
      <c r="C821">
        <v>41.8861219719997</v>
      </c>
      <c r="D821" t="s">
        <v>18</v>
      </c>
      <c r="E821">
        <v>65</v>
      </c>
      <c r="Y821" t="s">
        <v>545</v>
      </c>
    </row>
    <row r="822" spans="1:25">
      <c r="A822" t="s">
        <v>693</v>
      </c>
      <c r="B822">
        <v>3022.29841902832</v>
      </c>
      <c r="C822">
        <v>20</v>
      </c>
      <c r="D822" t="s">
        <v>770</v>
      </c>
      <c r="E822">
        <v>24</v>
      </c>
      <c r="H822" t="s">
        <v>445</v>
      </c>
      <c r="I822" t="s">
        <v>440</v>
      </c>
      <c r="M822" t="s">
        <v>604</v>
      </c>
      <c r="Y822" t="s">
        <v>545</v>
      </c>
    </row>
    <row r="823" spans="1:25">
      <c r="A823" t="s">
        <v>693</v>
      </c>
      <c r="B823">
        <v>3022.89813926132</v>
      </c>
      <c r="C823">
        <v>20</v>
      </c>
      <c r="D823" t="s">
        <v>777</v>
      </c>
      <c r="E823">
        <v>37</v>
      </c>
      <c r="I823" t="s">
        <v>439</v>
      </c>
      <c r="M823" t="s">
        <v>604</v>
      </c>
      <c r="Y823" t="s">
        <v>545</v>
      </c>
    </row>
    <row r="824" spans="1:25">
      <c r="A824" t="s">
        <v>693</v>
      </c>
      <c r="B824">
        <v>3023.2982326456599</v>
      </c>
      <c r="C824">
        <v>24.4679564178386</v>
      </c>
      <c r="D824" t="s">
        <v>121</v>
      </c>
      <c r="E824">
        <v>31</v>
      </c>
      <c r="P824" t="s">
        <v>29</v>
      </c>
      <c r="R824" t="s">
        <v>20</v>
      </c>
      <c r="Y824" t="s">
        <v>545</v>
      </c>
    </row>
    <row r="825" spans="1:25">
      <c r="A825" t="s">
        <v>693</v>
      </c>
      <c r="B825">
        <v>3025.29778727132</v>
      </c>
      <c r="C825">
        <v>20</v>
      </c>
      <c r="D825" t="s">
        <v>743</v>
      </c>
      <c r="E825">
        <v>42</v>
      </c>
      <c r="H825" t="s">
        <v>746</v>
      </c>
      <c r="I825" t="s">
        <v>439</v>
      </c>
      <c r="M825" t="s">
        <v>747</v>
      </c>
      <c r="Y825" t="s">
        <v>545</v>
      </c>
    </row>
    <row r="826" spans="1:25">
      <c r="A826" t="s">
        <v>693</v>
      </c>
      <c r="B826">
        <v>3030.5987911459902</v>
      </c>
      <c r="C826">
        <v>20</v>
      </c>
      <c r="D826" t="s">
        <v>33</v>
      </c>
      <c r="E826">
        <v>16</v>
      </c>
      <c r="Y826" t="s">
        <v>545</v>
      </c>
    </row>
    <row r="827" spans="1:25">
      <c r="A827" t="s">
        <v>693</v>
      </c>
      <c r="B827">
        <v>3030.8945234273301</v>
      </c>
      <c r="C827">
        <v>20</v>
      </c>
      <c r="D827" t="s">
        <v>36</v>
      </c>
      <c r="E827">
        <v>8</v>
      </c>
      <c r="N827">
        <v>86</v>
      </c>
      <c r="O827">
        <v>26</v>
      </c>
      <c r="Q827" t="s">
        <v>705</v>
      </c>
      <c r="Y827" t="s">
        <v>545</v>
      </c>
    </row>
    <row r="828" spans="1:25">
      <c r="A828" t="s">
        <v>693</v>
      </c>
      <c r="B828">
        <v>3032.3991208873299</v>
      </c>
      <c r="C828">
        <v>13.4954025399988</v>
      </c>
      <c r="D828" t="s">
        <v>32</v>
      </c>
      <c r="E828">
        <v>23</v>
      </c>
      <c r="R828" t="s">
        <v>20</v>
      </c>
      <c r="Y828" t="s">
        <v>545</v>
      </c>
    </row>
    <row r="829" spans="1:25">
      <c r="A829" t="s">
        <v>693</v>
      </c>
      <c r="B829">
        <v>3033.6820583949998</v>
      </c>
      <c r="C829">
        <v>20</v>
      </c>
      <c r="D829" t="s">
        <v>135</v>
      </c>
      <c r="E829">
        <v>8</v>
      </c>
      <c r="Y829" t="s">
        <v>545</v>
      </c>
    </row>
    <row r="830" spans="1:25">
      <c r="A830" t="s">
        <v>693</v>
      </c>
      <c r="B830">
        <v>3033.9678887569999</v>
      </c>
      <c r="C830">
        <v>20</v>
      </c>
      <c r="D830" t="s">
        <v>795</v>
      </c>
      <c r="E830">
        <v>20</v>
      </c>
      <c r="H830" t="s">
        <v>674</v>
      </c>
      <c r="L830" t="s">
        <v>448</v>
      </c>
      <c r="M830" t="s">
        <v>543</v>
      </c>
      <c r="Y830" t="s">
        <v>545</v>
      </c>
    </row>
    <row r="831" spans="1:25">
      <c r="A831" t="s">
        <v>693</v>
      </c>
      <c r="B831">
        <v>3035.8945234273301</v>
      </c>
      <c r="C831">
        <v>15</v>
      </c>
      <c r="D831" t="s">
        <v>35</v>
      </c>
      <c r="E831">
        <v>8</v>
      </c>
      <c r="Y831" t="s">
        <v>545</v>
      </c>
    </row>
    <row r="832" spans="1:25">
      <c r="A832" t="s">
        <v>693</v>
      </c>
      <c r="B832">
        <v>3040.2267221030002</v>
      </c>
      <c r="C832">
        <v>20</v>
      </c>
      <c r="D832" t="s">
        <v>788</v>
      </c>
      <c r="E832">
        <v>3</v>
      </c>
      <c r="I832" t="s">
        <v>440</v>
      </c>
      <c r="M832" t="s">
        <v>438</v>
      </c>
      <c r="Y832" t="s">
        <v>545</v>
      </c>
    </row>
    <row r="833" spans="1:25">
      <c r="A833" t="s">
        <v>693</v>
      </c>
      <c r="B833">
        <v>3042.0983430289898</v>
      </c>
      <c r="C833">
        <v>20</v>
      </c>
      <c r="D833" t="s">
        <v>791</v>
      </c>
      <c r="E833">
        <v>3</v>
      </c>
      <c r="I833" t="s">
        <v>53</v>
      </c>
      <c r="M833" t="s">
        <v>443</v>
      </c>
      <c r="Y833" t="s">
        <v>545</v>
      </c>
    </row>
    <row r="834" spans="1:25">
      <c r="A834" t="s">
        <v>693</v>
      </c>
      <c r="B834">
        <v>3042.1988997143299</v>
      </c>
      <c r="C834">
        <v>20</v>
      </c>
      <c r="D834" t="s">
        <v>34</v>
      </c>
      <c r="E834">
        <v>7</v>
      </c>
      <c r="R834" t="s">
        <v>23</v>
      </c>
      <c r="Y834" t="s">
        <v>545</v>
      </c>
    </row>
    <row r="835" spans="1:25">
      <c r="A835" t="s">
        <v>693</v>
      </c>
      <c r="B835">
        <v>3047.7981025583199</v>
      </c>
      <c r="C835">
        <v>20</v>
      </c>
      <c r="D835" t="s">
        <v>642</v>
      </c>
      <c r="E835">
        <v>4</v>
      </c>
      <c r="J835" t="s">
        <v>223</v>
      </c>
      <c r="K835" t="s">
        <v>441</v>
      </c>
      <c r="M835" t="s">
        <v>613</v>
      </c>
      <c r="Y835" t="s">
        <v>545</v>
      </c>
    </row>
    <row r="836" spans="1:25">
      <c r="A836" t="s">
        <v>693</v>
      </c>
      <c r="B836">
        <v>3062.485063614</v>
      </c>
      <c r="C836">
        <v>21.2729001850002</v>
      </c>
      <c r="D836" t="s">
        <v>10</v>
      </c>
      <c r="E836">
        <v>58</v>
      </c>
      <c r="Y836" t="s">
        <v>545</v>
      </c>
    </row>
    <row r="837" spans="1:25">
      <c r="A837" t="s">
        <v>693</v>
      </c>
      <c r="B837">
        <v>3076.7579637990002</v>
      </c>
      <c r="C837">
        <v>17</v>
      </c>
      <c r="D837" t="s">
        <v>11</v>
      </c>
      <c r="E837">
        <v>26</v>
      </c>
      <c r="T837" t="s">
        <v>13</v>
      </c>
      <c r="Y837" t="s">
        <v>545</v>
      </c>
    </row>
    <row r="838" spans="1:25">
      <c r="A838" t="s">
        <v>693</v>
      </c>
      <c r="B838">
        <v>3077.8143657290002</v>
      </c>
      <c r="C838">
        <v>20</v>
      </c>
      <c r="D838" t="s">
        <v>788</v>
      </c>
      <c r="E838">
        <v>4</v>
      </c>
      <c r="K838" t="s">
        <v>432</v>
      </c>
      <c r="M838" t="s">
        <v>613</v>
      </c>
      <c r="Y838" t="s">
        <v>545</v>
      </c>
    </row>
    <row r="839" spans="1:25">
      <c r="A839" t="s">
        <v>693</v>
      </c>
      <c r="B839">
        <v>3080.09921415699</v>
      </c>
      <c r="C839">
        <v>17.496210687002002</v>
      </c>
      <c r="D839" t="s">
        <v>44</v>
      </c>
      <c r="E839">
        <v>1</v>
      </c>
      <c r="R839" t="s">
        <v>23</v>
      </c>
      <c r="Y839" t="s">
        <v>545</v>
      </c>
    </row>
    <row r="840" spans="1:25">
      <c r="A840" t="s">
        <v>693</v>
      </c>
      <c r="B840">
        <v>3080.4379317550001</v>
      </c>
      <c r="C840">
        <v>20</v>
      </c>
      <c r="D840" t="s">
        <v>41</v>
      </c>
      <c r="E840">
        <v>10</v>
      </c>
      <c r="Y840" t="s">
        <v>545</v>
      </c>
    </row>
    <row r="841" spans="1:25">
      <c r="A841" t="s">
        <v>693</v>
      </c>
      <c r="B841">
        <v>3080.7579637990002</v>
      </c>
      <c r="C841">
        <v>16.837461044996399</v>
      </c>
      <c r="D841" t="s">
        <v>9</v>
      </c>
      <c r="E841">
        <v>71</v>
      </c>
      <c r="Y841" t="s">
        <v>545</v>
      </c>
    </row>
    <row r="842" spans="1:25">
      <c r="A842" t="s">
        <v>693</v>
      </c>
      <c r="B842">
        <v>3083.7579637990002</v>
      </c>
      <c r="C842">
        <v>81.940310384325997</v>
      </c>
      <c r="D842" t="s">
        <v>19</v>
      </c>
      <c r="E842">
        <v>59</v>
      </c>
      <c r="Y842" t="s">
        <v>545</v>
      </c>
    </row>
    <row r="843" spans="1:25">
      <c r="A843" t="s">
        <v>693</v>
      </c>
      <c r="B843">
        <v>3086.1929566869999</v>
      </c>
      <c r="C843">
        <v>20</v>
      </c>
      <c r="D843" t="s">
        <v>788</v>
      </c>
      <c r="E843">
        <v>5</v>
      </c>
      <c r="K843" t="s">
        <v>441</v>
      </c>
      <c r="M843" t="s">
        <v>613</v>
      </c>
      <c r="Y843" t="s">
        <v>545</v>
      </c>
    </row>
    <row r="844" spans="1:25">
      <c r="A844" t="s">
        <v>693</v>
      </c>
      <c r="B844">
        <v>3087.263729884</v>
      </c>
      <c r="C844">
        <v>20</v>
      </c>
      <c r="D844" t="s">
        <v>637</v>
      </c>
      <c r="E844">
        <v>37</v>
      </c>
      <c r="H844" t="s">
        <v>336</v>
      </c>
      <c r="I844" t="s">
        <v>440</v>
      </c>
      <c r="J844" t="s">
        <v>49</v>
      </c>
      <c r="M844" t="s">
        <v>635</v>
      </c>
      <c r="Y844" t="s">
        <v>545</v>
      </c>
    </row>
    <row r="845" spans="1:25">
      <c r="A845" t="s">
        <v>693</v>
      </c>
      <c r="B845">
        <v>3090.5954248439898</v>
      </c>
      <c r="C845">
        <v>17</v>
      </c>
      <c r="D845" t="s">
        <v>27</v>
      </c>
      <c r="E845">
        <v>36</v>
      </c>
      <c r="U845" t="s">
        <v>695</v>
      </c>
      <c r="Y845" t="s">
        <v>545</v>
      </c>
    </row>
    <row r="846" spans="1:25">
      <c r="A846" t="s">
        <v>693</v>
      </c>
      <c r="B846">
        <v>3093.0177671030001</v>
      </c>
      <c r="C846">
        <v>20</v>
      </c>
      <c r="D846" t="s">
        <v>642</v>
      </c>
      <c r="E846">
        <v>5</v>
      </c>
      <c r="I846" t="s">
        <v>440</v>
      </c>
      <c r="M846" t="s">
        <v>604</v>
      </c>
      <c r="Y846" t="s">
        <v>545</v>
      </c>
    </row>
    <row r="847" spans="1:25">
      <c r="A847" t="s">
        <v>693</v>
      </c>
      <c r="B847">
        <v>3094.5954248439898</v>
      </c>
      <c r="C847">
        <v>21.3663665210033</v>
      </c>
      <c r="D847" t="s">
        <v>18</v>
      </c>
      <c r="E847">
        <v>66</v>
      </c>
      <c r="Y847" t="s">
        <v>545</v>
      </c>
    </row>
    <row r="848" spans="1:25">
      <c r="A848" t="s">
        <v>693</v>
      </c>
      <c r="B848">
        <v>3097.8903877716598</v>
      </c>
      <c r="C848">
        <v>20</v>
      </c>
      <c r="D848" t="s">
        <v>638</v>
      </c>
      <c r="E848">
        <v>48</v>
      </c>
      <c r="I848" t="s">
        <v>447</v>
      </c>
      <c r="M848" t="s">
        <v>605</v>
      </c>
      <c r="Y848" t="s">
        <v>545</v>
      </c>
    </row>
    <row r="849" spans="1:25">
      <c r="A849" t="s">
        <v>693</v>
      </c>
      <c r="B849">
        <v>3098.0929994979901</v>
      </c>
      <c r="C849">
        <v>15.9055308616721</v>
      </c>
      <c r="D849" t="s">
        <v>121</v>
      </c>
      <c r="E849">
        <v>32</v>
      </c>
      <c r="P849" t="s">
        <v>31</v>
      </c>
      <c r="R849" t="s">
        <v>23</v>
      </c>
      <c r="Y849" t="s">
        <v>545</v>
      </c>
    </row>
    <row r="850" spans="1:25">
      <c r="A850" t="s">
        <v>693</v>
      </c>
      <c r="B850">
        <v>3103.1338395480002</v>
      </c>
      <c r="C850">
        <v>20</v>
      </c>
      <c r="D850" t="s">
        <v>795</v>
      </c>
      <c r="E850">
        <v>21</v>
      </c>
      <c r="H850" t="s">
        <v>336</v>
      </c>
      <c r="I850" t="s">
        <v>542</v>
      </c>
      <c r="M850" t="s">
        <v>612</v>
      </c>
      <c r="Y850" t="s">
        <v>545</v>
      </c>
    </row>
    <row r="851" spans="1:25">
      <c r="A851" t="s">
        <v>693</v>
      </c>
      <c r="B851">
        <v>3108.961791365</v>
      </c>
      <c r="C851">
        <v>17</v>
      </c>
      <c r="D851" t="s">
        <v>40</v>
      </c>
      <c r="E851">
        <v>40</v>
      </c>
      <c r="U851" t="s">
        <v>195</v>
      </c>
      <c r="Y851" t="s">
        <v>545</v>
      </c>
    </row>
    <row r="852" spans="1:25">
      <c r="A852" t="s">
        <v>693</v>
      </c>
      <c r="B852">
        <v>3111.3980551156601</v>
      </c>
      <c r="C852">
        <v>20</v>
      </c>
      <c r="D852" t="s">
        <v>637</v>
      </c>
      <c r="E852">
        <v>38</v>
      </c>
      <c r="I852" t="s">
        <v>439</v>
      </c>
      <c r="J852" t="s">
        <v>49</v>
      </c>
      <c r="M852" t="s">
        <v>443</v>
      </c>
      <c r="Y852" t="s">
        <v>545</v>
      </c>
    </row>
    <row r="853" spans="1:25">
      <c r="A853" t="s">
        <v>693</v>
      </c>
      <c r="B853">
        <v>3112.961791365</v>
      </c>
      <c r="C853">
        <v>8.6491937569999209</v>
      </c>
      <c r="D853" t="s">
        <v>9</v>
      </c>
      <c r="E853">
        <v>72</v>
      </c>
      <c r="Y853" t="s">
        <v>545</v>
      </c>
    </row>
    <row r="854" spans="1:25">
      <c r="A854" t="s">
        <v>693</v>
      </c>
      <c r="B854">
        <v>3114.6109851219999</v>
      </c>
      <c r="C854">
        <v>17</v>
      </c>
      <c r="D854" t="s">
        <v>27</v>
      </c>
      <c r="E854">
        <v>37</v>
      </c>
      <c r="U854" t="s">
        <v>195</v>
      </c>
      <c r="Y854" t="s">
        <v>545</v>
      </c>
    </row>
    <row r="855" spans="1:25">
      <c r="A855" t="s">
        <v>693</v>
      </c>
      <c r="B855">
        <v>3118.6109851219999</v>
      </c>
      <c r="C855">
        <v>24.087697558332799</v>
      </c>
      <c r="D855" t="s">
        <v>18</v>
      </c>
      <c r="E855">
        <v>67</v>
      </c>
      <c r="Y855" t="s">
        <v>545</v>
      </c>
    </row>
    <row r="856" spans="1:25">
      <c r="A856" t="s">
        <v>693</v>
      </c>
      <c r="B856">
        <v>3123.89777639966</v>
      </c>
      <c r="C856">
        <v>20</v>
      </c>
      <c r="D856" t="s">
        <v>637</v>
      </c>
      <c r="E856">
        <v>39</v>
      </c>
      <c r="I856" t="s">
        <v>440</v>
      </c>
      <c r="M856" t="s">
        <v>438</v>
      </c>
      <c r="Y856" t="s">
        <v>545</v>
      </c>
    </row>
    <row r="857" spans="1:25">
      <c r="A857" t="s">
        <v>693</v>
      </c>
      <c r="B857">
        <v>3124.8993250266699</v>
      </c>
      <c r="C857">
        <v>20</v>
      </c>
      <c r="D857" t="s">
        <v>743</v>
      </c>
      <c r="E857">
        <v>43</v>
      </c>
      <c r="I857" t="s">
        <v>439</v>
      </c>
      <c r="M857" t="s">
        <v>604</v>
      </c>
      <c r="Y857" t="s">
        <v>545</v>
      </c>
    </row>
    <row r="858" spans="1:25">
      <c r="A858" t="s">
        <v>693</v>
      </c>
      <c r="B858">
        <v>3127.4982372729901</v>
      </c>
      <c r="C858">
        <v>20</v>
      </c>
      <c r="D858" t="s">
        <v>793</v>
      </c>
      <c r="E858">
        <v>1</v>
      </c>
      <c r="I858" t="s">
        <v>439</v>
      </c>
      <c r="M858" t="s">
        <v>443</v>
      </c>
      <c r="Y858" t="s">
        <v>545</v>
      </c>
    </row>
    <row r="859" spans="1:25">
      <c r="A859" t="s">
        <v>693</v>
      </c>
      <c r="B859">
        <v>3135.69868268033</v>
      </c>
      <c r="C859">
        <v>17</v>
      </c>
      <c r="D859" t="s">
        <v>40</v>
      </c>
      <c r="E859">
        <v>41</v>
      </c>
      <c r="U859" t="s">
        <v>195</v>
      </c>
      <c r="Y859" t="s">
        <v>545</v>
      </c>
    </row>
    <row r="860" spans="1:25">
      <c r="A860" t="s">
        <v>693</v>
      </c>
      <c r="B860">
        <v>3138.2518846990001</v>
      </c>
      <c r="C860">
        <v>20</v>
      </c>
      <c r="D860" t="s">
        <v>770</v>
      </c>
      <c r="E860">
        <v>25</v>
      </c>
      <c r="J860" t="s">
        <v>335</v>
      </c>
      <c r="M860" t="s">
        <v>615</v>
      </c>
      <c r="Y860" t="s">
        <v>545</v>
      </c>
    </row>
    <row r="861" spans="1:25">
      <c r="A861" t="s">
        <v>693</v>
      </c>
      <c r="B861">
        <v>3139.69868268033</v>
      </c>
      <c r="C861">
        <v>9.2958519619978599</v>
      </c>
      <c r="D861" t="s">
        <v>9</v>
      </c>
      <c r="E861">
        <v>73</v>
      </c>
      <c r="Y861" t="s">
        <v>545</v>
      </c>
    </row>
    <row r="862" spans="1:25">
      <c r="A862" t="s">
        <v>693</v>
      </c>
      <c r="B862">
        <v>3140.6348337999998</v>
      </c>
      <c r="C862">
        <v>20</v>
      </c>
      <c r="D862" t="s">
        <v>795</v>
      </c>
      <c r="E862">
        <v>22</v>
      </c>
      <c r="I862" t="s">
        <v>542</v>
      </c>
      <c r="K862" t="s">
        <v>441</v>
      </c>
      <c r="M862" t="s">
        <v>618</v>
      </c>
      <c r="Y862" t="s">
        <v>545</v>
      </c>
    </row>
    <row r="863" spans="1:25">
      <c r="A863" t="s">
        <v>693</v>
      </c>
      <c r="B863">
        <v>3141.9945346423301</v>
      </c>
      <c r="C863">
        <v>17</v>
      </c>
      <c r="D863" t="s">
        <v>27</v>
      </c>
      <c r="E863">
        <v>38</v>
      </c>
      <c r="U863" t="s">
        <v>696</v>
      </c>
      <c r="Y863" t="s">
        <v>545</v>
      </c>
    </row>
    <row r="864" spans="1:25">
      <c r="A864" t="s">
        <v>693</v>
      </c>
      <c r="B864">
        <v>3142.5983594743302</v>
      </c>
      <c r="C864">
        <v>20</v>
      </c>
      <c r="D864" t="s">
        <v>687</v>
      </c>
      <c r="E864">
        <v>26</v>
      </c>
      <c r="H864" t="s">
        <v>460</v>
      </c>
      <c r="M864" t="s">
        <v>433</v>
      </c>
      <c r="Y864" t="s">
        <v>545</v>
      </c>
    </row>
    <row r="865" spans="1:25">
      <c r="A865" t="s">
        <v>693</v>
      </c>
      <c r="B865">
        <v>3143.2993321213298</v>
      </c>
      <c r="C865">
        <v>20</v>
      </c>
      <c r="D865" t="s">
        <v>33</v>
      </c>
      <c r="E865">
        <v>17</v>
      </c>
      <c r="Y865" t="s">
        <v>545</v>
      </c>
    </row>
    <row r="866" spans="1:25">
      <c r="A866" t="s">
        <v>693</v>
      </c>
      <c r="B866">
        <v>3145.9945346423301</v>
      </c>
      <c r="C866">
        <v>14.1176924906694</v>
      </c>
      <c r="D866" t="s">
        <v>18</v>
      </c>
      <c r="E866">
        <v>68</v>
      </c>
      <c r="Y866" t="s">
        <v>545</v>
      </c>
    </row>
    <row r="867" spans="1:25">
      <c r="A867" t="s">
        <v>693</v>
      </c>
      <c r="B867">
        <v>3153.112227133</v>
      </c>
      <c r="C867">
        <v>17</v>
      </c>
      <c r="D867" t="s">
        <v>40</v>
      </c>
      <c r="E867">
        <v>42</v>
      </c>
      <c r="U867" t="s">
        <v>14</v>
      </c>
      <c r="Y867" t="s">
        <v>545</v>
      </c>
    </row>
    <row r="868" spans="1:25">
      <c r="A868" t="s">
        <v>693</v>
      </c>
      <c r="B868">
        <v>3157.112227133</v>
      </c>
      <c r="C868">
        <v>8.5860470503262096</v>
      </c>
      <c r="D868" t="s">
        <v>9</v>
      </c>
      <c r="E868">
        <v>74</v>
      </c>
      <c r="Y868" t="s">
        <v>545</v>
      </c>
    </row>
    <row r="869" spans="1:25">
      <c r="A869" t="s">
        <v>693</v>
      </c>
      <c r="B869">
        <v>3162.49804811699</v>
      </c>
      <c r="C869">
        <v>20</v>
      </c>
      <c r="D869" t="s">
        <v>788</v>
      </c>
      <c r="E869">
        <v>6</v>
      </c>
      <c r="I869" t="s">
        <v>53</v>
      </c>
      <c r="M869" t="s">
        <v>605</v>
      </c>
      <c r="Y869" t="s">
        <v>545</v>
      </c>
    </row>
    <row r="870" spans="1:25">
      <c r="A870" t="s">
        <v>693</v>
      </c>
      <c r="B870">
        <v>3163.5973522586601</v>
      </c>
      <c r="C870">
        <v>17</v>
      </c>
      <c r="D870" t="s">
        <v>6</v>
      </c>
      <c r="E870">
        <v>26</v>
      </c>
      <c r="T870" t="s">
        <v>21</v>
      </c>
      <c r="U870" t="s">
        <v>14</v>
      </c>
      <c r="Y870" t="s">
        <v>545</v>
      </c>
    </row>
    <row r="871" spans="1:25">
      <c r="A871" t="s">
        <v>693</v>
      </c>
      <c r="B871">
        <v>3163.7972008173201</v>
      </c>
      <c r="C871">
        <v>20</v>
      </c>
      <c r="D871" t="s">
        <v>34</v>
      </c>
      <c r="E871">
        <v>8</v>
      </c>
      <c r="R871" t="s">
        <v>23</v>
      </c>
      <c r="Y871" t="s">
        <v>545</v>
      </c>
    </row>
    <row r="872" spans="1:25">
      <c r="A872" t="s">
        <v>693</v>
      </c>
      <c r="B872">
        <v>3165.6982741833199</v>
      </c>
      <c r="C872">
        <v>4.8990780753383598</v>
      </c>
      <c r="D872" t="s">
        <v>10</v>
      </c>
      <c r="E872">
        <v>59</v>
      </c>
      <c r="Y872" t="s">
        <v>545</v>
      </c>
    </row>
    <row r="873" spans="1:25">
      <c r="A873" t="s">
        <v>693</v>
      </c>
      <c r="B873">
        <v>3167.5973522586601</v>
      </c>
      <c r="C873">
        <v>7.2772340783353604</v>
      </c>
      <c r="D873" t="s">
        <v>18</v>
      </c>
      <c r="E873">
        <v>69</v>
      </c>
      <c r="Y873" t="s">
        <v>545</v>
      </c>
    </row>
    <row r="874" spans="1:25">
      <c r="A874" t="s">
        <v>693</v>
      </c>
      <c r="B874">
        <v>3170.5973522586601</v>
      </c>
      <c r="C874">
        <v>4.2772340783353604</v>
      </c>
      <c r="D874" t="s">
        <v>19</v>
      </c>
      <c r="E874">
        <v>60</v>
      </c>
      <c r="Y874" t="s">
        <v>545</v>
      </c>
    </row>
    <row r="875" spans="1:25">
      <c r="A875" t="s">
        <v>693</v>
      </c>
      <c r="B875">
        <v>3174.874586337</v>
      </c>
      <c r="C875">
        <v>28.423661327335999</v>
      </c>
      <c r="D875" t="s">
        <v>10</v>
      </c>
      <c r="E875">
        <v>60</v>
      </c>
      <c r="Y875" t="s">
        <v>545</v>
      </c>
    </row>
    <row r="876" spans="1:25">
      <c r="A876" t="s">
        <v>693</v>
      </c>
      <c r="B876">
        <v>3196.2982476643301</v>
      </c>
      <c r="C876">
        <v>17</v>
      </c>
      <c r="D876" t="s">
        <v>11</v>
      </c>
      <c r="E876">
        <v>27</v>
      </c>
      <c r="T876" t="s">
        <v>16</v>
      </c>
      <c r="Y876" t="s">
        <v>545</v>
      </c>
    </row>
    <row r="877" spans="1:25">
      <c r="A877" t="s">
        <v>693</v>
      </c>
      <c r="B877">
        <v>3196.4376292410002</v>
      </c>
      <c r="C877">
        <v>20</v>
      </c>
      <c r="D877" t="s">
        <v>642</v>
      </c>
      <c r="E877">
        <v>6</v>
      </c>
      <c r="K877" t="s">
        <v>48</v>
      </c>
      <c r="M877" t="s">
        <v>615</v>
      </c>
      <c r="Y877" t="s">
        <v>545</v>
      </c>
    </row>
    <row r="878" spans="1:25">
      <c r="A878" t="s">
        <v>693</v>
      </c>
      <c r="B878">
        <v>3200.2982476643301</v>
      </c>
      <c r="C878">
        <v>21.6986227283227</v>
      </c>
      <c r="D878" t="s">
        <v>9</v>
      </c>
      <c r="E878">
        <v>75</v>
      </c>
      <c r="Y878" t="s">
        <v>545</v>
      </c>
    </row>
    <row r="879" spans="1:25">
      <c r="A879" t="s">
        <v>693</v>
      </c>
      <c r="B879">
        <v>3203.2982476643301</v>
      </c>
      <c r="C879">
        <v>18.6986227283227</v>
      </c>
      <c r="D879" t="s">
        <v>19</v>
      </c>
      <c r="E879">
        <v>61</v>
      </c>
      <c r="Y879" t="s">
        <v>545</v>
      </c>
    </row>
    <row r="880" spans="1:25">
      <c r="A880" t="s">
        <v>693</v>
      </c>
      <c r="B880">
        <v>3204.1245639879999</v>
      </c>
      <c r="C880">
        <v>20</v>
      </c>
      <c r="D880" t="s">
        <v>791</v>
      </c>
      <c r="E880">
        <v>4</v>
      </c>
      <c r="J880" t="s">
        <v>223</v>
      </c>
      <c r="K880" t="s">
        <v>441</v>
      </c>
      <c r="M880" t="s">
        <v>613</v>
      </c>
      <c r="Y880" t="s">
        <v>545</v>
      </c>
    </row>
    <row r="881" spans="1:25">
      <c r="A881" t="s">
        <v>693</v>
      </c>
      <c r="B881">
        <v>3207.29833395266</v>
      </c>
      <c r="C881">
        <v>20</v>
      </c>
      <c r="D881" t="s">
        <v>41</v>
      </c>
      <c r="E881">
        <v>11</v>
      </c>
      <c r="Y881" t="s">
        <v>545</v>
      </c>
    </row>
    <row r="882" spans="1:25">
      <c r="A882" t="s">
        <v>693</v>
      </c>
      <c r="B882">
        <v>3221.9968703926502</v>
      </c>
      <c r="C882">
        <v>44.701093389671698</v>
      </c>
      <c r="D882" t="s">
        <v>10</v>
      </c>
      <c r="E882">
        <v>61</v>
      </c>
      <c r="Y882" t="s">
        <v>545</v>
      </c>
    </row>
    <row r="883" spans="1:25">
      <c r="A883" t="s">
        <v>693</v>
      </c>
      <c r="B883">
        <v>3259.6979637823301</v>
      </c>
      <c r="C883">
        <v>17</v>
      </c>
      <c r="D883" t="s">
        <v>11</v>
      </c>
      <c r="E883">
        <v>28</v>
      </c>
      <c r="T883" t="s">
        <v>13</v>
      </c>
      <c r="Y883" t="s">
        <v>545</v>
      </c>
    </row>
    <row r="884" spans="1:25">
      <c r="A884" t="s">
        <v>693</v>
      </c>
      <c r="B884">
        <v>3260.2991061633202</v>
      </c>
      <c r="C884">
        <v>20</v>
      </c>
      <c r="D884" t="s">
        <v>637</v>
      </c>
      <c r="E884">
        <v>40</v>
      </c>
      <c r="J884" t="s">
        <v>47</v>
      </c>
      <c r="Y884" t="s">
        <v>545</v>
      </c>
    </row>
    <row r="885" spans="1:25">
      <c r="A885" t="s">
        <v>693</v>
      </c>
      <c r="B885">
        <v>3260.3973797439899</v>
      </c>
      <c r="C885">
        <v>20</v>
      </c>
      <c r="D885" t="s">
        <v>770</v>
      </c>
      <c r="E885">
        <v>26</v>
      </c>
      <c r="H885" t="s">
        <v>5</v>
      </c>
      <c r="I885" t="s">
        <v>442</v>
      </c>
      <c r="M885" t="s">
        <v>635</v>
      </c>
      <c r="Y885" t="s">
        <v>545</v>
      </c>
    </row>
    <row r="886" spans="1:25">
      <c r="A886" t="s">
        <v>693</v>
      </c>
      <c r="B886">
        <v>3263.3929268100001</v>
      </c>
      <c r="C886">
        <v>17</v>
      </c>
      <c r="D886" t="s">
        <v>27</v>
      </c>
      <c r="E886">
        <v>39</v>
      </c>
      <c r="U886" t="s">
        <v>28</v>
      </c>
      <c r="Y886" t="s">
        <v>545</v>
      </c>
    </row>
    <row r="887" spans="1:25">
      <c r="A887" t="s">
        <v>693</v>
      </c>
      <c r="B887">
        <v>3263.6979637823301</v>
      </c>
      <c r="C887">
        <v>6.69496302767174</v>
      </c>
      <c r="D887" t="s">
        <v>9</v>
      </c>
      <c r="E887">
        <v>76</v>
      </c>
      <c r="Y887" t="s">
        <v>545</v>
      </c>
    </row>
    <row r="888" spans="1:25">
      <c r="A888" t="s">
        <v>693</v>
      </c>
      <c r="B888">
        <v>3264.9933763826598</v>
      </c>
      <c r="C888">
        <v>20</v>
      </c>
      <c r="D888" t="s">
        <v>777</v>
      </c>
      <c r="E888">
        <v>38</v>
      </c>
      <c r="I888" t="s">
        <v>447</v>
      </c>
      <c r="M888" t="s">
        <v>605</v>
      </c>
      <c r="Y888" t="s">
        <v>545</v>
      </c>
    </row>
    <row r="889" spans="1:25">
      <c r="A889" t="s">
        <v>693</v>
      </c>
      <c r="B889">
        <v>3266.6979637823301</v>
      </c>
      <c r="C889">
        <v>24.500785490668399</v>
      </c>
      <c r="D889" t="s">
        <v>19</v>
      </c>
      <c r="E889">
        <v>62</v>
      </c>
      <c r="Y889" t="s">
        <v>545</v>
      </c>
    </row>
    <row r="890" spans="1:25">
      <c r="A890" t="s">
        <v>693</v>
      </c>
      <c r="B890">
        <v>3267.3929268100001</v>
      </c>
      <c r="C890">
        <v>23.805822462996701</v>
      </c>
      <c r="D890" t="s">
        <v>18</v>
      </c>
      <c r="E890">
        <v>70</v>
      </c>
      <c r="Y890" t="s">
        <v>545</v>
      </c>
    </row>
    <row r="891" spans="1:25">
      <c r="A891" t="s">
        <v>693</v>
      </c>
      <c r="B891">
        <v>3273.4954377969798</v>
      </c>
      <c r="C891">
        <v>20</v>
      </c>
      <c r="D891" t="s">
        <v>638</v>
      </c>
      <c r="E891">
        <v>49</v>
      </c>
      <c r="G891" t="s">
        <v>449</v>
      </c>
      <c r="I891" t="s">
        <v>439</v>
      </c>
      <c r="M891" t="s">
        <v>443</v>
      </c>
      <c r="Y891" t="s">
        <v>545</v>
      </c>
    </row>
    <row r="892" spans="1:25">
      <c r="A892" t="s">
        <v>693</v>
      </c>
      <c r="B892">
        <v>3291.19874927299</v>
      </c>
      <c r="C892">
        <v>12.7992127909983</v>
      </c>
      <c r="D892" t="s">
        <v>10</v>
      </c>
      <c r="E892">
        <v>62</v>
      </c>
      <c r="Y892" t="s">
        <v>545</v>
      </c>
    </row>
    <row r="893" spans="1:25">
      <c r="A893" t="s">
        <v>693</v>
      </c>
      <c r="B893">
        <v>3296.9979620639901</v>
      </c>
      <c r="C893">
        <v>17</v>
      </c>
      <c r="D893" t="s">
        <v>11</v>
      </c>
      <c r="E893">
        <v>29</v>
      </c>
      <c r="T893" t="s">
        <v>12</v>
      </c>
      <c r="U893" t="s">
        <v>14</v>
      </c>
      <c r="Y893" t="s">
        <v>545</v>
      </c>
    </row>
    <row r="894" spans="1:25">
      <c r="A894" t="s">
        <v>693</v>
      </c>
      <c r="B894">
        <v>3300.9979620639901</v>
      </c>
      <c r="C894">
        <v>11.9130891910026</v>
      </c>
      <c r="D894" t="s">
        <v>9</v>
      </c>
      <c r="E894">
        <v>77</v>
      </c>
      <c r="Y894" t="s">
        <v>545</v>
      </c>
    </row>
    <row r="895" spans="1:25">
      <c r="A895" t="s">
        <v>693</v>
      </c>
      <c r="B895">
        <v>3303.9979620639901</v>
      </c>
      <c r="C895">
        <v>23.001369078664901</v>
      </c>
      <c r="D895" t="s">
        <v>19</v>
      </c>
      <c r="E895">
        <v>63</v>
      </c>
      <c r="Y895" t="s">
        <v>545</v>
      </c>
    </row>
    <row r="896" spans="1:25">
      <c r="A896" t="s">
        <v>693</v>
      </c>
      <c r="B896">
        <v>3304.6980076949899</v>
      </c>
      <c r="C896">
        <v>20</v>
      </c>
      <c r="D896" t="s">
        <v>743</v>
      </c>
      <c r="E896">
        <v>44</v>
      </c>
      <c r="I896" t="s">
        <v>440</v>
      </c>
      <c r="M896" t="s">
        <v>438</v>
      </c>
      <c r="Y896" t="s">
        <v>545</v>
      </c>
    </row>
    <row r="897" spans="1:25">
      <c r="A897" t="s">
        <v>693</v>
      </c>
      <c r="B897">
        <v>3305.9110512550001</v>
      </c>
      <c r="C897">
        <v>17</v>
      </c>
      <c r="D897" t="s">
        <v>27</v>
      </c>
      <c r="E897">
        <v>40</v>
      </c>
      <c r="U897" t="s">
        <v>28</v>
      </c>
      <c r="Y897" t="s">
        <v>545</v>
      </c>
    </row>
    <row r="898" spans="1:25">
      <c r="A898" t="s">
        <v>693</v>
      </c>
      <c r="B898">
        <v>3309.9110512550001</v>
      </c>
      <c r="C898">
        <v>17.088279887662299</v>
      </c>
      <c r="D898" t="s">
        <v>18</v>
      </c>
      <c r="E898">
        <v>71</v>
      </c>
      <c r="Y898" t="s">
        <v>545</v>
      </c>
    </row>
    <row r="899" spans="1:25">
      <c r="A899" t="s">
        <v>693</v>
      </c>
      <c r="B899">
        <v>3311.6987963716501</v>
      </c>
      <c r="C899">
        <v>20</v>
      </c>
      <c r="D899" t="s">
        <v>638</v>
      </c>
      <c r="E899">
        <v>50</v>
      </c>
      <c r="I899" t="s">
        <v>447</v>
      </c>
      <c r="M899" t="s">
        <v>604</v>
      </c>
      <c r="Y899" t="s">
        <v>545</v>
      </c>
    </row>
    <row r="900" spans="1:25">
      <c r="A900" t="s">
        <v>693</v>
      </c>
      <c r="B900">
        <v>3314.3807025010001</v>
      </c>
      <c r="C900">
        <v>20</v>
      </c>
      <c r="D900" t="s">
        <v>687</v>
      </c>
      <c r="E900">
        <v>27</v>
      </c>
      <c r="H900" t="s">
        <v>437</v>
      </c>
      <c r="I900" t="s">
        <v>442</v>
      </c>
      <c r="M900" t="s">
        <v>605</v>
      </c>
      <c r="Y900" t="s">
        <v>545</v>
      </c>
    </row>
    <row r="901" spans="1:25">
      <c r="A901" t="s">
        <v>693</v>
      </c>
      <c r="B901">
        <v>3315.9903841496598</v>
      </c>
      <c r="C901">
        <v>11.0089469929971</v>
      </c>
      <c r="D901" t="s">
        <v>121</v>
      </c>
      <c r="E901">
        <v>33</v>
      </c>
      <c r="P901" t="s">
        <v>31</v>
      </c>
      <c r="R901" t="s">
        <v>23</v>
      </c>
      <c r="Y901" t="s">
        <v>545</v>
      </c>
    </row>
    <row r="902" spans="1:25">
      <c r="A902" t="s">
        <v>693</v>
      </c>
      <c r="B902">
        <v>3326.9993311426601</v>
      </c>
      <c r="C902">
        <v>9.2998078086666194</v>
      </c>
      <c r="D902" t="s">
        <v>10</v>
      </c>
      <c r="E902">
        <v>63</v>
      </c>
      <c r="Y902" t="s">
        <v>545</v>
      </c>
    </row>
    <row r="903" spans="1:25">
      <c r="A903" t="s">
        <v>693</v>
      </c>
      <c r="B903">
        <v>3329.0723175359999</v>
      </c>
      <c r="C903">
        <v>20</v>
      </c>
      <c r="D903" t="s">
        <v>642</v>
      </c>
      <c r="E903">
        <v>7</v>
      </c>
      <c r="I903" t="s">
        <v>440</v>
      </c>
      <c r="M903" t="s">
        <v>438</v>
      </c>
      <c r="Y903" t="s">
        <v>545</v>
      </c>
    </row>
    <row r="904" spans="1:25">
      <c r="A904" t="s">
        <v>693</v>
      </c>
      <c r="B904">
        <v>3329.2991389513199</v>
      </c>
      <c r="C904">
        <v>17</v>
      </c>
      <c r="D904" t="s">
        <v>11</v>
      </c>
      <c r="E904">
        <v>30</v>
      </c>
      <c r="T904" t="s">
        <v>12</v>
      </c>
      <c r="Y904" t="s">
        <v>545</v>
      </c>
    </row>
    <row r="905" spans="1:25">
      <c r="A905" t="s">
        <v>693</v>
      </c>
      <c r="B905">
        <v>3329.7982226753202</v>
      </c>
      <c r="C905">
        <v>20</v>
      </c>
      <c r="D905" t="s">
        <v>638</v>
      </c>
      <c r="E905">
        <v>51</v>
      </c>
      <c r="I905" t="s">
        <v>447</v>
      </c>
      <c r="M905" t="s">
        <v>607</v>
      </c>
      <c r="Y905" t="s">
        <v>545</v>
      </c>
    </row>
    <row r="906" spans="1:25">
      <c r="A906" t="s">
        <v>693</v>
      </c>
      <c r="B906">
        <v>3331.5014642760002</v>
      </c>
      <c r="C906">
        <v>17</v>
      </c>
      <c r="D906" t="s">
        <v>27</v>
      </c>
      <c r="E906">
        <v>41</v>
      </c>
      <c r="U906" t="s">
        <v>28</v>
      </c>
      <c r="Y906" t="s">
        <v>545</v>
      </c>
    </row>
    <row r="907" spans="1:25">
      <c r="A907" t="s">
        <v>693</v>
      </c>
      <c r="B907">
        <v>3333.2991389513199</v>
      </c>
      <c r="C907">
        <v>5.2023253246711603</v>
      </c>
      <c r="D907" t="s">
        <v>9</v>
      </c>
      <c r="E907">
        <v>78</v>
      </c>
      <c r="Y907" t="s">
        <v>545</v>
      </c>
    </row>
    <row r="908" spans="1:25">
      <c r="A908" t="s">
        <v>693</v>
      </c>
      <c r="B908">
        <v>3335.5014642760002</v>
      </c>
      <c r="C908">
        <v>16.396353396663901</v>
      </c>
      <c r="D908" t="s">
        <v>18</v>
      </c>
      <c r="E908">
        <v>72</v>
      </c>
      <c r="Y908" t="s">
        <v>545</v>
      </c>
    </row>
    <row r="909" spans="1:25">
      <c r="A909" t="s">
        <v>693</v>
      </c>
      <c r="B909">
        <v>3336.017610677</v>
      </c>
      <c r="C909">
        <v>20</v>
      </c>
      <c r="D909" t="s">
        <v>795</v>
      </c>
      <c r="E909">
        <v>23</v>
      </c>
      <c r="H909" t="s">
        <v>621</v>
      </c>
      <c r="I909" t="s">
        <v>447</v>
      </c>
      <c r="M909" t="s">
        <v>605</v>
      </c>
      <c r="Y909" t="s">
        <v>545</v>
      </c>
    </row>
    <row r="910" spans="1:25">
      <c r="A910" t="s">
        <v>693</v>
      </c>
      <c r="B910">
        <v>3336.2991389513199</v>
      </c>
      <c r="C910">
        <v>22.799208616668199</v>
      </c>
      <c r="D910" t="s">
        <v>19</v>
      </c>
      <c r="E910">
        <v>64</v>
      </c>
      <c r="Y910" t="s">
        <v>545</v>
      </c>
    </row>
    <row r="911" spans="1:25">
      <c r="A911" t="s">
        <v>693</v>
      </c>
      <c r="B911">
        <v>3338.4986361809902</v>
      </c>
      <c r="C911">
        <v>13.3991814916689</v>
      </c>
      <c r="D911" t="s">
        <v>32</v>
      </c>
      <c r="E911">
        <v>24</v>
      </c>
      <c r="R911" t="s">
        <v>23</v>
      </c>
      <c r="Y911" t="s">
        <v>545</v>
      </c>
    </row>
    <row r="912" spans="1:25">
      <c r="A912" t="s">
        <v>693</v>
      </c>
      <c r="B912">
        <v>3344.89781767266</v>
      </c>
      <c r="C912">
        <v>17</v>
      </c>
      <c r="D912" t="s">
        <v>40</v>
      </c>
      <c r="E912">
        <v>43</v>
      </c>
      <c r="U912" t="s">
        <v>14</v>
      </c>
      <c r="Y912" t="s">
        <v>545</v>
      </c>
    </row>
    <row r="913" spans="1:25">
      <c r="A913" t="s">
        <v>693</v>
      </c>
      <c r="B913">
        <v>3348.89781767266</v>
      </c>
      <c r="C913">
        <v>10.2005298953331</v>
      </c>
      <c r="D913" t="s">
        <v>9</v>
      </c>
      <c r="E913">
        <v>79</v>
      </c>
      <c r="Y913" t="s">
        <v>545</v>
      </c>
    </row>
    <row r="914" spans="1:25">
      <c r="A914" t="s">
        <v>693</v>
      </c>
      <c r="B914">
        <v>3359.09834756799</v>
      </c>
      <c r="C914">
        <v>11.700751349340401</v>
      </c>
      <c r="D914" t="s">
        <v>10</v>
      </c>
      <c r="E914">
        <v>64</v>
      </c>
      <c r="Y914" t="s">
        <v>545</v>
      </c>
    </row>
    <row r="915" spans="1:25">
      <c r="A915" t="s">
        <v>693</v>
      </c>
      <c r="B915">
        <v>3363.79909891733</v>
      </c>
      <c r="C915">
        <v>17</v>
      </c>
      <c r="D915" t="s">
        <v>11</v>
      </c>
      <c r="E915">
        <v>31</v>
      </c>
      <c r="T915" t="s">
        <v>12</v>
      </c>
      <c r="U915" t="s">
        <v>28</v>
      </c>
      <c r="Y915" t="s">
        <v>545</v>
      </c>
    </row>
    <row r="916" spans="1:25">
      <c r="A916" t="s">
        <v>693</v>
      </c>
      <c r="B916">
        <v>3366.3331677309998</v>
      </c>
      <c r="C916">
        <v>20</v>
      </c>
      <c r="D916" t="s">
        <v>642</v>
      </c>
      <c r="E916">
        <v>8</v>
      </c>
      <c r="I916" t="s">
        <v>440</v>
      </c>
      <c r="M916" t="s">
        <v>438</v>
      </c>
      <c r="Y916" t="s">
        <v>545</v>
      </c>
    </row>
    <row r="917" spans="1:25">
      <c r="A917" t="s">
        <v>693</v>
      </c>
      <c r="B917">
        <v>3367.257974955</v>
      </c>
      <c r="C917">
        <v>20</v>
      </c>
      <c r="D917" t="s">
        <v>638</v>
      </c>
      <c r="E917">
        <v>52</v>
      </c>
      <c r="I917" t="s">
        <v>447</v>
      </c>
      <c r="M917" t="s">
        <v>604</v>
      </c>
      <c r="Y917" t="s">
        <v>545</v>
      </c>
    </row>
    <row r="918" spans="1:25">
      <c r="A918" t="s">
        <v>693</v>
      </c>
      <c r="B918">
        <v>3367.79909891733</v>
      </c>
      <c r="C918">
        <v>7.9982720033262904</v>
      </c>
      <c r="D918" t="s">
        <v>9</v>
      </c>
      <c r="E918">
        <v>80</v>
      </c>
      <c r="Y918" t="s">
        <v>545</v>
      </c>
    </row>
    <row r="919" spans="1:25">
      <c r="A919" t="s">
        <v>693</v>
      </c>
      <c r="B919">
        <v>3368.7973709206599</v>
      </c>
      <c r="C919">
        <v>17</v>
      </c>
      <c r="D919" t="s">
        <v>27</v>
      </c>
      <c r="E919">
        <v>42</v>
      </c>
      <c r="U919" t="s">
        <v>28</v>
      </c>
      <c r="Y919" t="s">
        <v>545</v>
      </c>
    </row>
    <row r="920" spans="1:25">
      <c r="A920" t="s">
        <v>693</v>
      </c>
      <c r="B920">
        <v>3370.328115583</v>
      </c>
      <c r="C920">
        <v>20</v>
      </c>
      <c r="D920" t="s">
        <v>687</v>
      </c>
      <c r="E920">
        <v>28</v>
      </c>
      <c r="H920" t="s">
        <v>738</v>
      </c>
      <c r="I920" t="s">
        <v>439</v>
      </c>
      <c r="M920" t="s">
        <v>610</v>
      </c>
      <c r="Y920" t="s">
        <v>545</v>
      </c>
    </row>
    <row r="921" spans="1:25">
      <c r="A921" t="s">
        <v>693</v>
      </c>
      <c r="B921">
        <v>3370.79909891733</v>
      </c>
      <c r="C921">
        <v>49.795812547993997</v>
      </c>
      <c r="D921" t="s">
        <v>19</v>
      </c>
      <c r="E921">
        <v>65</v>
      </c>
      <c r="Y921" t="s">
        <v>545</v>
      </c>
    </row>
    <row r="922" spans="1:25">
      <c r="A922" t="s">
        <v>693</v>
      </c>
      <c r="B922">
        <v>3372.7973709206599</v>
      </c>
      <c r="C922">
        <v>16.901037124666299</v>
      </c>
      <c r="D922" t="s">
        <v>18</v>
      </c>
      <c r="E922">
        <v>73</v>
      </c>
      <c r="Y922" t="s">
        <v>545</v>
      </c>
    </row>
    <row r="923" spans="1:25">
      <c r="A923" t="s">
        <v>693</v>
      </c>
      <c r="B923">
        <v>3374.4982899043298</v>
      </c>
      <c r="C923">
        <v>20</v>
      </c>
      <c r="D923" t="s">
        <v>33</v>
      </c>
      <c r="E923">
        <v>18</v>
      </c>
      <c r="Y923" t="s">
        <v>545</v>
      </c>
    </row>
    <row r="924" spans="1:25">
      <c r="A924" t="s">
        <v>693</v>
      </c>
      <c r="B924">
        <v>3375.85749076</v>
      </c>
      <c r="C924">
        <v>20</v>
      </c>
      <c r="D924" t="s">
        <v>795</v>
      </c>
      <c r="E924">
        <v>24</v>
      </c>
      <c r="I924" t="s">
        <v>442</v>
      </c>
      <c r="M924" t="s">
        <v>605</v>
      </c>
      <c r="Y924" t="s">
        <v>545</v>
      </c>
    </row>
    <row r="925" spans="1:25">
      <c r="A925" t="s">
        <v>693</v>
      </c>
      <c r="B925">
        <v>3376.5981216793298</v>
      </c>
      <c r="C925">
        <v>13.1002863659964</v>
      </c>
      <c r="D925" t="s">
        <v>32</v>
      </c>
      <c r="E925">
        <v>25</v>
      </c>
      <c r="R925" t="s">
        <v>23</v>
      </c>
      <c r="Y925" t="s">
        <v>545</v>
      </c>
    </row>
    <row r="926" spans="1:25">
      <c r="A926" t="s">
        <v>693</v>
      </c>
      <c r="B926">
        <v>3382.6984080453299</v>
      </c>
      <c r="C926">
        <v>17</v>
      </c>
      <c r="D926" t="s">
        <v>40</v>
      </c>
      <c r="E926">
        <v>44</v>
      </c>
      <c r="U926" t="s">
        <v>191</v>
      </c>
      <c r="Y926" t="s">
        <v>545</v>
      </c>
    </row>
    <row r="927" spans="1:25">
      <c r="A927" t="s">
        <v>693</v>
      </c>
      <c r="B927">
        <v>3386.6984080453299</v>
      </c>
      <c r="C927">
        <v>17.0002391050024</v>
      </c>
      <c r="D927" t="s">
        <v>9</v>
      </c>
      <c r="E927">
        <v>81</v>
      </c>
      <c r="Y927" t="s">
        <v>545</v>
      </c>
    </row>
    <row r="928" spans="1:25">
      <c r="A928" t="s">
        <v>693</v>
      </c>
      <c r="B928">
        <v>3391.4943285976601</v>
      </c>
      <c r="C928">
        <v>20</v>
      </c>
      <c r="D928" t="s">
        <v>41</v>
      </c>
      <c r="E928">
        <v>12</v>
      </c>
      <c r="Y928" t="s">
        <v>545</v>
      </c>
    </row>
    <row r="929" spans="1:25">
      <c r="A929" t="s">
        <v>693</v>
      </c>
      <c r="B929">
        <v>3392.8190085820002</v>
      </c>
      <c r="C929">
        <v>20</v>
      </c>
      <c r="D929" t="s">
        <v>743</v>
      </c>
      <c r="E929">
        <v>45</v>
      </c>
      <c r="I929" t="s">
        <v>442</v>
      </c>
      <c r="J929" t="s">
        <v>664</v>
      </c>
      <c r="K929" t="s">
        <v>441</v>
      </c>
      <c r="M929" t="s">
        <v>618</v>
      </c>
      <c r="Y929" t="s">
        <v>545</v>
      </c>
    </row>
    <row r="930" spans="1:25">
      <c r="A930" t="s">
        <v>693</v>
      </c>
      <c r="B930">
        <v>3396.6986471503301</v>
      </c>
      <c r="C930">
        <v>17</v>
      </c>
      <c r="D930" t="s">
        <v>27</v>
      </c>
      <c r="E930">
        <v>43</v>
      </c>
      <c r="U930" t="s">
        <v>28</v>
      </c>
      <c r="Y930" t="s">
        <v>545</v>
      </c>
    </row>
    <row r="931" spans="1:25">
      <c r="A931" t="s">
        <v>693</v>
      </c>
      <c r="B931">
        <v>3397.6972815939898</v>
      </c>
      <c r="C931">
        <v>20</v>
      </c>
      <c r="D931" t="s">
        <v>638</v>
      </c>
      <c r="E931">
        <v>53</v>
      </c>
      <c r="I931" t="s">
        <v>439</v>
      </c>
      <c r="M931" t="s">
        <v>604</v>
      </c>
      <c r="Y931" t="s">
        <v>545</v>
      </c>
    </row>
    <row r="932" spans="1:25">
      <c r="A932" t="s">
        <v>693</v>
      </c>
      <c r="B932">
        <v>3398.4299099589998</v>
      </c>
      <c r="C932">
        <v>20</v>
      </c>
      <c r="D932" t="s">
        <v>793</v>
      </c>
      <c r="E932">
        <v>2</v>
      </c>
      <c r="M932" t="s">
        <v>625</v>
      </c>
      <c r="Y932" t="s">
        <v>545</v>
      </c>
    </row>
    <row r="933" spans="1:25">
      <c r="A933" t="s">
        <v>693</v>
      </c>
      <c r="B933">
        <v>3400.6986471503301</v>
      </c>
      <c r="C933">
        <v>10.9993710969934</v>
      </c>
      <c r="D933" t="s">
        <v>18</v>
      </c>
      <c r="E933">
        <v>74</v>
      </c>
      <c r="Y933" t="s">
        <v>545</v>
      </c>
    </row>
    <row r="934" spans="1:25">
      <c r="A934" t="s">
        <v>693</v>
      </c>
      <c r="B934">
        <v>3403.6989286216499</v>
      </c>
      <c r="C934">
        <v>20</v>
      </c>
      <c r="D934" t="s">
        <v>45</v>
      </c>
      <c r="E934">
        <v>13</v>
      </c>
      <c r="N934">
        <v>78</v>
      </c>
      <c r="O934">
        <v>64</v>
      </c>
      <c r="Q934" t="s">
        <v>668</v>
      </c>
      <c r="Y934" t="s">
        <v>545</v>
      </c>
    </row>
    <row r="935" spans="1:25">
      <c r="A935" t="s">
        <v>693</v>
      </c>
      <c r="B935">
        <v>3404.6980182473199</v>
      </c>
      <c r="C935">
        <v>17</v>
      </c>
      <c r="D935" t="s">
        <v>40</v>
      </c>
      <c r="E935">
        <v>45</v>
      </c>
      <c r="U935" t="s">
        <v>28</v>
      </c>
      <c r="Y935" t="s">
        <v>545</v>
      </c>
    </row>
    <row r="936" spans="1:25">
      <c r="A936" t="s">
        <v>693</v>
      </c>
      <c r="B936">
        <v>3408.6980182473199</v>
      </c>
      <c r="C936">
        <v>11.8968932180055</v>
      </c>
      <c r="D936" t="s">
        <v>9</v>
      </c>
      <c r="E936">
        <v>82</v>
      </c>
      <c r="Y936" t="s">
        <v>545</v>
      </c>
    </row>
    <row r="937" spans="1:25">
      <c r="A937" t="s">
        <v>693</v>
      </c>
      <c r="B937">
        <v>3409.2992050019802</v>
      </c>
      <c r="C937">
        <v>20</v>
      </c>
      <c r="D937" t="s">
        <v>638</v>
      </c>
      <c r="E937">
        <v>54</v>
      </c>
      <c r="G937" t="s">
        <v>448</v>
      </c>
      <c r="Y937" t="s">
        <v>545</v>
      </c>
    </row>
    <row r="938" spans="1:25">
      <c r="A938" t="s">
        <v>693</v>
      </c>
      <c r="B938">
        <v>3420.5949114653299</v>
      </c>
      <c r="C938">
        <v>21.4677316116681</v>
      </c>
      <c r="D938" t="s">
        <v>10</v>
      </c>
      <c r="E938">
        <v>65</v>
      </c>
      <c r="Y938" t="s">
        <v>545</v>
      </c>
    </row>
    <row r="939" spans="1:25">
      <c r="A939" t="s">
        <v>693</v>
      </c>
      <c r="B939">
        <v>3432.9908432110001</v>
      </c>
      <c r="C939">
        <v>20</v>
      </c>
      <c r="D939" t="s">
        <v>743</v>
      </c>
      <c r="E939">
        <v>46</v>
      </c>
      <c r="I939" t="s">
        <v>442</v>
      </c>
      <c r="M939" t="s">
        <v>438</v>
      </c>
      <c r="Y939" t="s">
        <v>545</v>
      </c>
    </row>
    <row r="940" spans="1:25">
      <c r="A940" t="s">
        <v>693</v>
      </c>
      <c r="B940">
        <v>3435.0626430769998</v>
      </c>
      <c r="C940">
        <v>17</v>
      </c>
      <c r="D940" t="s">
        <v>6</v>
      </c>
      <c r="E940">
        <v>27</v>
      </c>
      <c r="T940" t="s">
        <v>25</v>
      </c>
      <c r="Y940" t="s">
        <v>545</v>
      </c>
    </row>
    <row r="941" spans="1:25">
      <c r="A941" t="s">
        <v>693</v>
      </c>
      <c r="B941">
        <v>3435.5990217859999</v>
      </c>
      <c r="C941">
        <v>20</v>
      </c>
      <c r="D941" t="s">
        <v>638</v>
      </c>
      <c r="E941">
        <v>55</v>
      </c>
      <c r="I941" t="s">
        <v>447</v>
      </c>
      <c r="M941" t="s">
        <v>604</v>
      </c>
      <c r="Y941" t="s">
        <v>545</v>
      </c>
    </row>
    <row r="942" spans="1:25">
      <c r="A942" t="s">
        <v>693</v>
      </c>
      <c r="B942">
        <v>3437.69810318399</v>
      </c>
      <c r="C942">
        <v>18.898664347002001</v>
      </c>
      <c r="D942" t="s">
        <v>121</v>
      </c>
      <c r="E942">
        <v>34</v>
      </c>
      <c r="P942" t="s">
        <v>31</v>
      </c>
      <c r="R942" t="s">
        <v>20</v>
      </c>
      <c r="Y942" t="s">
        <v>545</v>
      </c>
    </row>
    <row r="943" spans="1:25">
      <c r="A943" t="s">
        <v>693</v>
      </c>
      <c r="B943">
        <v>3439.0626430769998</v>
      </c>
      <c r="C943">
        <v>17.534124454001802</v>
      </c>
      <c r="D943" t="s">
        <v>18</v>
      </c>
      <c r="E943">
        <v>75</v>
      </c>
      <c r="Y943" t="s">
        <v>545</v>
      </c>
    </row>
    <row r="944" spans="1:25">
      <c r="A944" t="s">
        <v>693</v>
      </c>
      <c r="B944">
        <v>3442.0626430769998</v>
      </c>
      <c r="C944">
        <v>14.5341244540018</v>
      </c>
      <c r="D944" t="s">
        <v>19</v>
      </c>
      <c r="E944">
        <v>66</v>
      </c>
      <c r="Y944" t="s">
        <v>545</v>
      </c>
    </row>
    <row r="945" spans="1:25">
      <c r="A945" t="s">
        <v>693</v>
      </c>
      <c r="B945">
        <v>3444.6145124489999</v>
      </c>
      <c r="C945">
        <v>20</v>
      </c>
      <c r="D945" t="s">
        <v>788</v>
      </c>
      <c r="E945">
        <v>7</v>
      </c>
      <c r="H945" t="s">
        <v>621</v>
      </c>
      <c r="M945" t="s">
        <v>631</v>
      </c>
      <c r="Y945" t="s">
        <v>545</v>
      </c>
    </row>
    <row r="946" spans="1:25">
      <c r="A946" t="s">
        <v>693</v>
      </c>
      <c r="B946">
        <v>3449.9981135883299</v>
      </c>
      <c r="C946">
        <v>17</v>
      </c>
      <c r="D946" t="s">
        <v>11</v>
      </c>
      <c r="E946">
        <v>32</v>
      </c>
      <c r="T946" t="s">
        <v>12</v>
      </c>
      <c r="U946" t="s">
        <v>28</v>
      </c>
      <c r="Y946" t="s">
        <v>545</v>
      </c>
    </row>
    <row r="947" spans="1:25">
      <c r="A947" t="s">
        <v>693</v>
      </c>
      <c r="B947">
        <v>3450.5475755849998</v>
      </c>
      <c r="C947">
        <v>20</v>
      </c>
      <c r="D947" t="s">
        <v>793</v>
      </c>
      <c r="E947">
        <v>3</v>
      </c>
      <c r="I947" t="s">
        <v>439</v>
      </c>
      <c r="J947" t="s">
        <v>49</v>
      </c>
      <c r="M947" t="s">
        <v>443</v>
      </c>
      <c r="Y947" t="s">
        <v>545</v>
      </c>
    </row>
    <row r="948" spans="1:25">
      <c r="A948" t="s">
        <v>693</v>
      </c>
      <c r="B948">
        <v>3453.9981135883299</v>
      </c>
      <c r="C948">
        <v>20.201269893992901</v>
      </c>
      <c r="D948" t="s">
        <v>9</v>
      </c>
      <c r="E948">
        <v>83</v>
      </c>
      <c r="Y948" t="s">
        <v>545</v>
      </c>
    </row>
    <row r="949" spans="1:25">
      <c r="A949" t="s">
        <v>693</v>
      </c>
      <c r="B949">
        <v>3454.5987210573298</v>
      </c>
      <c r="C949">
        <v>20</v>
      </c>
      <c r="D949" t="s">
        <v>41</v>
      </c>
      <c r="E949">
        <v>13</v>
      </c>
      <c r="Y949" t="s">
        <v>545</v>
      </c>
    </row>
    <row r="950" spans="1:25">
      <c r="A950" t="s">
        <v>693</v>
      </c>
      <c r="B950">
        <v>3456.5967675309998</v>
      </c>
      <c r="C950">
        <v>0.40134605733010098</v>
      </c>
      <c r="D950" t="s">
        <v>10</v>
      </c>
      <c r="E950">
        <v>66</v>
      </c>
      <c r="Y950" t="s">
        <v>545</v>
      </c>
    </row>
    <row r="951" spans="1:25">
      <c r="A951" t="s">
        <v>693</v>
      </c>
      <c r="B951">
        <v>3456.9981135883299</v>
      </c>
      <c r="C951">
        <v>17.201269893992901</v>
      </c>
      <c r="D951" t="s">
        <v>19</v>
      </c>
      <c r="E951">
        <v>67</v>
      </c>
      <c r="Y951" t="s">
        <v>545</v>
      </c>
    </row>
    <row r="952" spans="1:25">
      <c r="A952" t="s">
        <v>693</v>
      </c>
      <c r="B952">
        <v>3458.1991227856602</v>
      </c>
      <c r="C952">
        <v>20</v>
      </c>
      <c r="D952" t="s">
        <v>46</v>
      </c>
      <c r="E952">
        <v>5</v>
      </c>
      <c r="R952" t="s">
        <v>23</v>
      </c>
      <c r="Y952" t="s">
        <v>545</v>
      </c>
    </row>
    <row r="953" spans="1:25">
      <c r="A953" t="s">
        <v>693</v>
      </c>
      <c r="B953">
        <v>3459.465882293</v>
      </c>
      <c r="C953">
        <v>20</v>
      </c>
      <c r="D953" t="s">
        <v>777</v>
      </c>
      <c r="E953">
        <v>39</v>
      </c>
      <c r="I953" t="s">
        <v>439</v>
      </c>
      <c r="J953" t="s">
        <v>49</v>
      </c>
      <c r="M953" t="s">
        <v>443</v>
      </c>
      <c r="Y953" t="s">
        <v>545</v>
      </c>
    </row>
    <row r="954" spans="1:25">
      <c r="A954" t="s">
        <v>693</v>
      </c>
      <c r="B954">
        <v>3474.1993834823202</v>
      </c>
      <c r="C954">
        <v>13.7998672526669</v>
      </c>
      <c r="D954" t="s">
        <v>10</v>
      </c>
      <c r="E954">
        <v>67</v>
      </c>
      <c r="Y954" t="s">
        <v>545</v>
      </c>
    </row>
    <row r="955" spans="1:25">
      <c r="A955" t="s">
        <v>693</v>
      </c>
      <c r="B955">
        <v>3480.9992507349898</v>
      </c>
      <c r="C955">
        <v>17</v>
      </c>
      <c r="D955" t="s">
        <v>11</v>
      </c>
      <c r="E955">
        <v>33</v>
      </c>
      <c r="T955" t="s">
        <v>12</v>
      </c>
      <c r="U955" t="s">
        <v>28</v>
      </c>
      <c r="Y955" t="s">
        <v>545</v>
      </c>
    </row>
    <row r="956" spans="1:25">
      <c r="A956" t="s">
        <v>693</v>
      </c>
      <c r="B956">
        <v>3482.4941297556602</v>
      </c>
      <c r="C956">
        <v>20</v>
      </c>
      <c r="D956" t="s">
        <v>46</v>
      </c>
      <c r="E956">
        <v>6</v>
      </c>
      <c r="R956" t="s">
        <v>20</v>
      </c>
      <c r="Y956" t="s">
        <v>545</v>
      </c>
    </row>
    <row r="957" spans="1:25">
      <c r="A957" t="s">
        <v>693</v>
      </c>
      <c r="B957">
        <v>3484.4985920423201</v>
      </c>
      <c r="C957">
        <v>20</v>
      </c>
      <c r="D957" t="s">
        <v>136</v>
      </c>
      <c r="E957">
        <v>8</v>
      </c>
      <c r="Y957" t="s">
        <v>545</v>
      </c>
    </row>
    <row r="958" spans="1:25">
      <c r="A958" t="s">
        <v>693</v>
      </c>
      <c r="B958">
        <v>3484.9992507349898</v>
      </c>
      <c r="C958">
        <v>26.1985862736692</v>
      </c>
      <c r="D958" t="s">
        <v>9</v>
      </c>
      <c r="E958">
        <v>84</v>
      </c>
      <c r="Y958" t="s">
        <v>545</v>
      </c>
    </row>
    <row r="959" spans="1:25">
      <c r="A959" t="s">
        <v>693</v>
      </c>
      <c r="B959">
        <v>3487.3133126419998</v>
      </c>
      <c r="C959">
        <v>20</v>
      </c>
      <c r="D959" t="s">
        <v>637</v>
      </c>
      <c r="E959">
        <v>41</v>
      </c>
      <c r="J959" t="s">
        <v>55</v>
      </c>
      <c r="Y959" t="s">
        <v>545</v>
      </c>
    </row>
    <row r="960" spans="1:25">
      <c r="A960" t="s">
        <v>693</v>
      </c>
      <c r="B960">
        <v>3487.9992507349898</v>
      </c>
      <c r="C960">
        <v>43.799574440671599</v>
      </c>
      <c r="D960" t="s">
        <v>19</v>
      </c>
      <c r="E960">
        <v>68</v>
      </c>
      <c r="Y960" t="s">
        <v>545</v>
      </c>
    </row>
    <row r="961" spans="1:25">
      <c r="A961" t="s">
        <v>693</v>
      </c>
      <c r="B961">
        <v>3491.5979667946599</v>
      </c>
      <c r="C961">
        <v>20</v>
      </c>
      <c r="D961" t="s">
        <v>637</v>
      </c>
      <c r="E961">
        <v>42</v>
      </c>
      <c r="J961" t="s">
        <v>629</v>
      </c>
      <c r="Y961" t="s">
        <v>545</v>
      </c>
    </row>
    <row r="962" spans="1:25">
      <c r="A962" t="s">
        <v>693</v>
      </c>
      <c r="B962">
        <v>3493.4973457879901</v>
      </c>
      <c r="C962">
        <v>17.700491220663402</v>
      </c>
      <c r="D962" t="s">
        <v>44</v>
      </c>
      <c r="E962">
        <v>2</v>
      </c>
      <c r="R962" t="s">
        <v>20</v>
      </c>
      <c r="Y962" t="s">
        <v>545</v>
      </c>
    </row>
    <row r="963" spans="1:25">
      <c r="A963" t="s">
        <v>693</v>
      </c>
      <c r="B963">
        <v>3495.4652401439998</v>
      </c>
      <c r="C963">
        <v>20</v>
      </c>
      <c r="D963" t="s">
        <v>41</v>
      </c>
      <c r="E963">
        <v>14</v>
      </c>
      <c r="Y963" t="s">
        <v>545</v>
      </c>
    </row>
    <row r="964" spans="1:25">
      <c r="A964" t="s">
        <v>693</v>
      </c>
      <c r="B964">
        <v>3498.9039252389998</v>
      </c>
      <c r="C964">
        <v>20</v>
      </c>
      <c r="D964" t="s">
        <v>642</v>
      </c>
      <c r="E964">
        <v>9</v>
      </c>
      <c r="J964" t="s">
        <v>55</v>
      </c>
      <c r="Y964" t="s">
        <v>545</v>
      </c>
    </row>
    <row r="965" spans="1:25">
      <c r="A965" t="s">
        <v>693</v>
      </c>
      <c r="B965">
        <v>3500.7987336209999</v>
      </c>
      <c r="C965">
        <v>20</v>
      </c>
      <c r="D965" t="s">
        <v>788</v>
      </c>
      <c r="E965">
        <v>8</v>
      </c>
      <c r="H965" t="s">
        <v>5</v>
      </c>
      <c r="M965" t="s">
        <v>434</v>
      </c>
      <c r="Y965" t="s">
        <v>545</v>
      </c>
    </row>
    <row r="966" spans="1:25">
      <c r="A966" t="s">
        <v>693</v>
      </c>
      <c r="B966">
        <v>3503.79715232532</v>
      </c>
      <c r="C966">
        <v>20</v>
      </c>
      <c r="D966" t="s">
        <v>788</v>
      </c>
      <c r="E966">
        <v>9</v>
      </c>
      <c r="H966" t="s">
        <v>336</v>
      </c>
      <c r="M966" t="s">
        <v>436</v>
      </c>
      <c r="Y966" t="s">
        <v>545</v>
      </c>
    </row>
    <row r="967" spans="1:25">
      <c r="A967" t="s">
        <v>693</v>
      </c>
      <c r="B967">
        <v>3504.1978370086599</v>
      </c>
      <c r="C967">
        <v>17</v>
      </c>
      <c r="D967" t="s">
        <v>27</v>
      </c>
      <c r="E967">
        <v>44</v>
      </c>
      <c r="U967" t="s">
        <v>195</v>
      </c>
      <c r="Y967" t="s">
        <v>545</v>
      </c>
    </row>
    <row r="968" spans="1:25">
      <c r="A968" t="s">
        <v>693</v>
      </c>
      <c r="B968">
        <v>3508.1978370086599</v>
      </c>
      <c r="C968">
        <v>7.00166461800245</v>
      </c>
      <c r="D968" t="s">
        <v>18</v>
      </c>
      <c r="E968">
        <v>76</v>
      </c>
      <c r="Y968" t="s">
        <v>545</v>
      </c>
    </row>
    <row r="969" spans="1:25">
      <c r="A969" t="s">
        <v>693</v>
      </c>
      <c r="B969">
        <v>3508.1995016266601</v>
      </c>
      <c r="C969">
        <v>17</v>
      </c>
      <c r="D969" t="s">
        <v>40</v>
      </c>
      <c r="E969">
        <v>46</v>
      </c>
      <c r="U969" t="s">
        <v>195</v>
      </c>
      <c r="Y969" t="s">
        <v>545</v>
      </c>
    </row>
    <row r="970" spans="1:25">
      <c r="A970" t="s">
        <v>693</v>
      </c>
      <c r="B970">
        <v>3508.89768945899</v>
      </c>
      <c r="C970">
        <v>20</v>
      </c>
      <c r="D970" t="s">
        <v>788</v>
      </c>
      <c r="E970">
        <v>10</v>
      </c>
      <c r="K970" t="s">
        <v>441</v>
      </c>
      <c r="M970" t="s">
        <v>613</v>
      </c>
      <c r="Y970" t="s">
        <v>545</v>
      </c>
    </row>
    <row r="971" spans="1:25">
      <c r="A971" t="s">
        <v>693</v>
      </c>
      <c r="B971">
        <v>3512.1995016266601</v>
      </c>
      <c r="C971">
        <v>7.1990112906669301</v>
      </c>
      <c r="D971" t="s">
        <v>9</v>
      </c>
      <c r="E971">
        <v>85</v>
      </c>
      <c r="Y971" t="s">
        <v>545</v>
      </c>
    </row>
    <row r="972" spans="1:25">
      <c r="A972" t="s">
        <v>693</v>
      </c>
      <c r="B972">
        <v>3512.3985129173302</v>
      </c>
      <c r="C972">
        <v>17</v>
      </c>
      <c r="D972" t="s">
        <v>27</v>
      </c>
      <c r="E972">
        <v>45</v>
      </c>
      <c r="U972" t="s">
        <v>666</v>
      </c>
      <c r="Y972" t="s">
        <v>545</v>
      </c>
    </row>
    <row r="973" spans="1:25">
      <c r="A973" t="s">
        <v>693</v>
      </c>
      <c r="B973">
        <v>3515.093983705</v>
      </c>
      <c r="C973">
        <v>17</v>
      </c>
      <c r="D973" t="s">
        <v>40</v>
      </c>
      <c r="E973">
        <v>47</v>
      </c>
      <c r="U973" t="s">
        <v>195</v>
      </c>
      <c r="Y973" t="s">
        <v>545</v>
      </c>
    </row>
    <row r="974" spans="1:25">
      <c r="A974" t="s">
        <v>693</v>
      </c>
      <c r="B974">
        <v>3516.3985129173302</v>
      </c>
      <c r="C974">
        <v>5.6954707876698096</v>
      </c>
      <c r="D974" t="s">
        <v>18</v>
      </c>
      <c r="E974">
        <v>77</v>
      </c>
      <c r="Y974" t="s">
        <v>545</v>
      </c>
    </row>
    <row r="975" spans="1:25">
      <c r="A975" t="s">
        <v>693</v>
      </c>
      <c r="B975">
        <v>3519.093983705</v>
      </c>
      <c r="C975">
        <v>12.704841470663199</v>
      </c>
      <c r="D975" t="s">
        <v>9</v>
      </c>
      <c r="E975">
        <v>86</v>
      </c>
      <c r="Y975" t="s">
        <v>545</v>
      </c>
    </row>
    <row r="976" spans="1:25">
      <c r="A976" t="s">
        <v>693</v>
      </c>
      <c r="B976">
        <v>3519.1957725646598</v>
      </c>
      <c r="C976">
        <v>15</v>
      </c>
      <c r="D976" t="s">
        <v>328</v>
      </c>
      <c r="E976">
        <v>3</v>
      </c>
      <c r="Y976" t="s">
        <v>545</v>
      </c>
    </row>
    <row r="977" spans="1:25">
      <c r="A977" t="s">
        <v>693</v>
      </c>
      <c r="B977">
        <v>3531.7988251756601</v>
      </c>
      <c r="C977">
        <v>25.000745660329802</v>
      </c>
      <c r="D977" t="s">
        <v>10</v>
      </c>
      <c r="E977">
        <v>68</v>
      </c>
      <c r="Y977" t="s">
        <v>545</v>
      </c>
    </row>
    <row r="978" spans="1:25">
      <c r="A978" t="s">
        <v>693</v>
      </c>
      <c r="B978">
        <v>3545.3980411316602</v>
      </c>
      <c r="C978">
        <v>20</v>
      </c>
      <c r="D978" t="s">
        <v>637</v>
      </c>
      <c r="E978">
        <v>43</v>
      </c>
      <c r="I978" t="s">
        <v>760</v>
      </c>
      <c r="M978" t="s">
        <v>761</v>
      </c>
      <c r="Y978" t="s">
        <v>545</v>
      </c>
    </row>
    <row r="979" spans="1:25">
      <c r="A979" t="s">
        <v>693</v>
      </c>
      <c r="B979">
        <v>3546.803862966</v>
      </c>
      <c r="C979">
        <v>20</v>
      </c>
      <c r="D979" t="s">
        <v>687</v>
      </c>
      <c r="E979">
        <v>29</v>
      </c>
      <c r="H979" t="s">
        <v>460</v>
      </c>
      <c r="L979" t="s">
        <v>51</v>
      </c>
      <c r="M979" t="s">
        <v>619</v>
      </c>
      <c r="Y979" t="s">
        <v>545</v>
      </c>
    </row>
    <row r="980" spans="1:25">
      <c r="A980" t="s">
        <v>693</v>
      </c>
      <c r="B980">
        <v>3547.6983006983201</v>
      </c>
      <c r="C980">
        <v>20</v>
      </c>
      <c r="D980" t="s">
        <v>36</v>
      </c>
      <c r="E980">
        <v>9</v>
      </c>
      <c r="N980">
        <v>89</v>
      </c>
      <c r="O980">
        <v>60</v>
      </c>
      <c r="Q980" t="s">
        <v>706</v>
      </c>
      <c r="Y980" t="s">
        <v>545</v>
      </c>
    </row>
    <row r="981" spans="1:25">
      <c r="A981" t="s">
        <v>693</v>
      </c>
      <c r="B981">
        <v>3547.6983006983201</v>
      </c>
      <c r="C981">
        <v>20</v>
      </c>
      <c r="D981" t="s">
        <v>453</v>
      </c>
      <c r="E981">
        <v>3</v>
      </c>
      <c r="Y981" t="s">
        <v>545</v>
      </c>
    </row>
    <row r="982" spans="1:25">
      <c r="A982" t="s">
        <v>693</v>
      </c>
      <c r="B982">
        <v>3548.9994919400001</v>
      </c>
      <c r="C982">
        <v>20</v>
      </c>
      <c r="D982" t="s">
        <v>33</v>
      </c>
      <c r="E982">
        <v>19</v>
      </c>
      <c r="Y982" t="s">
        <v>545</v>
      </c>
    </row>
    <row r="983" spans="1:25">
      <c r="A983" t="s">
        <v>693</v>
      </c>
      <c r="B983">
        <v>3549.7995708359899</v>
      </c>
      <c r="C983">
        <v>17</v>
      </c>
      <c r="D983" t="s">
        <v>6</v>
      </c>
      <c r="E983">
        <v>28</v>
      </c>
      <c r="T983" t="s">
        <v>24</v>
      </c>
      <c r="Y983" t="s">
        <v>545</v>
      </c>
    </row>
    <row r="984" spans="1:25">
      <c r="A984" t="s">
        <v>693</v>
      </c>
      <c r="B984">
        <v>3550.5754325759999</v>
      </c>
      <c r="C984">
        <v>20</v>
      </c>
      <c r="D984" t="s">
        <v>135</v>
      </c>
      <c r="E984">
        <v>9</v>
      </c>
      <c r="Y984" t="s">
        <v>545</v>
      </c>
    </row>
    <row r="985" spans="1:25">
      <c r="A985" t="s">
        <v>693</v>
      </c>
      <c r="B985">
        <v>3552.6983006983201</v>
      </c>
      <c r="C985">
        <v>15</v>
      </c>
      <c r="D985" t="s">
        <v>35</v>
      </c>
      <c r="E985">
        <v>9</v>
      </c>
      <c r="Y985" t="s">
        <v>545</v>
      </c>
    </row>
    <row r="986" spans="1:25">
      <c r="A986" t="s">
        <v>693</v>
      </c>
      <c r="B986">
        <v>3553.7995708359899</v>
      </c>
      <c r="C986">
        <v>8.8987298623346707</v>
      </c>
      <c r="D986" t="s">
        <v>18</v>
      </c>
      <c r="E986">
        <v>78</v>
      </c>
      <c r="Y986" t="s">
        <v>545</v>
      </c>
    </row>
    <row r="987" spans="1:25">
      <c r="A987" t="s">
        <v>693</v>
      </c>
      <c r="B987">
        <v>3556.7995708359899</v>
      </c>
      <c r="C987">
        <v>5.8987298623346698</v>
      </c>
      <c r="D987" t="s">
        <v>19</v>
      </c>
      <c r="E987">
        <v>69</v>
      </c>
      <c r="Y987" t="s">
        <v>545</v>
      </c>
    </row>
    <row r="988" spans="1:25">
      <c r="A988" t="s">
        <v>693</v>
      </c>
      <c r="B988">
        <v>3562.6983006983201</v>
      </c>
      <c r="C988">
        <v>30.499944520338801</v>
      </c>
      <c r="D988" t="s">
        <v>10</v>
      </c>
      <c r="E988">
        <v>69</v>
      </c>
      <c r="Y988" t="s">
        <v>545</v>
      </c>
    </row>
    <row r="989" spans="1:25">
      <c r="A989" t="s">
        <v>693</v>
      </c>
      <c r="B989">
        <v>3590.1982452186598</v>
      </c>
      <c r="C989">
        <v>33.900131214666501</v>
      </c>
      <c r="D989" t="s">
        <v>9</v>
      </c>
      <c r="E989">
        <v>87</v>
      </c>
      <c r="Y989" t="s">
        <v>545</v>
      </c>
    </row>
    <row r="990" spans="1:25">
      <c r="A990" t="s">
        <v>693</v>
      </c>
      <c r="B990">
        <v>3592.6936328450001</v>
      </c>
      <c r="C990">
        <v>20</v>
      </c>
      <c r="D990" t="s">
        <v>743</v>
      </c>
      <c r="E990">
        <v>47</v>
      </c>
      <c r="I990" t="s">
        <v>439</v>
      </c>
      <c r="K990" t="s">
        <v>48</v>
      </c>
      <c r="M990" t="s">
        <v>614</v>
      </c>
      <c r="Y990" t="s">
        <v>545</v>
      </c>
    </row>
    <row r="991" spans="1:25">
      <c r="A991" t="s">
        <v>693</v>
      </c>
      <c r="B991">
        <v>3593.1982452186598</v>
      </c>
      <c r="C991">
        <v>1</v>
      </c>
      <c r="D991" t="s">
        <v>17</v>
      </c>
      <c r="E991">
        <v>4</v>
      </c>
      <c r="Y991" t="s">
        <v>545</v>
      </c>
    </row>
    <row r="992" spans="1:25">
      <c r="A992" t="s">
        <v>693</v>
      </c>
      <c r="B992">
        <v>3593.1982452186598</v>
      </c>
      <c r="C992">
        <v>68.600816890665996</v>
      </c>
      <c r="D992" t="s">
        <v>19</v>
      </c>
      <c r="E992">
        <v>70</v>
      </c>
      <c r="Y992" t="s">
        <v>545</v>
      </c>
    </row>
    <row r="993" spans="1:25">
      <c r="A993" t="s">
        <v>693</v>
      </c>
      <c r="B993">
        <v>3599.9295631760001</v>
      </c>
      <c r="C993">
        <v>20</v>
      </c>
      <c r="D993" t="s">
        <v>777</v>
      </c>
      <c r="E993">
        <v>40</v>
      </c>
      <c r="K993" t="s">
        <v>441</v>
      </c>
      <c r="M993" t="s">
        <v>613</v>
      </c>
      <c r="Y993" t="s">
        <v>545</v>
      </c>
    </row>
    <row r="994" spans="1:25">
      <c r="A994" t="s">
        <v>693</v>
      </c>
      <c r="B994">
        <v>3604.0977425473202</v>
      </c>
      <c r="C994">
        <v>20</v>
      </c>
      <c r="D994" t="s">
        <v>793</v>
      </c>
      <c r="E994">
        <v>4</v>
      </c>
      <c r="K994" t="s">
        <v>441</v>
      </c>
      <c r="M994" t="s">
        <v>613</v>
      </c>
      <c r="Y994" t="s">
        <v>545</v>
      </c>
    </row>
    <row r="995" spans="1:25">
      <c r="A995" t="s">
        <v>693</v>
      </c>
      <c r="B995">
        <v>3614.29822392098</v>
      </c>
      <c r="C995">
        <v>20</v>
      </c>
      <c r="D995" t="s">
        <v>743</v>
      </c>
      <c r="E995">
        <v>48</v>
      </c>
      <c r="I995" t="s">
        <v>440</v>
      </c>
      <c r="M995" t="s">
        <v>438</v>
      </c>
      <c r="Y995" t="s">
        <v>545</v>
      </c>
    </row>
    <row r="996" spans="1:25">
      <c r="A996" t="s">
        <v>693</v>
      </c>
      <c r="B996">
        <v>3614.3367020579999</v>
      </c>
      <c r="C996">
        <v>9.7616743753333104</v>
      </c>
      <c r="D996" t="s">
        <v>42</v>
      </c>
      <c r="E996">
        <v>3</v>
      </c>
      <c r="R996" t="s">
        <v>20</v>
      </c>
      <c r="Y996" t="s">
        <v>545</v>
      </c>
    </row>
    <row r="997" spans="1:25">
      <c r="A997" t="s">
        <v>693</v>
      </c>
      <c r="B997">
        <v>3615.6989556293202</v>
      </c>
      <c r="C997">
        <v>20</v>
      </c>
      <c r="D997" t="s">
        <v>638</v>
      </c>
      <c r="E997">
        <v>56</v>
      </c>
      <c r="I997" t="s">
        <v>447</v>
      </c>
      <c r="M997" t="s">
        <v>605</v>
      </c>
      <c r="Y997" t="s">
        <v>545</v>
      </c>
    </row>
    <row r="998" spans="1:25">
      <c r="A998" t="s">
        <v>693</v>
      </c>
      <c r="B998">
        <v>3617.09837643333</v>
      </c>
      <c r="C998">
        <v>17</v>
      </c>
      <c r="D998" t="s">
        <v>27</v>
      </c>
      <c r="E998">
        <v>46</v>
      </c>
      <c r="U998" t="s">
        <v>28</v>
      </c>
      <c r="Y998" t="s">
        <v>545</v>
      </c>
    </row>
    <row r="999" spans="1:25">
      <c r="A999" t="s">
        <v>693</v>
      </c>
      <c r="B999">
        <v>3619.7926460509898</v>
      </c>
      <c r="C999">
        <v>20</v>
      </c>
      <c r="D999" t="s">
        <v>793</v>
      </c>
      <c r="E999">
        <v>5</v>
      </c>
      <c r="K999" t="s">
        <v>444</v>
      </c>
      <c r="M999" t="s">
        <v>613</v>
      </c>
      <c r="Y999" t="s">
        <v>545</v>
      </c>
    </row>
    <row r="1000" spans="1:25">
      <c r="A1000" t="s">
        <v>693</v>
      </c>
      <c r="B1000">
        <v>3621.09837643333</v>
      </c>
      <c r="C1000">
        <v>9.2003615283310793</v>
      </c>
      <c r="D1000" t="s">
        <v>18</v>
      </c>
      <c r="E1000">
        <v>79</v>
      </c>
      <c r="Y1000" t="s">
        <v>545</v>
      </c>
    </row>
    <row r="1001" spans="1:25">
      <c r="A1001" t="s">
        <v>693</v>
      </c>
      <c r="B1001">
        <v>3623.2987379616602</v>
      </c>
      <c r="C1001">
        <v>17</v>
      </c>
      <c r="D1001" t="s">
        <v>40</v>
      </c>
      <c r="E1001">
        <v>48</v>
      </c>
      <c r="U1001" t="s">
        <v>195</v>
      </c>
      <c r="Y1001" t="s">
        <v>545</v>
      </c>
    </row>
    <row r="1002" spans="1:25">
      <c r="A1002" t="s">
        <v>693</v>
      </c>
      <c r="B1002">
        <v>3626.2985275219899</v>
      </c>
      <c r="C1002">
        <v>20</v>
      </c>
      <c r="D1002" t="s">
        <v>793</v>
      </c>
      <c r="E1002">
        <v>6</v>
      </c>
      <c r="I1002" t="s">
        <v>439</v>
      </c>
      <c r="J1002" t="s">
        <v>49</v>
      </c>
      <c r="M1002" t="s">
        <v>438</v>
      </c>
      <c r="Y1002" t="s">
        <v>545</v>
      </c>
    </row>
    <row r="1003" spans="1:25">
      <c r="A1003" t="s">
        <v>693</v>
      </c>
      <c r="B1003">
        <v>3626.59805969432</v>
      </c>
      <c r="C1003">
        <v>9.2007166519970198</v>
      </c>
      <c r="D1003" t="s">
        <v>44</v>
      </c>
      <c r="E1003">
        <v>3</v>
      </c>
      <c r="R1003" t="s">
        <v>20</v>
      </c>
      <c r="Y1003" t="s">
        <v>545</v>
      </c>
    </row>
    <row r="1004" spans="1:25">
      <c r="A1004" t="s">
        <v>693</v>
      </c>
      <c r="B1004">
        <v>3627.2987379616602</v>
      </c>
      <c r="C1004">
        <v>8.5000383846613605</v>
      </c>
      <c r="D1004" t="s">
        <v>9</v>
      </c>
      <c r="E1004">
        <v>88</v>
      </c>
      <c r="Y1004" t="s">
        <v>545</v>
      </c>
    </row>
    <row r="1005" spans="1:25">
      <c r="A1005" t="s">
        <v>693</v>
      </c>
      <c r="B1005">
        <v>3627.3960330096602</v>
      </c>
      <c r="C1005">
        <v>20</v>
      </c>
      <c r="D1005" t="s">
        <v>791</v>
      </c>
      <c r="E1005">
        <v>5</v>
      </c>
      <c r="H1005" t="s">
        <v>5</v>
      </c>
      <c r="I1005" t="s">
        <v>542</v>
      </c>
      <c r="M1005" t="s">
        <v>792</v>
      </c>
      <c r="Y1005" t="s">
        <v>545</v>
      </c>
    </row>
    <row r="1006" spans="1:25">
      <c r="A1006" t="s">
        <v>693</v>
      </c>
      <c r="B1006">
        <v>3628.7987763463202</v>
      </c>
      <c r="C1006">
        <v>17</v>
      </c>
      <c r="D1006" t="s">
        <v>27</v>
      </c>
      <c r="E1006">
        <v>47</v>
      </c>
      <c r="U1006" t="s">
        <v>28</v>
      </c>
      <c r="Y1006" t="s">
        <v>545</v>
      </c>
    </row>
    <row r="1007" spans="1:25">
      <c r="A1007" t="s">
        <v>693</v>
      </c>
      <c r="B1007">
        <v>3632.7987763463202</v>
      </c>
      <c r="C1007">
        <v>10.098374052337</v>
      </c>
      <c r="D1007" t="s">
        <v>18</v>
      </c>
      <c r="E1007">
        <v>80</v>
      </c>
      <c r="Y1007" t="s">
        <v>545</v>
      </c>
    </row>
    <row r="1008" spans="1:25">
      <c r="A1008" t="s">
        <v>693</v>
      </c>
      <c r="B1008">
        <v>3635.89715039866</v>
      </c>
      <c r="C1008">
        <v>17</v>
      </c>
      <c r="D1008" t="s">
        <v>40</v>
      </c>
      <c r="E1008">
        <v>49</v>
      </c>
      <c r="U1008" t="s">
        <v>14</v>
      </c>
      <c r="Y1008" t="s">
        <v>545</v>
      </c>
    </row>
    <row r="1009" spans="1:25">
      <c r="A1009" t="s">
        <v>693</v>
      </c>
      <c r="B1009">
        <v>3639.89715039866</v>
      </c>
      <c r="C1009">
        <v>21.9019117106699</v>
      </c>
      <c r="D1009" t="s">
        <v>9</v>
      </c>
      <c r="E1009">
        <v>89</v>
      </c>
      <c r="Y1009" t="s">
        <v>545</v>
      </c>
    </row>
    <row r="1010" spans="1:25">
      <c r="A1010" t="s">
        <v>693</v>
      </c>
      <c r="B1010">
        <v>3641.3984536149901</v>
      </c>
      <c r="C1010">
        <v>20</v>
      </c>
      <c r="D1010" t="s">
        <v>743</v>
      </c>
      <c r="E1010">
        <v>49</v>
      </c>
      <c r="J1010" t="s">
        <v>49</v>
      </c>
      <c r="Y1010" t="s">
        <v>545</v>
      </c>
    </row>
    <row r="1011" spans="1:25">
      <c r="A1011" t="s">
        <v>693</v>
      </c>
      <c r="B1011">
        <v>3647.4981948126501</v>
      </c>
      <c r="C1011">
        <v>14.3008672966739</v>
      </c>
      <c r="D1011" t="s">
        <v>42</v>
      </c>
      <c r="E1011">
        <v>4</v>
      </c>
      <c r="R1011" t="s">
        <v>20</v>
      </c>
      <c r="Y1011" t="s">
        <v>545</v>
      </c>
    </row>
    <row r="1012" spans="1:25">
      <c r="A1012" t="s">
        <v>693</v>
      </c>
      <c r="B1012">
        <v>3658.5964491673299</v>
      </c>
      <c r="C1012">
        <v>17</v>
      </c>
      <c r="D1012" t="s">
        <v>6</v>
      </c>
      <c r="E1012">
        <v>29</v>
      </c>
      <c r="T1012" t="s">
        <v>21</v>
      </c>
      <c r="U1012" t="s">
        <v>28</v>
      </c>
      <c r="Y1012" t="s">
        <v>545</v>
      </c>
    </row>
    <row r="1013" spans="1:25">
      <c r="A1013" t="s">
        <v>693</v>
      </c>
      <c r="B1013">
        <v>3660.2977531493102</v>
      </c>
      <c r="C1013">
        <v>20</v>
      </c>
      <c r="D1013" t="s">
        <v>743</v>
      </c>
      <c r="E1013">
        <v>50</v>
      </c>
      <c r="I1013" t="s">
        <v>439</v>
      </c>
      <c r="M1013" t="s">
        <v>604</v>
      </c>
      <c r="Y1013" t="s">
        <v>545</v>
      </c>
    </row>
    <row r="1014" spans="1:25">
      <c r="A1014" t="s">
        <v>693</v>
      </c>
      <c r="B1014">
        <v>3661.79906210933</v>
      </c>
      <c r="C1014">
        <v>3.7973870579989999</v>
      </c>
      <c r="D1014" t="s">
        <v>10</v>
      </c>
      <c r="E1014">
        <v>70</v>
      </c>
      <c r="Y1014" t="s">
        <v>545</v>
      </c>
    </row>
    <row r="1015" spans="1:25">
      <c r="A1015" t="s">
        <v>693</v>
      </c>
      <c r="B1015">
        <v>3662.5964491673299</v>
      </c>
      <c r="C1015">
        <v>15.802248725</v>
      </c>
      <c r="D1015" t="s">
        <v>18</v>
      </c>
      <c r="E1015">
        <v>81</v>
      </c>
      <c r="Y1015" t="s">
        <v>545</v>
      </c>
    </row>
    <row r="1016" spans="1:25">
      <c r="A1016" t="s">
        <v>693</v>
      </c>
      <c r="B1016">
        <v>3663.7395624679998</v>
      </c>
      <c r="C1016">
        <v>20</v>
      </c>
      <c r="D1016" t="s">
        <v>791</v>
      </c>
      <c r="E1016">
        <v>6</v>
      </c>
      <c r="H1016" t="s">
        <v>437</v>
      </c>
      <c r="I1016" t="s">
        <v>440</v>
      </c>
      <c r="M1016" t="s">
        <v>604</v>
      </c>
      <c r="Y1016" t="s">
        <v>545</v>
      </c>
    </row>
    <row r="1017" spans="1:25">
      <c r="A1017" t="s">
        <v>693</v>
      </c>
      <c r="B1017">
        <v>3664.9984205646601</v>
      </c>
      <c r="C1017">
        <v>20</v>
      </c>
      <c r="D1017" t="s">
        <v>45</v>
      </c>
      <c r="E1017">
        <v>14</v>
      </c>
      <c r="N1017">
        <v>80</v>
      </c>
      <c r="O1017">
        <v>48</v>
      </c>
      <c r="Q1017" t="s">
        <v>602</v>
      </c>
      <c r="Y1017" t="s">
        <v>545</v>
      </c>
    </row>
    <row r="1018" spans="1:25">
      <c r="A1018" t="s">
        <v>693</v>
      </c>
      <c r="B1018">
        <v>3665.5964491673299</v>
      </c>
      <c r="C1018">
        <v>69.9017578063294</v>
      </c>
      <c r="D1018" t="s">
        <v>19</v>
      </c>
      <c r="E1018">
        <v>71</v>
      </c>
      <c r="Y1018" t="s">
        <v>545</v>
      </c>
    </row>
    <row r="1019" spans="1:25">
      <c r="A1019" t="s">
        <v>693</v>
      </c>
      <c r="B1019">
        <v>3666.59745445933</v>
      </c>
      <c r="C1019">
        <v>11.801243432997101</v>
      </c>
      <c r="D1019" t="s">
        <v>32</v>
      </c>
      <c r="E1019">
        <v>26</v>
      </c>
      <c r="R1019" t="s">
        <v>23</v>
      </c>
      <c r="Y1019" t="s">
        <v>545</v>
      </c>
    </row>
    <row r="1020" spans="1:25">
      <c r="A1020" t="s">
        <v>693</v>
      </c>
      <c r="B1020">
        <v>3666.9981719973298</v>
      </c>
      <c r="C1020">
        <v>20</v>
      </c>
      <c r="D1020" t="s">
        <v>793</v>
      </c>
      <c r="E1020">
        <v>7</v>
      </c>
      <c r="I1020" t="s">
        <v>442</v>
      </c>
      <c r="M1020" t="s">
        <v>605</v>
      </c>
      <c r="Y1020" t="s">
        <v>545</v>
      </c>
    </row>
    <row r="1021" spans="1:25">
      <c r="A1021" t="s">
        <v>693</v>
      </c>
      <c r="B1021">
        <v>3671.3986978923299</v>
      </c>
      <c r="C1021">
        <v>17</v>
      </c>
      <c r="D1021" t="s">
        <v>40</v>
      </c>
      <c r="E1021">
        <v>50</v>
      </c>
      <c r="U1021" t="s">
        <v>28</v>
      </c>
      <c r="Y1021" t="s">
        <v>545</v>
      </c>
    </row>
    <row r="1022" spans="1:25">
      <c r="A1022" t="s">
        <v>693</v>
      </c>
      <c r="B1022">
        <v>3672.0850557439999</v>
      </c>
      <c r="C1022">
        <v>20</v>
      </c>
      <c r="D1022" t="s">
        <v>642</v>
      </c>
      <c r="E1022">
        <v>10</v>
      </c>
      <c r="J1022" t="s">
        <v>55</v>
      </c>
      <c r="Y1022" t="s">
        <v>545</v>
      </c>
    </row>
    <row r="1023" spans="1:25">
      <c r="A1023" t="s">
        <v>693</v>
      </c>
      <c r="B1023">
        <v>3675.3986978923299</v>
      </c>
      <c r="C1023">
        <v>7.3996522749948701</v>
      </c>
      <c r="D1023" t="s">
        <v>9</v>
      </c>
      <c r="E1023">
        <v>90</v>
      </c>
      <c r="Y1023" t="s">
        <v>545</v>
      </c>
    </row>
    <row r="1024" spans="1:25">
      <c r="A1024" t="s">
        <v>693</v>
      </c>
      <c r="B1024">
        <v>3675.7983501673202</v>
      </c>
      <c r="C1024">
        <v>17</v>
      </c>
      <c r="D1024" t="s">
        <v>27</v>
      </c>
      <c r="E1024">
        <v>48</v>
      </c>
      <c r="U1024" t="s">
        <v>28</v>
      </c>
      <c r="Y1024" t="s">
        <v>545</v>
      </c>
    </row>
    <row r="1025" spans="1:25">
      <c r="A1025" t="s">
        <v>693</v>
      </c>
      <c r="B1025">
        <v>3679.7983501673202</v>
      </c>
      <c r="C1025">
        <v>41.9999465770074</v>
      </c>
      <c r="D1025" t="s">
        <v>18</v>
      </c>
      <c r="E1025">
        <v>82</v>
      </c>
      <c r="Y1025" t="s">
        <v>545</v>
      </c>
    </row>
    <row r="1026" spans="1:25">
      <c r="A1026" t="s">
        <v>693</v>
      </c>
      <c r="B1026">
        <v>3701.7169738746502</v>
      </c>
      <c r="C1026">
        <v>19.7785693323803</v>
      </c>
      <c r="D1026" t="s">
        <v>121</v>
      </c>
      <c r="E1026">
        <v>35</v>
      </c>
      <c r="P1026" t="s">
        <v>667</v>
      </c>
      <c r="R1026" t="s">
        <v>20</v>
      </c>
      <c r="Y1026" t="s">
        <v>545</v>
      </c>
    </row>
    <row r="1027" spans="1:25">
      <c r="A1027" t="s">
        <v>693</v>
      </c>
      <c r="B1027">
        <v>3703.79807725099</v>
      </c>
      <c r="C1027">
        <v>20</v>
      </c>
      <c r="D1027" t="s">
        <v>638</v>
      </c>
      <c r="E1027">
        <v>57</v>
      </c>
      <c r="I1027" t="s">
        <v>447</v>
      </c>
      <c r="M1027" t="s">
        <v>438</v>
      </c>
      <c r="Y1027" t="s">
        <v>545</v>
      </c>
    </row>
    <row r="1028" spans="1:25">
      <c r="A1028" t="s">
        <v>693</v>
      </c>
      <c r="B1028">
        <v>3708.1974510896598</v>
      </c>
      <c r="C1028">
        <v>20</v>
      </c>
      <c r="D1028" t="s">
        <v>687</v>
      </c>
      <c r="E1028">
        <v>30</v>
      </c>
      <c r="H1028" t="s">
        <v>437</v>
      </c>
      <c r="I1028" t="s">
        <v>442</v>
      </c>
      <c r="M1028" t="s">
        <v>604</v>
      </c>
      <c r="Y1028" t="s">
        <v>545</v>
      </c>
    </row>
    <row r="1029" spans="1:25">
      <c r="A1029" t="s">
        <v>693</v>
      </c>
      <c r="B1029">
        <v>3709.0267869610002</v>
      </c>
      <c r="C1029">
        <v>20</v>
      </c>
      <c r="D1029" t="s">
        <v>770</v>
      </c>
      <c r="E1029">
        <v>27</v>
      </c>
      <c r="H1029" t="s">
        <v>445</v>
      </c>
      <c r="M1029" t="s">
        <v>631</v>
      </c>
      <c r="Y1029" t="s">
        <v>545</v>
      </c>
    </row>
    <row r="1030" spans="1:25">
      <c r="A1030" t="s">
        <v>693</v>
      </c>
      <c r="B1030">
        <v>3714.7982967443299</v>
      </c>
      <c r="C1030">
        <v>17</v>
      </c>
      <c r="D1030" t="s">
        <v>40</v>
      </c>
      <c r="E1030">
        <v>51</v>
      </c>
      <c r="U1030" t="s">
        <v>195</v>
      </c>
      <c r="Y1030" t="s">
        <v>545</v>
      </c>
    </row>
    <row r="1031" spans="1:25">
      <c r="A1031" t="s">
        <v>693</v>
      </c>
      <c r="B1031">
        <v>3717.6576319639998</v>
      </c>
      <c r="C1031">
        <v>20</v>
      </c>
      <c r="D1031" t="s">
        <v>795</v>
      </c>
      <c r="E1031">
        <v>25</v>
      </c>
      <c r="K1031" t="s">
        <v>441</v>
      </c>
      <c r="M1031" t="s">
        <v>613</v>
      </c>
      <c r="Y1031" t="s">
        <v>545</v>
      </c>
    </row>
    <row r="1032" spans="1:25">
      <c r="A1032" t="s">
        <v>693</v>
      </c>
      <c r="B1032">
        <v>3718.7982967443299</v>
      </c>
      <c r="C1032">
        <v>16.699910229326999</v>
      </c>
      <c r="D1032" t="s">
        <v>9</v>
      </c>
      <c r="E1032">
        <v>91</v>
      </c>
      <c r="Y1032" t="s">
        <v>545</v>
      </c>
    </row>
    <row r="1033" spans="1:25">
      <c r="A1033" t="s">
        <v>693</v>
      </c>
      <c r="B1033">
        <v>3722.3971177980002</v>
      </c>
      <c r="C1033">
        <v>13.101089175659499</v>
      </c>
      <c r="D1033" t="s">
        <v>42</v>
      </c>
      <c r="E1033">
        <v>5</v>
      </c>
      <c r="R1033" t="s">
        <v>23</v>
      </c>
      <c r="Y1033" t="s">
        <v>545</v>
      </c>
    </row>
    <row r="1034" spans="1:25">
      <c r="A1034" t="s">
        <v>693</v>
      </c>
      <c r="B1034">
        <v>3722.4987033379998</v>
      </c>
      <c r="C1034">
        <v>20</v>
      </c>
      <c r="D1034" t="s">
        <v>41</v>
      </c>
      <c r="E1034">
        <v>15</v>
      </c>
      <c r="Y1034" t="s">
        <v>545</v>
      </c>
    </row>
    <row r="1035" spans="1:25">
      <c r="A1035" t="s">
        <v>693</v>
      </c>
      <c r="B1035">
        <v>3725.2991362576499</v>
      </c>
      <c r="C1035">
        <v>20</v>
      </c>
      <c r="D1035" t="s">
        <v>637</v>
      </c>
      <c r="E1035">
        <v>44</v>
      </c>
      <c r="K1035" t="s">
        <v>441</v>
      </c>
      <c r="M1035" t="s">
        <v>623</v>
      </c>
      <c r="Y1035" t="s">
        <v>545</v>
      </c>
    </row>
    <row r="1036" spans="1:25">
      <c r="A1036" t="s">
        <v>693</v>
      </c>
      <c r="B1036">
        <v>3735.4982069736602</v>
      </c>
      <c r="C1036">
        <v>25.228396296338801</v>
      </c>
      <c r="D1036" t="s">
        <v>10</v>
      </c>
      <c r="E1036">
        <v>71</v>
      </c>
      <c r="Y1036" t="s">
        <v>545</v>
      </c>
    </row>
    <row r="1037" spans="1:25">
      <c r="A1037" t="s">
        <v>693</v>
      </c>
      <c r="B1037">
        <v>3752.69920110665</v>
      </c>
      <c r="C1037">
        <v>20</v>
      </c>
      <c r="D1037" t="s">
        <v>638</v>
      </c>
      <c r="E1037">
        <v>58</v>
      </c>
      <c r="G1037" t="s">
        <v>765</v>
      </c>
      <c r="I1037" t="s">
        <v>447</v>
      </c>
      <c r="M1037" t="s">
        <v>443</v>
      </c>
      <c r="Y1037" t="s">
        <v>545</v>
      </c>
    </row>
    <row r="1038" spans="1:25">
      <c r="A1038" t="s">
        <v>693</v>
      </c>
      <c r="B1038">
        <v>3753.7266032699999</v>
      </c>
      <c r="C1038">
        <v>17</v>
      </c>
      <c r="D1038" t="s">
        <v>11</v>
      </c>
      <c r="E1038">
        <v>34</v>
      </c>
      <c r="T1038" t="s">
        <v>15</v>
      </c>
      <c r="Y1038" t="s">
        <v>545</v>
      </c>
    </row>
    <row r="1039" spans="1:25">
      <c r="A1039" t="s">
        <v>693</v>
      </c>
      <c r="B1039">
        <v>3756.4983100023301</v>
      </c>
      <c r="C1039">
        <v>17</v>
      </c>
      <c r="D1039" t="s">
        <v>27</v>
      </c>
      <c r="E1039">
        <v>49</v>
      </c>
      <c r="U1039" t="s">
        <v>28</v>
      </c>
      <c r="Y1039" t="s">
        <v>545</v>
      </c>
    </row>
    <row r="1040" spans="1:25">
      <c r="A1040" t="s">
        <v>693</v>
      </c>
      <c r="B1040">
        <v>3757.7266032699999</v>
      </c>
      <c r="C1040">
        <v>5.7717067323301299</v>
      </c>
      <c r="D1040" t="s">
        <v>9</v>
      </c>
      <c r="E1040">
        <v>92</v>
      </c>
      <c r="Y1040" t="s">
        <v>545</v>
      </c>
    </row>
    <row r="1041" spans="1:25">
      <c r="A1041" t="s">
        <v>693</v>
      </c>
      <c r="B1041">
        <v>3760.4983100023301</v>
      </c>
      <c r="C1041">
        <v>16.100298012001002</v>
      </c>
      <c r="D1041" t="s">
        <v>18</v>
      </c>
      <c r="E1041">
        <v>83</v>
      </c>
      <c r="Y1041" t="s">
        <v>545</v>
      </c>
    </row>
    <row r="1042" spans="1:25">
      <c r="A1042" t="s">
        <v>693</v>
      </c>
      <c r="B1042">
        <v>3760.7266032699999</v>
      </c>
      <c r="C1042">
        <v>35.579189175664801</v>
      </c>
      <c r="D1042" t="s">
        <v>19</v>
      </c>
      <c r="E1042">
        <v>72</v>
      </c>
      <c r="Y1042" t="s">
        <v>545</v>
      </c>
    </row>
    <row r="1043" spans="1:25">
      <c r="A1043" t="s">
        <v>693</v>
      </c>
      <c r="B1043">
        <v>3765.3515739999998</v>
      </c>
      <c r="C1043">
        <v>20</v>
      </c>
      <c r="D1043" t="s">
        <v>791</v>
      </c>
      <c r="E1043">
        <v>7</v>
      </c>
      <c r="I1043" t="s">
        <v>439</v>
      </c>
      <c r="M1043" t="s">
        <v>736</v>
      </c>
      <c r="Y1043" t="s">
        <v>545</v>
      </c>
    </row>
    <row r="1044" spans="1:25">
      <c r="A1044" t="s">
        <v>693</v>
      </c>
      <c r="B1044">
        <v>3769.5986080143298</v>
      </c>
      <c r="C1044">
        <v>17</v>
      </c>
      <c r="D1044" t="s">
        <v>40</v>
      </c>
      <c r="E1044">
        <v>52</v>
      </c>
      <c r="U1044" t="s">
        <v>14</v>
      </c>
      <c r="Y1044" t="s">
        <v>545</v>
      </c>
    </row>
    <row r="1045" spans="1:25">
      <c r="A1045" t="s">
        <v>693</v>
      </c>
      <c r="B1045">
        <v>3773.5986080143298</v>
      </c>
      <c r="C1045">
        <v>22.707184431333602</v>
      </c>
      <c r="D1045" t="s">
        <v>9</v>
      </c>
      <c r="E1045">
        <v>93</v>
      </c>
      <c r="Y1045" t="s">
        <v>545</v>
      </c>
    </row>
    <row r="1046" spans="1:25">
      <c r="A1046" t="s">
        <v>693</v>
      </c>
      <c r="B1046">
        <v>3773.8361346900001</v>
      </c>
      <c r="C1046">
        <v>22.469657755664599</v>
      </c>
      <c r="D1046" t="s">
        <v>42</v>
      </c>
      <c r="E1046">
        <v>6</v>
      </c>
      <c r="R1046" t="s">
        <v>23</v>
      </c>
      <c r="Y1046" t="s">
        <v>545</v>
      </c>
    </row>
    <row r="1047" spans="1:25">
      <c r="A1047" t="s">
        <v>693</v>
      </c>
      <c r="B1047">
        <v>3774.89405208065</v>
      </c>
      <c r="C1047">
        <v>20</v>
      </c>
      <c r="D1047" t="s">
        <v>637</v>
      </c>
      <c r="E1047">
        <v>45</v>
      </c>
      <c r="J1047" t="s">
        <v>753</v>
      </c>
      <c r="Y1047" t="s">
        <v>545</v>
      </c>
    </row>
    <row r="1048" spans="1:25">
      <c r="A1048" t="s">
        <v>693</v>
      </c>
      <c r="B1048">
        <v>3775.0981468816599</v>
      </c>
      <c r="C1048">
        <v>20</v>
      </c>
      <c r="D1048" t="s">
        <v>41</v>
      </c>
      <c r="E1048">
        <v>16</v>
      </c>
      <c r="Y1048" t="s">
        <v>545</v>
      </c>
    </row>
    <row r="1049" spans="1:25">
      <c r="A1049" t="s">
        <v>693</v>
      </c>
      <c r="B1049">
        <v>3776.29930535932</v>
      </c>
      <c r="C1049">
        <v>20</v>
      </c>
      <c r="D1049" t="s">
        <v>46</v>
      </c>
      <c r="E1049">
        <v>7</v>
      </c>
      <c r="R1049" t="s">
        <v>20</v>
      </c>
      <c r="Y1049" t="s">
        <v>545</v>
      </c>
    </row>
    <row r="1050" spans="1:25">
      <c r="A1050" t="s">
        <v>693</v>
      </c>
      <c r="B1050">
        <v>3779.3383037519998</v>
      </c>
      <c r="C1050">
        <v>20</v>
      </c>
      <c r="D1050" t="s">
        <v>637</v>
      </c>
      <c r="E1050">
        <v>46</v>
      </c>
      <c r="K1050" t="s">
        <v>48</v>
      </c>
      <c r="M1050" t="s">
        <v>613</v>
      </c>
      <c r="Y1050" t="s">
        <v>545</v>
      </c>
    </row>
    <row r="1051" spans="1:25">
      <c r="A1051" t="s">
        <v>693</v>
      </c>
      <c r="B1051">
        <v>3779.8979785296601</v>
      </c>
      <c r="C1051">
        <v>20</v>
      </c>
      <c r="D1051" t="s">
        <v>45</v>
      </c>
      <c r="E1051">
        <v>15</v>
      </c>
      <c r="N1051">
        <v>87</v>
      </c>
      <c r="O1051">
        <v>57</v>
      </c>
      <c r="Q1051" t="s">
        <v>722</v>
      </c>
      <c r="Y1051" t="s">
        <v>545</v>
      </c>
    </row>
    <row r="1052" spans="1:25">
      <c r="A1052" t="s">
        <v>693</v>
      </c>
      <c r="B1052">
        <v>3780.9320241370001</v>
      </c>
      <c r="C1052">
        <v>20</v>
      </c>
      <c r="D1052" t="s">
        <v>136</v>
      </c>
      <c r="E1052">
        <v>9</v>
      </c>
      <c r="Y1052" t="s">
        <v>545</v>
      </c>
    </row>
    <row r="1053" spans="1:25">
      <c r="A1053" t="s">
        <v>693</v>
      </c>
      <c r="B1053">
        <v>3783.5087898069901</v>
      </c>
      <c r="C1053">
        <v>20</v>
      </c>
      <c r="D1053" t="s">
        <v>136</v>
      </c>
      <c r="E1053">
        <v>10</v>
      </c>
      <c r="Y1053" t="s">
        <v>545</v>
      </c>
    </row>
    <row r="1054" spans="1:25">
      <c r="A1054" t="s">
        <v>693</v>
      </c>
      <c r="B1054">
        <v>3785.49880287832</v>
      </c>
      <c r="C1054">
        <v>20</v>
      </c>
      <c r="D1054" t="s">
        <v>777</v>
      </c>
      <c r="E1054">
        <v>41</v>
      </c>
      <c r="J1054" t="s">
        <v>55</v>
      </c>
      <c r="Y1054" t="s">
        <v>545</v>
      </c>
    </row>
    <row r="1055" spans="1:25">
      <c r="A1055" t="s">
        <v>693</v>
      </c>
      <c r="B1055">
        <v>3796.3057924456598</v>
      </c>
      <c r="C1055">
        <v>22.3724941073351</v>
      </c>
      <c r="D1055" t="s">
        <v>10</v>
      </c>
      <c r="E1055">
        <v>72</v>
      </c>
      <c r="Y1055" t="s">
        <v>545</v>
      </c>
    </row>
    <row r="1056" spans="1:25">
      <c r="A1056" t="s">
        <v>693</v>
      </c>
      <c r="B1056">
        <v>3810.3735249609999</v>
      </c>
      <c r="C1056">
        <v>20</v>
      </c>
      <c r="D1056" t="s">
        <v>642</v>
      </c>
      <c r="E1056">
        <v>11</v>
      </c>
      <c r="J1056" t="s">
        <v>47</v>
      </c>
      <c r="Y1056" t="s">
        <v>545</v>
      </c>
    </row>
    <row r="1057" spans="1:25">
      <c r="A1057" t="s">
        <v>693</v>
      </c>
      <c r="B1057">
        <v>3811.6782865529999</v>
      </c>
      <c r="C1057">
        <v>17</v>
      </c>
      <c r="D1057" t="s">
        <v>11</v>
      </c>
      <c r="E1057">
        <v>35</v>
      </c>
      <c r="T1057" t="s">
        <v>15</v>
      </c>
      <c r="Y1057" t="s">
        <v>545</v>
      </c>
    </row>
    <row r="1058" spans="1:25">
      <c r="A1058" t="s">
        <v>693</v>
      </c>
      <c r="B1058">
        <v>3815.6782865529999</v>
      </c>
      <c r="C1058">
        <v>7.5201676350038698</v>
      </c>
      <c r="D1058" t="s">
        <v>9</v>
      </c>
      <c r="E1058">
        <v>94</v>
      </c>
      <c r="Y1058" t="s">
        <v>545</v>
      </c>
    </row>
    <row r="1059" spans="1:25">
      <c r="A1059" t="s">
        <v>693</v>
      </c>
      <c r="B1059">
        <v>3816.1984541880001</v>
      </c>
      <c r="C1059">
        <v>17</v>
      </c>
      <c r="D1059" t="s">
        <v>27</v>
      </c>
      <c r="E1059">
        <v>50</v>
      </c>
      <c r="U1059" t="s">
        <v>28</v>
      </c>
      <c r="Y1059" t="s">
        <v>545</v>
      </c>
    </row>
    <row r="1060" spans="1:25">
      <c r="A1060" t="s">
        <v>693</v>
      </c>
      <c r="B1060">
        <v>3818.6782865529999</v>
      </c>
      <c r="C1060">
        <v>9.71676314866545</v>
      </c>
      <c r="D1060" t="s">
        <v>19</v>
      </c>
      <c r="E1060">
        <v>73</v>
      </c>
      <c r="Y1060" t="s">
        <v>545</v>
      </c>
    </row>
    <row r="1061" spans="1:25">
      <c r="A1061" t="s">
        <v>693</v>
      </c>
      <c r="B1061">
        <v>3820.1984541880001</v>
      </c>
      <c r="C1061">
        <v>8.1965955136615705</v>
      </c>
      <c r="D1061" t="s">
        <v>18</v>
      </c>
      <c r="E1061">
        <v>84</v>
      </c>
      <c r="Y1061" t="s">
        <v>545</v>
      </c>
    </row>
    <row r="1062" spans="1:25">
      <c r="A1062" t="s">
        <v>693</v>
      </c>
      <c r="B1062">
        <v>3828.3950497016599</v>
      </c>
      <c r="C1062">
        <v>11.5008583213293</v>
      </c>
      <c r="D1062" t="s">
        <v>10</v>
      </c>
      <c r="E1062">
        <v>73</v>
      </c>
      <c r="Y1062" t="s">
        <v>545</v>
      </c>
    </row>
    <row r="1063" spans="1:25">
      <c r="A1063" t="s">
        <v>693</v>
      </c>
      <c r="B1063">
        <v>3832.8959080229902</v>
      </c>
      <c r="C1063">
        <v>17</v>
      </c>
      <c r="D1063" t="s">
        <v>11</v>
      </c>
      <c r="E1063">
        <v>36</v>
      </c>
      <c r="T1063" t="s">
        <v>12</v>
      </c>
      <c r="U1063" t="s">
        <v>195</v>
      </c>
      <c r="Y1063" t="s">
        <v>545</v>
      </c>
    </row>
    <row r="1064" spans="1:25">
      <c r="A1064" t="s">
        <v>693</v>
      </c>
      <c r="B1064">
        <v>3836.8959080229902</v>
      </c>
      <c r="C1064">
        <v>27.002127023332299</v>
      </c>
      <c r="D1064" t="s">
        <v>9</v>
      </c>
      <c r="E1064">
        <v>95</v>
      </c>
      <c r="Y1064" t="s">
        <v>545</v>
      </c>
    </row>
    <row r="1065" spans="1:25">
      <c r="A1065" t="s">
        <v>693</v>
      </c>
      <c r="B1065">
        <v>3839.8959080229902</v>
      </c>
      <c r="C1065">
        <v>24.002127023332299</v>
      </c>
      <c r="D1065" t="s">
        <v>19</v>
      </c>
      <c r="E1065">
        <v>74</v>
      </c>
      <c r="Y1065" t="s">
        <v>545</v>
      </c>
    </row>
    <row r="1066" spans="1:25">
      <c r="A1066" t="s">
        <v>693</v>
      </c>
      <c r="B1066">
        <v>3843.2990688483301</v>
      </c>
      <c r="C1066">
        <v>20.598966197996099</v>
      </c>
      <c r="D1066" t="s">
        <v>42</v>
      </c>
      <c r="E1066">
        <v>7</v>
      </c>
      <c r="R1066" t="s">
        <v>20</v>
      </c>
      <c r="Y1066" t="s">
        <v>545</v>
      </c>
    </row>
    <row r="1067" spans="1:25">
      <c r="A1067" t="s">
        <v>693</v>
      </c>
      <c r="B1067">
        <v>3845.6135891270001</v>
      </c>
      <c r="C1067">
        <v>20</v>
      </c>
      <c r="D1067" t="s">
        <v>777</v>
      </c>
      <c r="E1067">
        <v>42</v>
      </c>
      <c r="I1067" t="s">
        <v>439</v>
      </c>
      <c r="K1067" t="s">
        <v>48</v>
      </c>
      <c r="M1067" t="s">
        <v>614</v>
      </c>
      <c r="Y1067" t="s">
        <v>545</v>
      </c>
    </row>
    <row r="1068" spans="1:25">
      <c r="A1068" t="s">
        <v>693</v>
      </c>
      <c r="B1068">
        <v>3851.3979695446501</v>
      </c>
      <c r="C1068">
        <v>20</v>
      </c>
      <c r="D1068" t="s">
        <v>793</v>
      </c>
      <c r="E1068">
        <v>8</v>
      </c>
      <c r="J1068" t="s">
        <v>223</v>
      </c>
      <c r="K1068" t="s">
        <v>441</v>
      </c>
      <c r="M1068" t="s">
        <v>613</v>
      </c>
      <c r="Y1068" t="s">
        <v>545</v>
      </c>
    </row>
    <row r="1069" spans="1:25">
      <c r="A1069" t="s">
        <v>693</v>
      </c>
      <c r="B1069">
        <v>3863.8980350463198</v>
      </c>
      <c r="C1069">
        <v>11.0977570040013</v>
      </c>
      <c r="D1069" t="s">
        <v>10</v>
      </c>
      <c r="E1069">
        <v>74</v>
      </c>
      <c r="Y1069" t="s">
        <v>545</v>
      </c>
    </row>
    <row r="1070" spans="1:25">
      <c r="A1070" t="s">
        <v>693</v>
      </c>
      <c r="B1070">
        <v>3871.9957920503198</v>
      </c>
      <c r="C1070">
        <v>5.3435643146717604</v>
      </c>
      <c r="D1070" t="s">
        <v>9</v>
      </c>
      <c r="E1070">
        <v>96</v>
      </c>
      <c r="Y1070" t="s">
        <v>545</v>
      </c>
    </row>
    <row r="1071" spans="1:25">
      <c r="A1071" t="s">
        <v>693</v>
      </c>
      <c r="B1071">
        <v>3873.49683933699</v>
      </c>
      <c r="C1071">
        <v>20</v>
      </c>
      <c r="D1071" t="s">
        <v>41</v>
      </c>
      <c r="E1071">
        <v>17</v>
      </c>
      <c r="Y1071" t="s">
        <v>545</v>
      </c>
    </row>
    <row r="1072" spans="1:25">
      <c r="A1072" t="s">
        <v>693</v>
      </c>
      <c r="B1072">
        <v>3874.0982961589998</v>
      </c>
      <c r="C1072">
        <v>17</v>
      </c>
      <c r="D1072" t="s">
        <v>11</v>
      </c>
      <c r="E1072">
        <v>37</v>
      </c>
      <c r="T1072" t="s">
        <v>13</v>
      </c>
      <c r="Y1072" t="s">
        <v>545</v>
      </c>
    </row>
    <row r="1073" spans="1:25">
      <c r="A1073" t="s">
        <v>693</v>
      </c>
      <c r="B1073">
        <v>3874.9957920503198</v>
      </c>
      <c r="C1073">
        <v>2.34356431467176</v>
      </c>
      <c r="D1073" t="s">
        <v>19</v>
      </c>
      <c r="E1073">
        <v>75</v>
      </c>
      <c r="Y1073" t="s">
        <v>545</v>
      </c>
    </row>
    <row r="1074" spans="1:25">
      <c r="A1074" t="s">
        <v>693</v>
      </c>
      <c r="B1074">
        <v>3877.3393563650002</v>
      </c>
      <c r="C1074">
        <v>3.7589397940032501</v>
      </c>
      <c r="D1074" t="s">
        <v>10</v>
      </c>
      <c r="E1074">
        <v>75</v>
      </c>
      <c r="Y1074" t="s">
        <v>545</v>
      </c>
    </row>
    <row r="1075" spans="1:25">
      <c r="A1075" t="s">
        <v>693</v>
      </c>
      <c r="B1075">
        <v>3877.9442995489999</v>
      </c>
      <c r="C1075">
        <v>20</v>
      </c>
      <c r="D1075" t="s">
        <v>777</v>
      </c>
      <c r="E1075">
        <v>43</v>
      </c>
      <c r="K1075" t="s">
        <v>441</v>
      </c>
      <c r="M1075" t="s">
        <v>613</v>
      </c>
      <c r="Y1075" t="s">
        <v>545</v>
      </c>
    </row>
    <row r="1076" spans="1:25">
      <c r="A1076" t="s">
        <v>693</v>
      </c>
      <c r="B1076">
        <v>3878.0982961589998</v>
      </c>
      <c r="C1076">
        <v>16.498733927995001</v>
      </c>
      <c r="D1076" t="s">
        <v>9</v>
      </c>
      <c r="E1076">
        <v>97</v>
      </c>
      <c r="Y1076" t="s">
        <v>545</v>
      </c>
    </row>
    <row r="1077" spans="1:25">
      <c r="A1077" t="s">
        <v>693</v>
      </c>
      <c r="B1077">
        <v>3881.0982961589998</v>
      </c>
      <c r="C1077">
        <v>13.498733927995</v>
      </c>
      <c r="D1077" t="s">
        <v>19</v>
      </c>
      <c r="E1077">
        <v>76</v>
      </c>
      <c r="Y1077" t="s">
        <v>545</v>
      </c>
    </row>
    <row r="1078" spans="1:25">
      <c r="A1078" t="s">
        <v>693</v>
      </c>
      <c r="B1078">
        <v>3884.7151003869999</v>
      </c>
      <c r="C1078">
        <v>20</v>
      </c>
      <c r="D1078" t="s">
        <v>795</v>
      </c>
      <c r="E1078">
        <v>26</v>
      </c>
      <c r="J1078" t="s">
        <v>223</v>
      </c>
      <c r="Y1078" t="s">
        <v>545</v>
      </c>
    </row>
    <row r="1079" spans="1:25">
      <c r="A1079" t="s">
        <v>693</v>
      </c>
      <c r="B1079">
        <v>3894.5970300869899</v>
      </c>
      <c r="C1079">
        <v>41.413428976001299</v>
      </c>
      <c r="D1079" t="s">
        <v>10</v>
      </c>
      <c r="E1079">
        <v>76</v>
      </c>
      <c r="Y1079" t="s">
        <v>545</v>
      </c>
    </row>
    <row r="1080" spans="1:25">
      <c r="A1080" t="s">
        <v>693</v>
      </c>
      <c r="B1080">
        <v>3929.0104590629999</v>
      </c>
      <c r="C1080">
        <v>17</v>
      </c>
      <c r="D1080" t="s">
        <v>11</v>
      </c>
      <c r="E1080">
        <v>38</v>
      </c>
      <c r="T1080" t="s">
        <v>13</v>
      </c>
      <c r="Y1080" t="s">
        <v>545</v>
      </c>
    </row>
    <row r="1081" spans="1:25">
      <c r="A1081" t="s">
        <v>693</v>
      </c>
      <c r="B1081">
        <v>3930.6987489913199</v>
      </c>
      <c r="C1081">
        <v>17</v>
      </c>
      <c r="D1081" t="s">
        <v>27</v>
      </c>
      <c r="E1081">
        <v>51</v>
      </c>
      <c r="U1081" t="s">
        <v>28</v>
      </c>
      <c r="Y1081" t="s">
        <v>545</v>
      </c>
    </row>
    <row r="1082" spans="1:25">
      <c r="A1082" t="s">
        <v>693</v>
      </c>
      <c r="B1082">
        <v>3933.0104590629999</v>
      </c>
      <c r="C1082">
        <v>4.6882899283250401</v>
      </c>
      <c r="D1082" t="s">
        <v>9</v>
      </c>
      <c r="E1082">
        <v>98</v>
      </c>
      <c r="Y1082" t="s">
        <v>545</v>
      </c>
    </row>
    <row r="1083" spans="1:25">
      <c r="A1083" t="s">
        <v>693</v>
      </c>
      <c r="B1083">
        <v>3934.6987489913199</v>
      </c>
      <c r="C1083">
        <v>18.381478673338201</v>
      </c>
      <c r="D1083" t="s">
        <v>18</v>
      </c>
      <c r="E1083">
        <v>85</v>
      </c>
      <c r="Y1083" t="s">
        <v>545</v>
      </c>
    </row>
    <row r="1084" spans="1:25">
      <c r="A1084" t="s">
        <v>693</v>
      </c>
      <c r="B1084">
        <v>3935.0979531713301</v>
      </c>
      <c r="C1084">
        <v>20</v>
      </c>
      <c r="D1084" t="s">
        <v>638</v>
      </c>
      <c r="E1084">
        <v>59</v>
      </c>
      <c r="I1084" t="s">
        <v>442</v>
      </c>
      <c r="M1084" t="s">
        <v>438</v>
      </c>
      <c r="Y1084" t="s">
        <v>545</v>
      </c>
    </row>
    <row r="1085" spans="1:25">
      <c r="A1085" t="s">
        <v>693</v>
      </c>
      <c r="B1085">
        <v>3936.0104590629999</v>
      </c>
      <c r="C1085">
        <v>82.889289646000094</v>
      </c>
      <c r="D1085" t="s">
        <v>19</v>
      </c>
      <c r="E1085">
        <v>77</v>
      </c>
      <c r="Y1085" t="s">
        <v>545</v>
      </c>
    </row>
    <row r="1086" spans="1:25">
      <c r="A1086" t="s">
        <v>693</v>
      </c>
      <c r="B1086">
        <v>3937.9975765006502</v>
      </c>
      <c r="C1086">
        <v>20</v>
      </c>
      <c r="D1086" t="s">
        <v>642</v>
      </c>
      <c r="E1086">
        <v>12</v>
      </c>
      <c r="H1086" t="s">
        <v>450</v>
      </c>
      <c r="I1086" t="s">
        <v>439</v>
      </c>
      <c r="M1086" t="s">
        <v>605</v>
      </c>
      <c r="Y1086" t="s">
        <v>545</v>
      </c>
    </row>
    <row r="1087" spans="1:25">
      <c r="A1087" t="s">
        <v>693</v>
      </c>
      <c r="B1087">
        <v>3940.5962457276601</v>
      </c>
      <c r="C1087">
        <v>12.4839819369972</v>
      </c>
      <c r="D1087" t="s">
        <v>121</v>
      </c>
      <c r="E1087">
        <v>36</v>
      </c>
      <c r="P1087" t="s">
        <v>30</v>
      </c>
      <c r="R1087" t="s">
        <v>23</v>
      </c>
      <c r="Y1087" t="s">
        <v>545</v>
      </c>
    </row>
    <row r="1088" spans="1:25">
      <c r="A1088" t="s">
        <v>693</v>
      </c>
      <c r="B1088">
        <v>3946.08022766466</v>
      </c>
      <c r="C1088">
        <v>17</v>
      </c>
      <c r="D1088" t="s">
        <v>40</v>
      </c>
      <c r="E1088">
        <v>53</v>
      </c>
      <c r="U1088" t="s">
        <v>195</v>
      </c>
      <c r="Y1088" t="s">
        <v>545</v>
      </c>
    </row>
    <row r="1089" spans="1:25">
      <c r="A1089" t="s">
        <v>693</v>
      </c>
      <c r="B1089">
        <v>3948.9973580866599</v>
      </c>
      <c r="C1089">
        <v>20</v>
      </c>
      <c r="D1089" t="s">
        <v>770</v>
      </c>
      <c r="E1089">
        <v>28</v>
      </c>
      <c r="I1089" t="s">
        <v>440</v>
      </c>
      <c r="J1089" t="s">
        <v>608</v>
      </c>
      <c r="K1089" t="s">
        <v>441</v>
      </c>
      <c r="M1089" t="s">
        <v>438</v>
      </c>
      <c r="Y1089" t="s">
        <v>545</v>
      </c>
    </row>
    <row r="1090" spans="1:25">
      <c r="A1090" t="s">
        <v>693</v>
      </c>
      <c r="B1090">
        <v>3950.08022766466</v>
      </c>
      <c r="C1090">
        <v>11.1177349879967</v>
      </c>
      <c r="D1090" t="s">
        <v>9</v>
      </c>
      <c r="E1090">
        <v>99</v>
      </c>
      <c r="Y1090" t="s">
        <v>545</v>
      </c>
    </row>
    <row r="1091" spans="1:25">
      <c r="A1091" t="s">
        <v>693</v>
      </c>
      <c r="B1091">
        <v>3954.19796265266</v>
      </c>
      <c r="C1091">
        <v>17</v>
      </c>
      <c r="D1091" t="s">
        <v>27</v>
      </c>
      <c r="E1091">
        <v>52</v>
      </c>
      <c r="U1091" t="s">
        <v>28</v>
      </c>
      <c r="Y1091" t="s">
        <v>545</v>
      </c>
    </row>
    <row r="1092" spans="1:25">
      <c r="A1092" t="s">
        <v>693</v>
      </c>
      <c r="B1092">
        <v>3955.4729982109998</v>
      </c>
      <c r="C1092">
        <v>20</v>
      </c>
      <c r="D1092" t="s">
        <v>793</v>
      </c>
      <c r="E1092">
        <v>9</v>
      </c>
      <c r="H1092" t="s">
        <v>445</v>
      </c>
      <c r="I1092" t="s">
        <v>439</v>
      </c>
      <c r="M1092" t="s">
        <v>604</v>
      </c>
      <c r="Y1092" t="s">
        <v>545</v>
      </c>
    </row>
    <row r="1093" spans="1:25">
      <c r="A1093" t="s">
        <v>693</v>
      </c>
      <c r="B1093">
        <v>3955.7974426083101</v>
      </c>
      <c r="C1093">
        <v>20</v>
      </c>
      <c r="D1093" t="s">
        <v>743</v>
      </c>
      <c r="E1093">
        <v>51</v>
      </c>
      <c r="I1093" t="s">
        <v>439</v>
      </c>
      <c r="M1093" t="s">
        <v>604</v>
      </c>
      <c r="Y1093" t="s">
        <v>545</v>
      </c>
    </row>
    <row r="1094" spans="1:25">
      <c r="A1094" t="s">
        <v>693</v>
      </c>
      <c r="B1094">
        <v>3958.19796265266</v>
      </c>
      <c r="C1094">
        <v>19.2004453313384</v>
      </c>
      <c r="D1094" t="s">
        <v>18</v>
      </c>
      <c r="E1094">
        <v>86</v>
      </c>
      <c r="Y1094" t="s">
        <v>545</v>
      </c>
    </row>
    <row r="1095" spans="1:25">
      <c r="A1095" t="s">
        <v>693</v>
      </c>
      <c r="B1095">
        <v>3962.3203934759999</v>
      </c>
      <c r="C1095">
        <v>20</v>
      </c>
      <c r="D1095" t="s">
        <v>795</v>
      </c>
      <c r="E1095">
        <v>27</v>
      </c>
      <c r="H1095" t="s">
        <v>621</v>
      </c>
      <c r="I1095" t="s">
        <v>442</v>
      </c>
      <c r="M1095" t="s">
        <v>605</v>
      </c>
      <c r="Y1095" t="s">
        <v>545</v>
      </c>
    </row>
    <row r="1096" spans="1:25">
      <c r="A1096" t="s">
        <v>693</v>
      </c>
      <c r="B1096">
        <v>3962.5990585649902</v>
      </c>
      <c r="C1096">
        <v>20</v>
      </c>
      <c r="D1096" t="s">
        <v>33</v>
      </c>
      <c r="E1096">
        <v>20</v>
      </c>
      <c r="Y1096" t="s">
        <v>545</v>
      </c>
    </row>
    <row r="1097" spans="1:25">
      <c r="A1097" t="s">
        <v>693</v>
      </c>
      <c r="B1097">
        <v>3963.7939501153201</v>
      </c>
      <c r="C1097">
        <v>16.104649465001302</v>
      </c>
      <c r="D1097" t="s">
        <v>32</v>
      </c>
      <c r="E1097">
        <v>27</v>
      </c>
      <c r="R1097" t="s">
        <v>23</v>
      </c>
      <c r="Y1097" t="s">
        <v>545</v>
      </c>
    </row>
    <row r="1098" spans="1:25">
      <c r="A1098" t="s">
        <v>693</v>
      </c>
      <c r="B1098">
        <v>3970.3984079839902</v>
      </c>
      <c r="C1098">
        <v>17</v>
      </c>
      <c r="D1098" t="s">
        <v>40</v>
      </c>
      <c r="E1098">
        <v>54</v>
      </c>
      <c r="U1098" t="s">
        <v>14</v>
      </c>
      <c r="Y1098" t="s">
        <v>545</v>
      </c>
    </row>
    <row r="1099" spans="1:25">
      <c r="A1099" t="s">
        <v>693</v>
      </c>
      <c r="B1099">
        <v>3972.3976164683099</v>
      </c>
      <c r="C1099">
        <v>20</v>
      </c>
      <c r="D1099" t="s">
        <v>743</v>
      </c>
      <c r="E1099">
        <v>52</v>
      </c>
      <c r="I1099" t="s">
        <v>440</v>
      </c>
      <c r="M1099" t="s">
        <v>438</v>
      </c>
      <c r="Y1099" t="s">
        <v>545</v>
      </c>
    </row>
    <row r="1100" spans="1:25">
      <c r="A1100" t="s">
        <v>693</v>
      </c>
      <c r="B1100">
        <v>3974.3984079839902</v>
      </c>
      <c r="C1100">
        <v>12.8002373713302</v>
      </c>
      <c r="D1100" t="s">
        <v>9</v>
      </c>
      <c r="E1100">
        <v>100</v>
      </c>
      <c r="Y1100" t="s">
        <v>545</v>
      </c>
    </row>
    <row r="1101" spans="1:25">
      <c r="A1101" t="s">
        <v>693</v>
      </c>
      <c r="B1101">
        <v>3979.99930350667</v>
      </c>
      <c r="C1101">
        <v>20</v>
      </c>
      <c r="D1101" t="s">
        <v>638</v>
      </c>
      <c r="E1101">
        <v>60</v>
      </c>
      <c r="I1101" t="s">
        <v>439</v>
      </c>
      <c r="M1101" t="s">
        <v>604</v>
      </c>
      <c r="Y1101" t="s">
        <v>545</v>
      </c>
    </row>
    <row r="1102" spans="1:25">
      <c r="A1102" t="s">
        <v>693</v>
      </c>
      <c r="B1102">
        <v>3980.19864535532</v>
      </c>
      <c r="C1102">
        <v>17</v>
      </c>
      <c r="D1102" t="s">
        <v>27</v>
      </c>
      <c r="E1102">
        <v>53</v>
      </c>
      <c r="U1102" t="s">
        <v>28</v>
      </c>
      <c r="Y1102" t="s">
        <v>545</v>
      </c>
    </row>
    <row r="1103" spans="1:25">
      <c r="A1103" t="s">
        <v>693</v>
      </c>
      <c r="B1103">
        <v>3981.79758675533</v>
      </c>
      <c r="C1103">
        <v>20</v>
      </c>
      <c r="D1103" t="s">
        <v>687</v>
      </c>
      <c r="E1103">
        <v>31</v>
      </c>
      <c r="I1103" t="s">
        <v>440</v>
      </c>
      <c r="M1103" t="s">
        <v>604</v>
      </c>
      <c r="Y1103" t="s">
        <v>545</v>
      </c>
    </row>
    <row r="1104" spans="1:25">
      <c r="A1104" t="s">
        <v>693</v>
      </c>
      <c r="B1104">
        <v>3984.1932907553301</v>
      </c>
      <c r="C1104">
        <v>20</v>
      </c>
      <c r="D1104" t="s">
        <v>770</v>
      </c>
      <c r="E1104">
        <v>29</v>
      </c>
      <c r="H1104" t="s">
        <v>621</v>
      </c>
      <c r="I1104" t="s">
        <v>660</v>
      </c>
      <c r="M1104" t="s">
        <v>661</v>
      </c>
      <c r="Y1104" t="s">
        <v>545</v>
      </c>
    </row>
    <row r="1105" spans="1:25">
      <c r="A1105" t="s">
        <v>693</v>
      </c>
      <c r="B1105">
        <v>3984.19864535532</v>
      </c>
      <c r="C1105">
        <v>26.999089755340702</v>
      </c>
      <c r="D1105" t="s">
        <v>18</v>
      </c>
      <c r="E1105">
        <v>87</v>
      </c>
      <c r="Y1105" t="s">
        <v>545</v>
      </c>
    </row>
    <row r="1106" spans="1:25">
      <c r="A1106" t="s">
        <v>693</v>
      </c>
      <c r="B1106">
        <v>3984.7980804459999</v>
      </c>
      <c r="C1106">
        <v>26.399654664664901</v>
      </c>
      <c r="D1106" t="s">
        <v>121</v>
      </c>
      <c r="E1106">
        <v>37</v>
      </c>
      <c r="P1106" t="s">
        <v>30</v>
      </c>
      <c r="R1106" t="s">
        <v>23</v>
      </c>
      <c r="Y1106" t="s">
        <v>545</v>
      </c>
    </row>
    <row r="1107" spans="1:25">
      <c r="A1107" t="s">
        <v>693</v>
      </c>
      <c r="B1107">
        <v>3986.9990245049898</v>
      </c>
      <c r="C1107">
        <v>20</v>
      </c>
      <c r="D1107" t="s">
        <v>637</v>
      </c>
      <c r="E1107">
        <v>47</v>
      </c>
      <c r="H1107" t="s">
        <v>621</v>
      </c>
      <c r="I1107" t="s">
        <v>440</v>
      </c>
      <c r="M1107" t="s">
        <v>604</v>
      </c>
      <c r="Y1107" t="s">
        <v>545</v>
      </c>
    </row>
    <row r="1108" spans="1:25">
      <c r="A1108" t="s">
        <v>693</v>
      </c>
      <c r="B1108">
        <v>3993.9745164300002</v>
      </c>
      <c r="C1108">
        <v>20</v>
      </c>
      <c r="D1108" t="s">
        <v>642</v>
      </c>
      <c r="E1108">
        <v>13</v>
      </c>
      <c r="I1108" t="s">
        <v>440</v>
      </c>
      <c r="M1108" t="s">
        <v>604</v>
      </c>
      <c r="Y1108" t="s">
        <v>545</v>
      </c>
    </row>
    <row r="1109" spans="1:25">
      <c r="A1109" t="s">
        <v>693</v>
      </c>
      <c r="B1109">
        <v>3995.7976641233199</v>
      </c>
      <c r="C1109">
        <v>20</v>
      </c>
      <c r="D1109" t="s">
        <v>638</v>
      </c>
      <c r="E1109">
        <v>61</v>
      </c>
      <c r="I1109" t="s">
        <v>439</v>
      </c>
      <c r="M1109" t="s">
        <v>604</v>
      </c>
      <c r="Y1109" t="s">
        <v>545</v>
      </c>
    </row>
    <row r="1110" spans="1:25">
      <c r="A1110" t="s">
        <v>693</v>
      </c>
      <c r="B1110">
        <v>3996.8982665399899</v>
      </c>
      <c r="C1110">
        <v>20</v>
      </c>
      <c r="D1110" t="s">
        <v>770</v>
      </c>
      <c r="E1110">
        <v>30</v>
      </c>
      <c r="H1110" t="s">
        <v>445</v>
      </c>
      <c r="I1110" t="s">
        <v>442</v>
      </c>
      <c r="M1110" t="s">
        <v>604</v>
      </c>
      <c r="Y1110" t="s">
        <v>545</v>
      </c>
    </row>
    <row r="1111" spans="1:25">
      <c r="A1111" t="s">
        <v>693</v>
      </c>
      <c r="B1111">
        <v>4000.29773831799</v>
      </c>
      <c r="C1111">
        <v>20</v>
      </c>
      <c r="D1111" t="s">
        <v>642</v>
      </c>
      <c r="E1111">
        <v>14</v>
      </c>
      <c r="I1111" t="s">
        <v>439</v>
      </c>
      <c r="M1111" t="s">
        <v>605</v>
      </c>
      <c r="Y1111" t="s">
        <v>545</v>
      </c>
    </row>
    <row r="1112" spans="1:25">
      <c r="A1112" t="s">
        <v>693</v>
      </c>
      <c r="B1112">
        <v>4004.1977351106598</v>
      </c>
      <c r="C1112">
        <v>17</v>
      </c>
      <c r="D1112" t="s">
        <v>40</v>
      </c>
      <c r="E1112">
        <v>55</v>
      </c>
      <c r="U1112" t="s">
        <v>195</v>
      </c>
      <c r="Y1112" t="s">
        <v>545</v>
      </c>
    </row>
    <row r="1113" spans="1:25">
      <c r="A1113" t="s">
        <v>693</v>
      </c>
      <c r="B1113">
        <v>4007.9012352549998</v>
      </c>
      <c r="C1113">
        <v>20</v>
      </c>
      <c r="D1113" t="s">
        <v>793</v>
      </c>
      <c r="E1113">
        <v>10</v>
      </c>
      <c r="J1113" t="s">
        <v>665</v>
      </c>
      <c r="Y1113" t="s">
        <v>545</v>
      </c>
    </row>
    <row r="1114" spans="1:25">
      <c r="A1114" t="s">
        <v>693</v>
      </c>
      <c r="B1114">
        <v>4008.1977351106598</v>
      </c>
      <c r="C1114">
        <v>10.7020135983307</v>
      </c>
      <c r="D1114" t="s">
        <v>9</v>
      </c>
      <c r="E1114">
        <v>101</v>
      </c>
      <c r="Y1114" t="s">
        <v>545</v>
      </c>
    </row>
    <row r="1115" spans="1:25">
      <c r="A1115" t="s">
        <v>693</v>
      </c>
      <c r="B1115">
        <v>4018.8997487090001</v>
      </c>
      <c r="C1115">
        <v>22.498846781667901</v>
      </c>
      <c r="D1115" t="s">
        <v>10</v>
      </c>
      <c r="E1115">
        <v>77</v>
      </c>
      <c r="Y1115" t="s">
        <v>545</v>
      </c>
    </row>
    <row r="1116" spans="1:25">
      <c r="A1116" t="s">
        <v>693</v>
      </c>
      <c r="B1116">
        <v>4074.3109846839998</v>
      </c>
      <c r="C1116">
        <v>20</v>
      </c>
      <c r="D1116" t="s">
        <v>196</v>
      </c>
      <c r="E1116">
        <v>2</v>
      </c>
      <c r="W1116" t="s">
        <v>732</v>
      </c>
      <c r="Y1116" t="s">
        <v>545</v>
      </c>
    </row>
    <row r="1117" spans="1:25">
      <c r="A1117" t="s">
        <v>693</v>
      </c>
      <c r="B1117">
        <v>4084.8963131406599</v>
      </c>
      <c r="C1117">
        <v>19.999999999999499</v>
      </c>
      <c r="D1117" t="s">
        <v>638</v>
      </c>
      <c r="E1117">
        <v>62</v>
      </c>
      <c r="M1117" t="s">
        <v>438</v>
      </c>
      <c r="Y1117" t="s">
        <v>545</v>
      </c>
    </row>
    <row r="1118" spans="1:25">
      <c r="A1118" t="s">
        <v>693</v>
      </c>
      <c r="B1118">
        <v>4085.09682414398</v>
      </c>
      <c r="C1118">
        <v>20.000000000000401</v>
      </c>
      <c r="D1118" t="s">
        <v>637</v>
      </c>
      <c r="E1118">
        <v>48</v>
      </c>
      <c r="H1118" t="s">
        <v>450</v>
      </c>
      <c r="M1118" t="s">
        <v>631</v>
      </c>
      <c r="Y1118" t="s">
        <v>545</v>
      </c>
    </row>
    <row r="1119" spans="1:25">
      <c r="A1119" t="s">
        <v>693</v>
      </c>
      <c r="B1119">
        <v>4087.0115127260001</v>
      </c>
      <c r="C1119">
        <v>16.999999999999499</v>
      </c>
      <c r="D1119" t="s">
        <v>6</v>
      </c>
      <c r="E1119">
        <v>30</v>
      </c>
      <c r="T1119" t="s">
        <v>24</v>
      </c>
      <c r="Y1119" t="s">
        <v>545</v>
      </c>
    </row>
    <row r="1120" spans="1:25">
      <c r="A1120" t="s">
        <v>693</v>
      </c>
      <c r="B1120">
        <v>4091.0115127260001</v>
      </c>
      <c r="C1120">
        <v>9.5418561270002993</v>
      </c>
      <c r="D1120" t="s">
        <v>18</v>
      </c>
      <c r="E1120">
        <v>88</v>
      </c>
      <c r="Y1120" t="s">
        <v>545</v>
      </c>
    </row>
    <row r="1121" spans="1:25">
      <c r="A1121" t="s">
        <v>693</v>
      </c>
      <c r="B1121">
        <v>4091.0949229593198</v>
      </c>
      <c r="C1121">
        <v>9.4584458936733409</v>
      </c>
      <c r="D1121" t="s">
        <v>32</v>
      </c>
      <c r="E1121">
        <v>28</v>
      </c>
      <c r="R1121" t="s">
        <v>23</v>
      </c>
      <c r="Y1121" t="s">
        <v>545</v>
      </c>
    </row>
    <row r="1122" spans="1:25">
      <c r="A1122" t="s">
        <v>693</v>
      </c>
      <c r="B1122">
        <v>4093.5533688529999</v>
      </c>
      <c r="C1122">
        <v>17</v>
      </c>
      <c r="D1122" t="s">
        <v>40</v>
      </c>
      <c r="E1122">
        <v>56</v>
      </c>
      <c r="U1122" t="s">
        <v>710</v>
      </c>
      <c r="Y1122" t="s">
        <v>545</v>
      </c>
    </row>
    <row r="1123" spans="1:25">
      <c r="A1123" t="s">
        <v>693</v>
      </c>
      <c r="B1123">
        <v>4093.5981223266599</v>
      </c>
      <c r="C1123">
        <v>20</v>
      </c>
      <c r="D1123" t="s">
        <v>41</v>
      </c>
      <c r="E1123">
        <v>18</v>
      </c>
      <c r="Y1123" t="s">
        <v>545</v>
      </c>
    </row>
    <row r="1124" spans="1:25">
      <c r="A1124" t="s">
        <v>693</v>
      </c>
      <c r="B1124">
        <v>4094.0115127260001</v>
      </c>
      <c r="C1124">
        <v>69.887008891666895</v>
      </c>
      <c r="D1124" t="s">
        <v>19</v>
      </c>
      <c r="E1124">
        <v>78</v>
      </c>
      <c r="Y1124" t="s">
        <v>545</v>
      </c>
    </row>
    <row r="1125" spans="1:25">
      <c r="A1125" t="s">
        <v>693</v>
      </c>
      <c r="B1125">
        <v>4097.5533688530004</v>
      </c>
      <c r="C1125">
        <v>14.3332866719993</v>
      </c>
      <c r="D1125" t="s">
        <v>9</v>
      </c>
      <c r="E1125">
        <v>102</v>
      </c>
      <c r="Y1125" t="s">
        <v>545</v>
      </c>
    </row>
    <row r="1126" spans="1:25">
      <c r="A1126" t="s">
        <v>693</v>
      </c>
      <c r="B1126">
        <v>4097.6082344429997</v>
      </c>
      <c r="C1126">
        <v>20</v>
      </c>
      <c r="D1126" t="s">
        <v>791</v>
      </c>
      <c r="E1126">
        <v>8</v>
      </c>
      <c r="J1126" t="s">
        <v>620</v>
      </c>
      <c r="Y1126" t="s">
        <v>545</v>
      </c>
    </row>
    <row r="1127" spans="1:25">
      <c r="A1127" t="s">
        <v>693</v>
      </c>
      <c r="B1127">
        <v>4097.69812641299</v>
      </c>
      <c r="C1127">
        <v>20</v>
      </c>
      <c r="D1127" t="s">
        <v>46</v>
      </c>
      <c r="E1127">
        <v>8</v>
      </c>
      <c r="R1127" t="s">
        <v>23</v>
      </c>
      <c r="Y1127" t="s">
        <v>545</v>
      </c>
    </row>
    <row r="1128" spans="1:25">
      <c r="A1128" t="s">
        <v>693</v>
      </c>
      <c r="B1128">
        <v>4098.3504642489997</v>
      </c>
      <c r="C1128">
        <v>20</v>
      </c>
      <c r="D1128" t="s">
        <v>642</v>
      </c>
      <c r="E1128">
        <v>15</v>
      </c>
      <c r="J1128" t="s">
        <v>47</v>
      </c>
      <c r="Y1128" t="s">
        <v>545</v>
      </c>
    </row>
    <row r="1129" spans="1:25">
      <c r="A1129" t="s">
        <v>693</v>
      </c>
      <c r="B1129">
        <v>4099.4777849100001</v>
      </c>
      <c r="C1129">
        <v>20</v>
      </c>
      <c r="D1129" t="s">
        <v>136</v>
      </c>
      <c r="E1129">
        <v>11</v>
      </c>
      <c r="Y1129" t="s">
        <v>545</v>
      </c>
    </row>
    <row r="1130" spans="1:25">
      <c r="A1130" t="s">
        <v>693</v>
      </c>
      <c r="B1130">
        <v>4101.007749759</v>
      </c>
      <c r="C1130">
        <v>20</v>
      </c>
      <c r="D1130" t="s">
        <v>637</v>
      </c>
      <c r="E1130">
        <v>49</v>
      </c>
      <c r="J1130" t="s">
        <v>608</v>
      </c>
      <c r="Y1130" t="s">
        <v>545</v>
      </c>
    </row>
    <row r="1131" spans="1:25">
      <c r="A1131" t="s">
        <v>693</v>
      </c>
      <c r="B1131">
        <v>4102.99671521865</v>
      </c>
      <c r="C1131">
        <v>20</v>
      </c>
      <c r="D1131" t="s">
        <v>636</v>
      </c>
      <c r="E1131">
        <v>29</v>
      </c>
      <c r="I1131" t="s">
        <v>439</v>
      </c>
      <c r="M1131" t="s">
        <v>438</v>
      </c>
      <c r="Y1131" t="s">
        <v>545</v>
      </c>
    </row>
    <row r="1132" spans="1:25">
      <c r="A1132" t="s">
        <v>693</v>
      </c>
      <c r="B1132">
        <v>4104.6960507533204</v>
      </c>
      <c r="C1132">
        <v>20</v>
      </c>
      <c r="D1132" t="s">
        <v>788</v>
      </c>
      <c r="E1132">
        <v>11</v>
      </c>
      <c r="I1132" t="s">
        <v>439</v>
      </c>
      <c r="M1132" t="s">
        <v>628</v>
      </c>
      <c r="Y1132" t="s">
        <v>545</v>
      </c>
    </row>
    <row r="1133" spans="1:25">
      <c r="A1133" t="s">
        <v>693</v>
      </c>
      <c r="B1133">
        <v>4104.8866555249997</v>
      </c>
      <c r="C1133">
        <v>17</v>
      </c>
      <c r="D1133" t="s">
        <v>27</v>
      </c>
      <c r="E1133">
        <v>54</v>
      </c>
      <c r="U1133" t="s">
        <v>28</v>
      </c>
      <c r="Y1133" t="s">
        <v>545</v>
      </c>
    </row>
    <row r="1134" spans="1:25">
      <c r="A1134" t="s">
        <v>693</v>
      </c>
      <c r="B1134">
        <v>4107.1941099126598</v>
      </c>
      <c r="C1134">
        <v>20</v>
      </c>
      <c r="D1134" t="s">
        <v>687</v>
      </c>
      <c r="E1134">
        <v>32</v>
      </c>
      <c r="M1134" t="s">
        <v>739</v>
      </c>
      <c r="Y1134" t="s">
        <v>545</v>
      </c>
    </row>
    <row r="1135" spans="1:25">
      <c r="A1135" t="s">
        <v>693</v>
      </c>
      <c r="B1135">
        <v>4108.6994424639897</v>
      </c>
      <c r="C1135">
        <v>20</v>
      </c>
      <c r="D1135" t="s">
        <v>45</v>
      </c>
      <c r="E1135">
        <v>16</v>
      </c>
      <c r="N1135">
        <v>75</v>
      </c>
      <c r="O1135">
        <v>53</v>
      </c>
      <c r="Q1135" t="s">
        <v>669</v>
      </c>
      <c r="Y1135" t="s">
        <v>545</v>
      </c>
    </row>
    <row r="1136" spans="1:25">
      <c r="A1136" t="s">
        <v>693</v>
      </c>
      <c r="B1136">
        <v>4108.8866555249997</v>
      </c>
      <c r="C1136">
        <v>10.911470453665</v>
      </c>
      <c r="D1136" t="s">
        <v>18</v>
      </c>
      <c r="E1136">
        <v>89</v>
      </c>
      <c r="Y1136" t="s">
        <v>545</v>
      </c>
    </row>
    <row r="1137" spans="1:25">
      <c r="A1137" t="s">
        <v>693</v>
      </c>
      <c r="B1137">
        <v>4112.2951150933304</v>
      </c>
      <c r="C1137">
        <v>20</v>
      </c>
      <c r="D1137" t="s">
        <v>638</v>
      </c>
      <c r="E1137">
        <v>63</v>
      </c>
      <c r="G1137" t="s">
        <v>51</v>
      </c>
      <c r="Y1137" t="s">
        <v>545</v>
      </c>
    </row>
    <row r="1138" spans="1:25">
      <c r="A1138" t="s">
        <v>693</v>
      </c>
      <c r="B1138">
        <v>4112.7981259786602</v>
      </c>
      <c r="C1138">
        <v>17</v>
      </c>
      <c r="D1138" t="s">
        <v>40</v>
      </c>
      <c r="E1138">
        <v>57</v>
      </c>
      <c r="U1138" t="s">
        <v>28</v>
      </c>
      <c r="Y1138" t="s">
        <v>545</v>
      </c>
    </row>
    <row r="1139" spans="1:25">
      <c r="A1139" t="s">
        <v>693</v>
      </c>
      <c r="B1139">
        <v>4116.7981259786602</v>
      </c>
      <c r="C1139">
        <v>8.1010568066667403</v>
      </c>
      <c r="D1139" t="s">
        <v>9</v>
      </c>
      <c r="E1139">
        <v>103</v>
      </c>
      <c r="Y1139" t="s">
        <v>545</v>
      </c>
    </row>
    <row r="1140" spans="1:25">
      <c r="A1140" t="s">
        <v>693</v>
      </c>
      <c r="B1140">
        <v>4117.8991827853297</v>
      </c>
      <c r="C1140">
        <v>17</v>
      </c>
      <c r="D1140" t="s">
        <v>27</v>
      </c>
      <c r="E1140">
        <v>55</v>
      </c>
      <c r="U1140" t="s">
        <v>28</v>
      </c>
      <c r="Y1140" t="s">
        <v>545</v>
      </c>
    </row>
    <row r="1141" spans="1:25">
      <c r="A1141" t="s">
        <v>693</v>
      </c>
      <c r="B1141">
        <v>4121.8991827853297</v>
      </c>
      <c r="C1141">
        <v>16.8255312676683</v>
      </c>
      <c r="D1141" t="s">
        <v>18</v>
      </c>
      <c r="E1141">
        <v>90</v>
      </c>
      <c r="Y1141" t="s">
        <v>545</v>
      </c>
    </row>
    <row r="1142" spans="1:25">
      <c r="A1142" t="s">
        <v>693</v>
      </c>
      <c r="B1142">
        <v>4124.9916094276496</v>
      </c>
      <c r="C1142">
        <v>20</v>
      </c>
      <c r="D1142" t="s">
        <v>638</v>
      </c>
      <c r="E1142">
        <v>64</v>
      </c>
      <c r="I1142" t="s">
        <v>439</v>
      </c>
      <c r="M1142" t="s">
        <v>632</v>
      </c>
      <c r="Y1142" t="s">
        <v>545</v>
      </c>
    </row>
    <row r="1143" spans="1:25">
      <c r="A1143" t="s">
        <v>693</v>
      </c>
      <c r="B1143">
        <v>4125.8978872716598</v>
      </c>
      <c r="C1143">
        <v>12.8268267813355</v>
      </c>
      <c r="D1143" t="s">
        <v>121</v>
      </c>
      <c r="E1143">
        <v>38</v>
      </c>
      <c r="P1143" t="s">
        <v>697</v>
      </c>
      <c r="R1143" t="s">
        <v>23</v>
      </c>
      <c r="Y1143" t="s">
        <v>545</v>
      </c>
    </row>
    <row r="1144" spans="1:25">
      <c r="A1144" t="s">
        <v>693</v>
      </c>
      <c r="B1144">
        <v>4126.2930072950003</v>
      </c>
      <c r="C1144">
        <v>20</v>
      </c>
      <c r="D1144" t="s">
        <v>687</v>
      </c>
      <c r="E1144">
        <v>33</v>
      </c>
      <c r="H1144" t="s">
        <v>437</v>
      </c>
      <c r="I1144" t="s">
        <v>442</v>
      </c>
      <c r="M1144" t="s">
        <v>605</v>
      </c>
      <c r="Y1144" t="s">
        <v>545</v>
      </c>
    </row>
    <row r="1145" spans="1:25">
      <c r="A1145" t="s">
        <v>693</v>
      </c>
      <c r="B1145">
        <v>4130.6598090870002</v>
      </c>
      <c r="C1145">
        <v>20</v>
      </c>
      <c r="D1145" t="s">
        <v>777</v>
      </c>
      <c r="E1145">
        <v>44</v>
      </c>
      <c r="J1145" t="s">
        <v>49</v>
      </c>
      <c r="Y1145" t="s">
        <v>545</v>
      </c>
    </row>
    <row r="1146" spans="1:25">
      <c r="A1146" t="s">
        <v>693</v>
      </c>
      <c r="B1146">
        <v>4131.0970651246698</v>
      </c>
      <c r="C1146">
        <v>20</v>
      </c>
      <c r="D1146" t="s">
        <v>774</v>
      </c>
      <c r="E1146">
        <v>20</v>
      </c>
      <c r="I1146" t="s">
        <v>439</v>
      </c>
      <c r="K1146" t="s">
        <v>444</v>
      </c>
      <c r="M1146" t="s">
        <v>618</v>
      </c>
      <c r="Y1146" t="s">
        <v>545</v>
      </c>
    </row>
    <row r="1147" spans="1:25">
      <c r="A1147" t="s">
        <v>693</v>
      </c>
      <c r="B1147">
        <v>4131.7247140529998</v>
      </c>
      <c r="C1147">
        <v>17</v>
      </c>
      <c r="D1147" t="s">
        <v>40</v>
      </c>
      <c r="E1147">
        <v>58</v>
      </c>
      <c r="U1147" t="s">
        <v>28</v>
      </c>
      <c r="Y1147" t="s">
        <v>545</v>
      </c>
    </row>
    <row r="1148" spans="1:25">
      <c r="A1148" t="s">
        <v>693</v>
      </c>
      <c r="B1148">
        <v>4133.6959006726602</v>
      </c>
      <c r="C1148">
        <v>20</v>
      </c>
      <c r="D1148" t="s">
        <v>687</v>
      </c>
      <c r="E1148">
        <v>34</v>
      </c>
      <c r="I1148" t="s">
        <v>442</v>
      </c>
      <c r="M1148" t="s">
        <v>604</v>
      </c>
      <c r="Y1148" t="s">
        <v>545</v>
      </c>
    </row>
    <row r="1149" spans="1:25">
      <c r="A1149" t="s">
        <v>693</v>
      </c>
      <c r="B1149">
        <v>4135.7247140529998</v>
      </c>
      <c r="C1149">
        <v>8.8731720319974503</v>
      </c>
      <c r="D1149" t="s">
        <v>9</v>
      </c>
      <c r="E1149">
        <v>104</v>
      </c>
      <c r="Y1149" t="s">
        <v>545</v>
      </c>
    </row>
    <row r="1150" spans="1:25">
      <c r="A1150" t="s">
        <v>693</v>
      </c>
      <c r="B1150">
        <v>4135.8987945429999</v>
      </c>
      <c r="C1150">
        <v>20</v>
      </c>
      <c r="D1150" t="s">
        <v>783</v>
      </c>
      <c r="E1150">
        <v>9</v>
      </c>
      <c r="H1150" t="s">
        <v>617</v>
      </c>
      <c r="I1150" t="s">
        <v>442</v>
      </c>
      <c r="M1150" t="s">
        <v>622</v>
      </c>
      <c r="Y1150" t="s">
        <v>545</v>
      </c>
    </row>
    <row r="1151" spans="1:25">
      <c r="A1151" t="s">
        <v>693</v>
      </c>
      <c r="B1151">
        <v>4137.59788608499</v>
      </c>
      <c r="C1151">
        <v>17</v>
      </c>
      <c r="D1151" t="s">
        <v>27</v>
      </c>
      <c r="E1151">
        <v>56</v>
      </c>
      <c r="U1151" t="s">
        <v>195</v>
      </c>
      <c r="Y1151" t="s">
        <v>545</v>
      </c>
    </row>
    <row r="1152" spans="1:25">
      <c r="A1152" t="s">
        <v>693</v>
      </c>
      <c r="B1152">
        <v>4141.59788608499</v>
      </c>
      <c r="C1152">
        <v>10.755009748336301</v>
      </c>
      <c r="D1152" t="s">
        <v>18</v>
      </c>
      <c r="E1152">
        <v>91</v>
      </c>
      <c r="Y1152" t="s">
        <v>545</v>
      </c>
    </row>
    <row r="1153" spans="1:25">
      <c r="A1153" t="s">
        <v>693</v>
      </c>
      <c r="B1153">
        <v>4141.6981312626604</v>
      </c>
      <c r="C1153">
        <v>20</v>
      </c>
      <c r="D1153" t="s">
        <v>45</v>
      </c>
      <c r="E1153">
        <v>17</v>
      </c>
      <c r="Q1153" t="s">
        <v>723</v>
      </c>
      <c r="Y1153" t="s">
        <v>545</v>
      </c>
    </row>
    <row r="1154" spans="1:25">
      <c r="A1154" t="s">
        <v>693</v>
      </c>
      <c r="B1154">
        <v>4142.0903229446403</v>
      </c>
      <c r="C1154">
        <v>20</v>
      </c>
      <c r="D1154" t="s">
        <v>637</v>
      </c>
      <c r="E1154">
        <v>50</v>
      </c>
      <c r="M1154" t="s">
        <v>625</v>
      </c>
      <c r="Y1154" t="s">
        <v>545</v>
      </c>
    </row>
    <row r="1155" spans="1:25">
      <c r="A1155" t="s">
        <v>693</v>
      </c>
      <c r="B1155">
        <v>4145.35289583333</v>
      </c>
      <c r="C1155">
        <v>17</v>
      </c>
      <c r="D1155" t="s">
        <v>40</v>
      </c>
      <c r="E1155">
        <v>59</v>
      </c>
      <c r="U1155" t="s">
        <v>28</v>
      </c>
      <c r="Y1155" t="s">
        <v>545</v>
      </c>
    </row>
    <row r="1156" spans="1:25">
      <c r="A1156" t="s">
        <v>693</v>
      </c>
      <c r="B1156">
        <v>4146.39367189732</v>
      </c>
      <c r="C1156">
        <v>20</v>
      </c>
      <c r="D1156" t="s">
        <v>136</v>
      </c>
      <c r="E1156">
        <v>12</v>
      </c>
      <c r="Y1156" t="s">
        <v>545</v>
      </c>
    </row>
    <row r="1157" spans="1:25">
      <c r="A1157" t="s">
        <v>693</v>
      </c>
      <c r="B1157">
        <v>4148.1990604059902</v>
      </c>
      <c r="C1157">
        <v>20</v>
      </c>
      <c r="D1157" t="s">
        <v>46</v>
      </c>
      <c r="E1157">
        <v>9</v>
      </c>
      <c r="R1157" t="s">
        <v>20</v>
      </c>
      <c r="Y1157" t="s">
        <v>545</v>
      </c>
    </row>
    <row r="1158" spans="1:25">
      <c r="A1158" t="s">
        <v>693</v>
      </c>
      <c r="B1158">
        <v>4149.35289583333</v>
      </c>
      <c r="C1158">
        <v>14.545625784333399</v>
      </c>
      <c r="D1158" t="s">
        <v>9</v>
      </c>
      <c r="E1158">
        <v>105</v>
      </c>
      <c r="Y1158" t="s">
        <v>545</v>
      </c>
    </row>
    <row r="1159" spans="1:25">
      <c r="A1159" t="s">
        <v>693</v>
      </c>
      <c r="B1159">
        <v>4163.8985216176598</v>
      </c>
      <c r="C1159">
        <v>9.0002190103314206</v>
      </c>
      <c r="D1159" t="s">
        <v>10</v>
      </c>
      <c r="E1159">
        <v>78</v>
      </c>
      <c r="Y1159" t="s">
        <v>545</v>
      </c>
    </row>
    <row r="1160" spans="1:25">
      <c r="A1160" t="s">
        <v>693</v>
      </c>
      <c r="B1160">
        <v>4163.9964835006604</v>
      </c>
      <c r="C1160">
        <v>20</v>
      </c>
      <c r="D1160" t="s">
        <v>774</v>
      </c>
      <c r="E1160">
        <v>21</v>
      </c>
      <c r="I1160" t="s">
        <v>442</v>
      </c>
      <c r="M1160" t="s">
        <v>604</v>
      </c>
      <c r="Y1160" t="s">
        <v>545</v>
      </c>
    </row>
    <row r="1161" spans="1:25">
      <c r="A1161" t="s">
        <v>693</v>
      </c>
      <c r="B1161">
        <v>4165.8987406279903</v>
      </c>
      <c r="C1161">
        <v>17</v>
      </c>
      <c r="D1161" t="s">
        <v>6</v>
      </c>
      <c r="E1161">
        <v>31</v>
      </c>
      <c r="T1161" t="s">
        <v>21</v>
      </c>
      <c r="U1161" t="s">
        <v>28</v>
      </c>
      <c r="Y1161" t="s">
        <v>545</v>
      </c>
    </row>
    <row r="1162" spans="1:25">
      <c r="A1162" t="s">
        <v>693</v>
      </c>
      <c r="B1162">
        <v>4168.3975367949997</v>
      </c>
      <c r="C1162">
        <v>20</v>
      </c>
      <c r="D1162" t="s">
        <v>777</v>
      </c>
      <c r="E1162">
        <v>45</v>
      </c>
      <c r="H1162" t="s">
        <v>621</v>
      </c>
      <c r="I1162" t="s">
        <v>440</v>
      </c>
      <c r="M1162" t="s">
        <v>604</v>
      </c>
      <c r="Y1162" t="s">
        <v>545</v>
      </c>
    </row>
    <row r="1163" spans="1:25">
      <c r="A1163" t="s">
        <v>693</v>
      </c>
      <c r="B1163">
        <v>4169.8987406279903</v>
      </c>
      <c r="C1163">
        <v>16.8119429670014</v>
      </c>
      <c r="D1163" t="s">
        <v>18</v>
      </c>
      <c r="E1163">
        <v>92</v>
      </c>
      <c r="Y1163" t="s">
        <v>545</v>
      </c>
    </row>
    <row r="1164" spans="1:25">
      <c r="A1164" t="s">
        <v>693</v>
      </c>
      <c r="B1164">
        <v>4172.8967221253297</v>
      </c>
      <c r="C1164">
        <v>20</v>
      </c>
      <c r="D1164" t="s">
        <v>642</v>
      </c>
      <c r="E1164">
        <v>16</v>
      </c>
      <c r="I1164" t="s">
        <v>442</v>
      </c>
      <c r="M1164" t="s">
        <v>604</v>
      </c>
      <c r="Y1164" t="s">
        <v>545</v>
      </c>
    </row>
    <row r="1165" spans="1:25">
      <c r="A1165" t="s">
        <v>693</v>
      </c>
      <c r="B1165">
        <v>4172.8987406279903</v>
      </c>
      <c r="C1165">
        <v>15.5999590973287</v>
      </c>
      <c r="D1165" t="s">
        <v>19</v>
      </c>
      <c r="E1165">
        <v>79</v>
      </c>
      <c r="Y1165" t="s">
        <v>545</v>
      </c>
    </row>
    <row r="1166" spans="1:25">
      <c r="A1166" t="s">
        <v>693</v>
      </c>
      <c r="B1166">
        <v>4173.49869972532</v>
      </c>
      <c r="C1166">
        <v>20</v>
      </c>
      <c r="D1166" t="s">
        <v>45</v>
      </c>
      <c r="E1166">
        <v>18</v>
      </c>
      <c r="N1166">
        <v>90</v>
      </c>
      <c r="O1166">
        <v>60</v>
      </c>
      <c r="Q1166" t="s">
        <v>724</v>
      </c>
      <c r="Y1166" t="s">
        <v>545</v>
      </c>
    </row>
    <row r="1167" spans="1:25">
      <c r="A1167" t="s">
        <v>693</v>
      </c>
      <c r="B1167">
        <v>4173.49869972532</v>
      </c>
      <c r="C1167">
        <v>20</v>
      </c>
      <c r="D1167" t="s">
        <v>192</v>
      </c>
      <c r="E1167">
        <v>3</v>
      </c>
      <c r="Y1167" t="s">
        <v>545</v>
      </c>
    </row>
    <row r="1168" spans="1:25">
      <c r="A1168" t="s">
        <v>693</v>
      </c>
      <c r="B1168">
        <v>4174.8957384913001</v>
      </c>
      <c r="C1168">
        <v>20</v>
      </c>
      <c r="D1168" t="s">
        <v>638</v>
      </c>
      <c r="E1168">
        <v>65</v>
      </c>
      <c r="I1168" t="s">
        <v>439</v>
      </c>
      <c r="M1168" t="s">
        <v>604</v>
      </c>
      <c r="Y1168" t="s">
        <v>545</v>
      </c>
    </row>
    <row r="1169" spans="1:25">
      <c r="A1169" t="s">
        <v>693</v>
      </c>
      <c r="B1169">
        <v>4176.6271665719996</v>
      </c>
      <c r="C1169">
        <v>20</v>
      </c>
      <c r="D1169" t="s">
        <v>774</v>
      </c>
      <c r="E1169">
        <v>22</v>
      </c>
      <c r="M1169" t="s">
        <v>663</v>
      </c>
      <c r="Y1169" t="s">
        <v>545</v>
      </c>
    </row>
    <row r="1170" spans="1:25">
      <c r="A1170" t="s">
        <v>693</v>
      </c>
      <c r="B1170">
        <v>4178.5960989669902</v>
      </c>
      <c r="C1170">
        <v>20</v>
      </c>
      <c r="D1170" t="s">
        <v>638</v>
      </c>
      <c r="E1170">
        <v>66</v>
      </c>
      <c r="G1170" t="s">
        <v>768</v>
      </c>
      <c r="Y1170" t="s">
        <v>545</v>
      </c>
    </row>
    <row r="1171" spans="1:25">
      <c r="A1171" t="s">
        <v>693</v>
      </c>
      <c r="B1171">
        <v>4179.7106835949999</v>
      </c>
      <c r="C1171">
        <v>17</v>
      </c>
      <c r="D1171" t="s">
        <v>40</v>
      </c>
      <c r="E1171">
        <v>60</v>
      </c>
      <c r="U1171" t="s">
        <v>28</v>
      </c>
      <c r="Y1171" t="s">
        <v>545</v>
      </c>
    </row>
    <row r="1172" spans="1:25">
      <c r="A1172" t="s">
        <v>693</v>
      </c>
      <c r="B1172">
        <v>4183.7106835949999</v>
      </c>
      <c r="C1172">
        <v>4.7880161303273701</v>
      </c>
      <c r="D1172" t="s">
        <v>9</v>
      </c>
      <c r="E1172">
        <v>106</v>
      </c>
      <c r="Y1172" t="s">
        <v>545</v>
      </c>
    </row>
    <row r="1173" spans="1:25">
      <c r="A1173" t="s">
        <v>693</v>
      </c>
      <c r="B1173">
        <v>4188.49869972532</v>
      </c>
      <c r="C1173">
        <v>24.299677474335098</v>
      </c>
      <c r="D1173" t="s">
        <v>10</v>
      </c>
      <c r="E1173">
        <v>79</v>
      </c>
      <c r="Y1173" t="s">
        <v>545</v>
      </c>
    </row>
    <row r="1174" spans="1:25">
      <c r="A1174" t="s">
        <v>693</v>
      </c>
      <c r="B1174">
        <v>4202.6947131260104</v>
      </c>
      <c r="C1174">
        <v>20</v>
      </c>
      <c r="D1174" t="s">
        <v>687</v>
      </c>
      <c r="E1174">
        <v>35</v>
      </c>
      <c r="H1174" t="s">
        <v>673</v>
      </c>
      <c r="I1174" t="s">
        <v>678</v>
      </c>
      <c r="M1174" t="s">
        <v>740</v>
      </c>
      <c r="Y1174" t="s">
        <v>545</v>
      </c>
    </row>
    <row r="1175" spans="1:25">
      <c r="A1175" t="s">
        <v>693</v>
      </c>
      <c r="B1175">
        <v>4205.0953049180098</v>
      </c>
      <c r="C1175">
        <v>20</v>
      </c>
      <c r="D1175" t="s">
        <v>774</v>
      </c>
      <c r="E1175">
        <v>23</v>
      </c>
      <c r="H1175" t="s">
        <v>673</v>
      </c>
      <c r="I1175" t="s">
        <v>633</v>
      </c>
      <c r="M1175" t="s">
        <v>681</v>
      </c>
      <c r="Y1175" t="s">
        <v>545</v>
      </c>
    </row>
    <row r="1176" spans="1:25">
      <c r="A1176" t="s">
        <v>693</v>
      </c>
      <c r="B1176">
        <v>4206.6949315846496</v>
      </c>
      <c r="C1176">
        <v>20</v>
      </c>
      <c r="D1176" t="s">
        <v>777</v>
      </c>
      <c r="E1176">
        <v>46</v>
      </c>
      <c r="H1176" t="s">
        <v>779</v>
      </c>
      <c r="I1176" t="s">
        <v>439</v>
      </c>
      <c r="M1176" t="s">
        <v>622</v>
      </c>
      <c r="Y1176" t="s">
        <v>545</v>
      </c>
    </row>
    <row r="1177" spans="1:25">
      <c r="A1177" t="s">
        <v>693</v>
      </c>
      <c r="B1177">
        <v>4209.7983771996596</v>
      </c>
      <c r="C1177">
        <v>23.7984292123373</v>
      </c>
      <c r="D1177" t="s">
        <v>18</v>
      </c>
      <c r="E1177">
        <v>93</v>
      </c>
      <c r="Y1177" t="s">
        <v>545</v>
      </c>
    </row>
    <row r="1178" spans="1:25">
      <c r="A1178" t="s">
        <v>693</v>
      </c>
      <c r="B1178">
        <v>4212.7983771996596</v>
      </c>
      <c r="C1178">
        <v>1</v>
      </c>
      <c r="D1178" t="s">
        <v>26</v>
      </c>
      <c r="E1178">
        <v>4</v>
      </c>
      <c r="Y1178" t="s">
        <v>545</v>
      </c>
    </row>
    <row r="1179" spans="1:25">
      <c r="A1179" t="s">
        <v>693</v>
      </c>
      <c r="B1179">
        <v>4212.7983771996596</v>
      </c>
      <c r="C1179">
        <v>24.093026905337801</v>
      </c>
      <c r="D1179" t="s">
        <v>19</v>
      </c>
      <c r="E1179">
        <v>80</v>
      </c>
      <c r="Y1179" t="s">
        <v>545</v>
      </c>
    </row>
    <row r="1180" spans="1:25">
      <c r="A1180" t="s">
        <v>693</v>
      </c>
      <c r="B1180">
        <v>4213.3983971309899</v>
      </c>
      <c r="C1180">
        <v>20.1984092810034</v>
      </c>
      <c r="D1180" t="s">
        <v>32</v>
      </c>
      <c r="E1180">
        <v>29</v>
      </c>
      <c r="R1180" t="s">
        <v>23</v>
      </c>
      <c r="Y1180" t="s">
        <v>545</v>
      </c>
    </row>
    <row r="1181" spans="1:25">
      <c r="A1181" t="s">
        <v>693</v>
      </c>
      <c r="B1181">
        <v>4213.59780266499</v>
      </c>
      <c r="C1181">
        <v>20</v>
      </c>
      <c r="D1181" t="s">
        <v>33</v>
      </c>
      <c r="E1181">
        <v>21</v>
      </c>
      <c r="Y1181" t="s">
        <v>545</v>
      </c>
    </row>
    <row r="1182" spans="1:25">
      <c r="A1182" t="s">
        <v>693</v>
      </c>
      <c r="B1182">
        <v>4213.9669695749999</v>
      </c>
      <c r="C1182">
        <v>20</v>
      </c>
      <c r="D1182" t="s">
        <v>783</v>
      </c>
      <c r="E1182">
        <v>10</v>
      </c>
      <c r="H1182" t="s">
        <v>621</v>
      </c>
      <c r="I1182" t="s">
        <v>440</v>
      </c>
      <c r="M1182" t="s">
        <v>604</v>
      </c>
      <c r="Y1182" t="s">
        <v>545</v>
      </c>
    </row>
    <row r="1183" spans="1:25">
      <c r="A1183" t="s">
        <v>693</v>
      </c>
      <c r="B1183">
        <v>4219.3725293420002</v>
      </c>
      <c r="C1183">
        <v>20</v>
      </c>
      <c r="D1183" t="s">
        <v>793</v>
      </c>
      <c r="E1183">
        <v>11</v>
      </c>
      <c r="I1183" t="s">
        <v>439</v>
      </c>
      <c r="M1183" t="s">
        <v>604</v>
      </c>
      <c r="Y1183" t="s">
        <v>545</v>
      </c>
    </row>
    <row r="1184" spans="1:25">
      <c r="A1184" t="s">
        <v>693</v>
      </c>
      <c r="B1184">
        <v>4221.2079043719996</v>
      </c>
      <c r="C1184">
        <v>20</v>
      </c>
      <c r="D1184" t="s">
        <v>783</v>
      </c>
      <c r="E1184">
        <v>11</v>
      </c>
      <c r="H1184" t="s">
        <v>621</v>
      </c>
      <c r="M1184" t="s">
        <v>659</v>
      </c>
      <c r="Y1184" t="s">
        <v>545</v>
      </c>
    </row>
    <row r="1185" spans="1:25">
      <c r="A1185" t="s">
        <v>693</v>
      </c>
      <c r="B1185">
        <v>4226.5968064119998</v>
      </c>
      <c r="C1185">
        <v>17</v>
      </c>
      <c r="D1185" t="s">
        <v>40</v>
      </c>
      <c r="E1185">
        <v>61</v>
      </c>
      <c r="U1185" t="s">
        <v>14</v>
      </c>
      <c r="Y1185" t="s">
        <v>545</v>
      </c>
    </row>
    <row r="1186" spans="1:25">
      <c r="A1186" t="s">
        <v>693</v>
      </c>
      <c r="B1186">
        <v>4226.6930660033404</v>
      </c>
      <c r="C1186">
        <v>20</v>
      </c>
      <c r="D1186" t="s">
        <v>642</v>
      </c>
      <c r="E1186">
        <v>17</v>
      </c>
      <c r="J1186" t="s">
        <v>49</v>
      </c>
      <c r="Y1186" t="s">
        <v>545</v>
      </c>
    </row>
    <row r="1187" spans="1:25">
      <c r="A1187" t="s">
        <v>693</v>
      </c>
      <c r="B1187">
        <v>4230.5968064119998</v>
      </c>
      <c r="C1187">
        <v>6.2945976930004601</v>
      </c>
      <c r="D1187" t="s">
        <v>9</v>
      </c>
      <c r="E1187">
        <v>107</v>
      </c>
      <c r="Y1187" t="s">
        <v>545</v>
      </c>
    </row>
    <row r="1188" spans="1:25">
      <c r="A1188" t="s">
        <v>693</v>
      </c>
      <c r="B1188">
        <v>4236.8914041050002</v>
      </c>
      <c r="C1188">
        <v>24.006040285325899</v>
      </c>
      <c r="D1188" t="s">
        <v>10</v>
      </c>
      <c r="E1188">
        <v>80</v>
      </c>
      <c r="Y1188" t="s">
        <v>545</v>
      </c>
    </row>
    <row r="1189" spans="1:25">
      <c r="A1189" t="s">
        <v>693</v>
      </c>
      <c r="B1189">
        <v>4253.8974443903198</v>
      </c>
      <c r="C1189">
        <v>17</v>
      </c>
      <c r="D1189" t="s">
        <v>11</v>
      </c>
      <c r="E1189">
        <v>39</v>
      </c>
      <c r="T1189" t="s">
        <v>12</v>
      </c>
      <c r="U1189" t="s">
        <v>195</v>
      </c>
      <c r="Y1189" t="s">
        <v>545</v>
      </c>
    </row>
    <row r="1190" spans="1:25">
      <c r="A1190" t="s">
        <v>693</v>
      </c>
      <c r="B1190">
        <v>4256.9449810850001</v>
      </c>
      <c r="C1190">
        <v>20</v>
      </c>
      <c r="D1190" t="s">
        <v>791</v>
      </c>
      <c r="E1190">
        <v>9</v>
      </c>
      <c r="I1190" t="s">
        <v>634</v>
      </c>
      <c r="J1190" t="s">
        <v>608</v>
      </c>
      <c r="M1190" t="s">
        <v>443</v>
      </c>
      <c r="Y1190" t="s">
        <v>545</v>
      </c>
    </row>
    <row r="1191" spans="1:25">
      <c r="A1191" t="s">
        <v>693</v>
      </c>
      <c r="B1191">
        <v>4257.8974443903198</v>
      </c>
      <c r="C1191">
        <v>19.999016710673398</v>
      </c>
      <c r="D1191" t="s">
        <v>9</v>
      </c>
      <c r="E1191">
        <v>108</v>
      </c>
      <c r="Y1191" t="s">
        <v>545</v>
      </c>
    </row>
    <row r="1192" spans="1:25">
      <c r="A1192" t="s">
        <v>693</v>
      </c>
      <c r="B1192">
        <v>4260.8974443903198</v>
      </c>
      <c r="C1192">
        <v>31.5851927556741</v>
      </c>
      <c r="D1192" t="s">
        <v>19</v>
      </c>
      <c r="E1192">
        <v>81</v>
      </c>
      <c r="Y1192" t="s">
        <v>545</v>
      </c>
    </row>
    <row r="1193" spans="1:25">
      <c r="A1193" t="s">
        <v>693</v>
      </c>
      <c r="B1193">
        <v>4267.6955591260003</v>
      </c>
      <c r="C1193">
        <v>20</v>
      </c>
      <c r="D1193" t="s">
        <v>774</v>
      </c>
      <c r="E1193">
        <v>24</v>
      </c>
      <c r="I1193" t="s">
        <v>440</v>
      </c>
      <c r="K1193" t="s">
        <v>444</v>
      </c>
      <c r="M1193" t="s">
        <v>618</v>
      </c>
      <c r="Y1193" t="s">
        <v>545</v>
      </c>
    </row>
    <row r="1194" spans="1:25">
      <c r="A1194" t="s">
        <v>693</v>
      </c>
      <c r="B1194">
        <v>4270.8964611009997</v>
      </c>
      <c r="C1194">
        <v>17</v>
      </c>
      <c r="D1194" t="s">
        <v>27</v>
      </c>
      <c r="E1194">
        <v>57</v>
      </c>
      <c r="U1194" t="s">
        <v>195</v>
      </c>
      <c r="Y1194" t="s">
        <v>545</v>
      </c>
    </row>
    <row r="1195" spans="1:25">
      <c r="A1195" t="s">
        <v>693</v>
      </c>
      <c r="B1195">
        <v>4273.8966680643098</v>
      </c>
      <c r="C1195">
        <v>20</v>
      </c>
      <c r="D1195" t="s">
        <v>638</v>
      </c>
      <c r="E1195">
        <v>67</v>
      </c>
      <c r="I1195" t="s">
        <v>439</v>
      </c>
      <c r="M1195" t="s">
        <v>604</v>
      </c>
      <c r="Y1195" t="s">
        <v>545</v>
      </c>
    </row>
    <row r="1196" spans="1:25">
      <c r="A1196" t="s">
        <v>693</v>
      </c>
      <c r="B1196">
        <v>4274.8964611009997</v>
      </c>
      <c r="C1196">
        <v>17.586176045000599</v>
      </c>
      <c r="D1196" t="s">
        <v>18</v>
      </c>
      <c r="E1196">
        <v>94</v>
      </c>
      <c r="Y1196" t="s">
        <v>545</v>
      </c>
    </row>
    <row r="1197" spans="1:25">
      <c r="A1197" t="s">
        <v>693</v>
      </c>
      <c r="B1197">
        <v>4280.6446835850002</v>
      </c>
      <c r="C1197">
        <v>20</v>
      </c>
      <c r="D1197" t="s">
        <v>791</v>
      </c>
      <c r="E1197">
        <v>10</v>
      </c>
      <c r="H1197" t="s">
        <v>445</v>
      </c>
      <c r="I1197" t="s">
        <v>439</v>
      </c>
      <c r="M1197" t="s">
        <v>604</v>
      </c>
      <c r="Y1197" t="s">
        <v>545</v>
      </c>
    </row>
    <row r="1198" spans="1:25">
      <c r="A1198" t="s">
        <v>693</v>
      </c>
      <c r="B1198">
        <v>4282.0985645526498</v>
      </c>
      <c r="C1198">
        <v>15</v>
      </c>
      <c r="D1198" t="s">
        <v>603</v>
      </c>
      <c r="E1198">
        <v>1</v>
      </c>
      <c r="Y1198" t="s">
        <v>545</v>
      </c>
    </row>
    <row r="1199" spans="1:25">
      <c r="A1199" t="s">
        <v>693</v>
      </c>
      <c r="B1199">
        <v>4282.3982431759896</v>
      </c>
      <c r="C1199">
        <v>10.0843939700025</v>
      </c>
      <c r="D1199" t="s">
        <v>32</v>
      </c>
      <c r="E1199">
        <v>30</v>
      </c>
      <c r="R1199" t="s">
        <v>23</v>
      </c>
      <c r="Y1199" t="s">
        <v>545</v>
      </c>
    </row>
    <row r="1200" spans="1:25">
      <c r="A1200" t="s">
        <v>693</v>
      </c>
      <c r="B1200">
        <v>4291.19833940833</v>
      </c>
      <c r="C1200">
        <v>17</v>
      </c>
      <c r="D1200" t="s">
        <v>11</v>
      </c>
      <c r="E1200">
        <v>40</v>
      </c>
      <c r="T1200" t="s">
        <v>13</v>
      </c>
      <c r="Y1200" t="s">
        <v>545</v>
      </c>
    </row>
    <row r="1201" spans="1:25">
      <c r="A1201" t="s">
        <v>693</v>
      </c>
      <c r="B1201">
        <v>4292.4826371460003</v>
      </c>
      <c r="C1201">
        <v>5.7157022623296099</v>
      </c>
      <c r="D1201" t="s">
        <v>10</v>
      </c>
      <c r="E1201">
        <v>81</v>
      </c>
      <c r="Y1201" t="s">
        <v>545</v>
      </c>
    </row>
    <row r="1202" spans="1:25">
      <c r="A1202" t="s">
        <v>693</v>
      </c>
      <c r="B1202">
        <v>4295.19833940833</v>
      </c>
      <c r="C1202">
        <v>37.000952337667499</v>
      </c>
      <c r="D1202" t="s">
        <v>9</v>
      </c>
      <c r="E1202">
        <v>109</v>
      </c>
      <c r="Y1202" t="s">
        <v>545</v>
      </c>
    </row>
    <row r="1203" spans="1:25">
      <c r="A1203" t="s">
        <v>693</v>
      </c>
      <c r="B1203">
        <v>4298.19833940833</v>
      </c>
      <c r="C1203">
        <v>79.200542711335402</v>
      </c>
      <c r="D1203" t="s">
        <v>19</v>
      </c>
      <c r="E1203">
        <v>82</v>
      </c>
      <c r="Y1203" t="s">
        <v>545</v>
      </c>
    </row>
    <row r="1204" spans="1:25">
      <c r="A1204" t="s">
        <v>693</v>
      </c>
      <c r="B1204">
        <v>4300.8942473233301</v>
      </c>
      <c r="C1204">
        <v>26.093330415668699</v>
      </c>
      <c r="D1204" t="s">
        <v>427</v>
      </c>
      <c r="E1204">
        <v>3</v>
      </c>
      <c r="P1204" t="s">
        <v>31</v>
      </c>
      <c r="R1204" t="s">
        <v>23</v>
      </c>
      <c r="Y1204" t="s">
        <v>545</v>
      </c>
    </row>
    <row r="1205" spans="1:25">
      <c r="A1205" t="s">
        <v>693</v>
      </c>
      <c r="B1205">
        <v>4304.7404468739996</v>
      </c>
      <c r="C1205">
        <v>20</v>
      </c>
      <c r="D1205" t="s">
        <v>777</v>
      </c>
      <c r="E1205">
        <v>47</v>
      </c>
      <c r="K1205" t="s">
        <v>441</v>
      </c>
      <c r="M1205" t="s">
        <v>613</v>
      </c>
      <c r="Y1205" t="s">
        <v>545</v>
      </c>
    </row>
    <row r="1206" spans="1:25">
      <c r="A1206" t="s">
        <v>693</v>
      </c>
      <c r="B1206">
        <v>4306.8996140609997</v>
      </c>
      <c r="C1206">
        <v>20</v>
      </c>
      <c r="D1206" t="s">
        <v>41</v>
      </c>
      <c r="E1206">
        <v>19</v>
      </c>
      <c r="Y1206" t="s">
        <v>545</v>
      </c>
    </row>
    <row r="1207" spans="1:25">
      <c r="A1207" t="s">
        <v>693</v>
      </c>
      <c r="B1207">
        <v>4310.9805635009998</v>
      </c>
      <c r="C1207">
        <v>20</v>
      </c>
      <c r="D1207" t="s">
        <v>642</v>
      </c>
      <c r="E1207">
        <v>18</v>
      </c>
      <c r="J1207" t="s">
        <v>620</v>
      </c>
      <c r="K1207" t="s">
        <v>441</v>
      </c>
      <c r="M1207" t="s">
        <v>613</v>
      </c>
      <c r="Y1207" t="s">
        <v>545</v>
      </c>
    </row>
    <row r="1208" spans="1:25">
      <c r="A1208" t="s">
        <v>693</v>
      </c>
      <c r="B1208">
        <v>4317.3354756560002</v>
      </c>
      <c r="C1208">
        <v>20</v>
      </c>
      <c r="D1208" t="s">
        <v>45</v>
      </c>
      <c r="E1208">
        <v>19</v>
      </c>
      <c r="N1208">
        <v>79</v>
      </c>
      <c r="O1208">
        <v>74</v>
      </c>
      <c r="Q1208" t="s">
        <v>669</v>
      </c>
      <c r="Y1208" t="s">
        <v>545</v>
      </c>
    </row>
    <row r="1209" spans="1:25">
      <c r="A1209" t="s">
        <v>693</v>
      </c>
      <c r="B1209">
        <v>4319.5988192939903</v>
      </c>
      <c r="C1209">
        <v>17</v>
      </c>
      <c r="D1209" t="s">
        <v>40</v>
      </c>
      <c r="E1209">
        <v>62</v>
      </c>
      <c r="U1209" t="s">
        <v>28</v>
      </c>
      <c r="Y1209" t="s">
        <v>545</v>
      </c>
    </row>
    <row r="1210" spans="1:25">
      <c r="A1210" t="s">
        <v>693</v>
      </c>
      <c r="B1210">
        <v>4321.2951555446598</v>
      </c>
      <c r="C1210">
        <v>20</v>
      </c>
      <c r="D1210" t="s">
        <v>638</v>
      </c>
      <c r="E1210">
        <v>68</v>
      </c>
      <c r="G1210" t="s">
        <v>51</v>
      </c>
      <c r="I1210" t="s">
        <v>442</v>
      </c>
      <c r="M1210" t="s">
        <v>438</v>
      </c>
      <c r="Y1210" t="s">
        <v>545</v>
      </c>
    </row>
    <row r="1211" spans="1:25">
      <c r="A1211" t="s">
        <v>693</v>
      </c>
      <c r="B1211">
        <v>4325.1992917459902</v>
      </c>
      <c r="C1211">
        <v>17</v>
      </c>
      <c r="D1211" t="s">
        <v>27</v>
      </c>
      <c r="E1211">
        <v>58</v>
      </c>
      <c r="U1211" t="s">
        <v>28</v>
      </c>
      <c r="Y1211" t="s">
        <v>545</v>
      </c>
    </row>
    <row r="1212" spans="1:25">
      <c r="A1212" t="s">
        <v>693</v>
      </c>
      <c r="B1212">
        <v>4328.0823717060002</v>
      </c>
      <c r="C1212">
        <v>20</v>
      </c>
      <c r="D1212" t="s">
        <v>636</v>
      </c>
      <c r="E1212">
        <v>30</v>
      </c>
      <c r="H1212" t="s">
        <v>450</v>
      </c>
      <c r="I1212" t="s">
        <v>440</v>
      </c>
      <c r="M1212" t="s">
        <v>604</v>
      </c>
      <c r="Y1212" t="s">
        <v>545</v>
      </c>
    </row>
    <row r="1213" spans="1:25">
      <c r="A1213" t="s">
        <v>693</v>
      </c>
      <c r="B1213">
        <v>4329.1992917459902</v>
      </c>
      <c r="C1213">
        <v>37.214207885002899</v>
      </c>
      <c r="D1213" t="s">
        <v>18</v>
      </c>
      <c r="E1213">
        <v>95</v>
      </c>
      <c r="Y1213" t="s">
        <v>545</v>
      </c>
    </row>
    <row r="1214" spans="1:25">
      <c r="A1214" t="s">
        <v>693</v>
      </c>
      <c r="B1214">
        <v>4332.4992520276601</v>
      </c>
      <c r="C1214">
        <v>33.9142476033348</v>
      </c>
      <c r="D1214" t="s">
        <v>121</v>
      </c>
      <c r="E1214">
        <v>39</v>
      </c>
      <c r="P1214" t="s">
        <v>30</v>
      </c>
      <c r="R1214" t="s">
        <v>23</v>
      </c>
      <c r="Y1214" t="s">
        <v>545</v>
      </c>
    </row>
    <row r="1215" spans="1:25">
      <c r="A1215" t="s">
        <v>693</v>
      </c>
      <c r="B1215">
        <v>4335.1956889319699</v>
      </c>
      <c r="C1215">
        <v>20</v>
      </c>
      <c r="D1215" t="s">
        <v>774</v>
      </c>
      <c r="E1215">
        <v>25</v>
      </c>
      <c r="I1215" t="s">
        <v>442</v>
      </c>
      <c r="M1215" t="s">
        <v>604</v>
      </c>
      <c r="Y1215" t="s">
        <v>545</v>
      </c>
    </row>
    <row r="1216" spans="1:25">
      <c r="A1216" t="s">
        <v>693</v>
      </c>
      <c r="B1216">
        <v>4336.8956626156696</v>
      </c>
      <c r="C1216">
        <v>20</v>
      </c>
      <c r="D1216" t="s">
        <v>637</v>
      </c>
      <c r="E1216">
        <v>51</v>
      </c>
      <c r="H1216" t="s">
        <v>621</v>
      </c>
      <c r="I1216" t="s">
        <v>440</v>
      </c>
      <c r="M1216" t="s">
        <v>604</v>
      </c>
      <c r="Y1216" t="s">
        <v>545</v>
      </c>
    </row>
    <row r="1217" spans="1:25">
      <c r="A1217" t="s">
        <v>693</v>
      </c>
      <c r="B1217">
        <v>4344.0968184543199</v>
      </c>
      <c r="C1217">
        <v>20</v>
      </c>
      <c r="D1217" t="s">
        <v>636</v>
      </c>
      <c r="E1217">
        <v>31</v>
      </c>
      <c r="I1217" t="s">
        <v>440</v>
      </c>
      <c r="M1217" t="s">
        <v>604</v>
      </c>
      <c r="Y1217" t="s">
        <v>545</v>
      </c>
    </row>
    <row r="1218" spans="1:25">
      <c r="A1218" t="s">
        <v>693</v>
      </c>
      <c r="B1218">
        <v>4352.48915424999</v>
      </c>
      <c r="C1218">
        <v>20</v>
      </c>
      <c r="D1218" t="s">
        <v>638</v>
      </c>
      <c r="E1218">
        <v>69</v>
      </c>
      <c r="I1218" t="s">
        <v>439</v>
      </c>
      <c r="M1218" t="s">
        <v>605</v>
      </c>
      <c r="Y1218" t="s">
        <v>545</v>
      </c>
    </row>
    <row r="1219" spans="1:25">
      <c r="A1219" t="s">
        <v>693</v>
      </c>
      <c r="B1219">
        <v>4359.4134996310004</v>
      </c>
      <c r="C1219">
        <v>17</v>
      </c>
      <c r="D1219" t="s">
        <v>40</v>
      </c>
      <c r="E1219">
        <v>63</v>
      </c>
      <c r="U1219" t="s">
        <v>195</v>
      </c>
      <c r="Y1219" t="s">
        <v>545</v>
      </c>
    </row>
    <row r="1220" spans="1:25">
      <c r="A1220" t="s">
        <v>693</v>
      </c>
      <c r="B1220">
        <v>4363.4134996310004</v>
      </c>
      <c r="C1220">
        <v>13.9853824886649</v>
      </c>
      <c r="D1220" t="s">
        <v>9</v>
      </c>
      <c r="E1220">
        <v>110</v>
      </c>
      <c r="Y1220" t="s">
        <v>545</v>
      </c>
    </row>
    <row r="1221" spans="1:25">
      <c r="A1221" t="s">
        <v>693</v>
      </c>
      <c r="B1221">
        <v>4363.4983519773205</v>
      </c>
      <c r="C1221">
        <v>13.9005301423412</v>
      </c>
      <c r="D1221" t="s">
        <v>44</v>
      </c>
      <c r="E1221">
        <v>4</v>
      </c>
      <c r="R1221" t="s">
        <v>20</v>
      </c>
      <c r="Y1221" t="s">
        <v>545</v>
      </c>
    </row>
    <row r="1222" spans="1:25">
      <c r="A1222" t="s">
        <v>693</v>
      </c>
      <c r="B1222">
        <v>4367.0829445400004</v>
      </c>
      <c r="C1222">
        <v>15</v>
      </c>
      <c r="D1222" t="s">
        <v>328</v>
      </c>
      <c r="E1222">
        <v>4</v>
      </c>
      <c r="Y1222" t="s">
        <v>545</v>
      </c>
    </row>
    <row r="1223" spans="1:25">
      <c r="A1223" t="s">
        <v>693</v>
      </c>
      <c r="B1223">
        <v>4377.3988821196599</v>
      </c>
      <c r="C1223">
        <v>30.4998176836643</v>
      </c>
      <c r="D1223" t="s">
        <v>10</v>
      </c>
      <c r="E1223">
        <v>82</v>
      </c>
      <c r="Y1223" t="s">
        <v>545</v>
      </c>
    </row>
    <row r="1224" spans="1:25">
      <c r="A1224" t="s">
        <v>693</v>
      </c>
      <c r="B1224">
        <v>4398.49552521032</v>
      </c>
      <c r="C1224">
        <v>20</v>
      </c>
      <c r="D1224" t="s">
        <v>638</v>
      </c>
      <c r="E1224">
        <v>70</v>
      </c>
      <c r="I1224" t="s">
        <v>447</v>
      </c>
      <c r="M1224" t="s">
        <v>688</v>
      </c>
      <c r="Y1224" t="s">
        <v>545</v>
      </c>
    </row>
    <row r="1225" spans="1:25">
      <c r="A1225" t="s">
        <v>693</v>
      </c>
      <c r="B1225">
        <v>4400.8986998033297</v>
      </c>
      <c r="C1225">
        <v>17</v>
      </c>
      <c r="D1225" t="s">
        <v>6</v>
      </c>
      <c r="E1225">
        <v>32</v>
      </c>
      <c r="T1225" t="s">
        <v>24</v>
      </c>
      <c r="Y1225" t="s">
        <v>545</v>
      </c>
    </row>
    <row r="1226" spans="1:25">
      <c r="A1226" t="s">
        <v>693</v>
      </c>
      <c r="B1226">
        <v>4402.0598849609996</v>
      </c>
      <c r="C1226">
        <v>20</v>
      </c>
      <c r="D1226" t="s">
        <v>687</v>
      </c>
      <c r="E1226">
        <v>36</v>
      </c>
      <c r="H1226" t="s">
        <v>741</v>
      </c>
      <c r="M1226" t="s">
        <v>734</v>
      </c>
      <c r="Y1226" t="s">
        <v>545</v>
      </c>
    </row>
    <row r="1227" spans="1:25">
      <c r="A1227" t="s">
        <v>693</v>
      </c>
      <c r="B1227">
        <v>4402.2982711749901</v>
      </c>
      <c r="C1227">
        <v>20</v>
      </c>
      <c r="D1227" t="s">
        <v>33</v>
      </c>
      <c r="E1227">
        <v>22</v>
      </c>
      <c r="Y1227" t="s">
        <v>545</v>
      </c>
    </row>
    <row r="1228" spans="1:25">
      <c r="A1228" t="s">
        <v>693</v>
      </c>
      <c r="B1228">
        <v>4402.3987099276601</v>
      </c>
      <c r="C1228">
        <v>20</v>
      </c>
      <c r="D1228" t="s">
        <v>36</v>
      </c>
      <c r="E1228">
        <v>10</v>
      </c>
      <c r="N1228">
        <v>89</v>
      </c>
      <c r="O1228">
        <v>45</v>
      </c>
      <c r="Q1228" t="s">
        <v>707</v>
      </c>
      <c r="Y1228" t="s">
        <v>545</v>
      </c>
    </row>
    <row r="1229" spans="1:25">
      <c r="A1229" t="s">
        <v>693</v>
      </c>
      <c r="B1229">
        <v>4402.3987099276601</v>
      </c>
      <c r="C1229">
        <v>20</v>
      </c>
      <c r="D1229" t="s">
        <v>453</v>
      </c>
      <c r="E1229">
        <v>4</v>
      </c>
      <c r="Y1229" t="s">
        <v>545</v>
      </c>
    </row>
    <row r="1230" spans="1:25">
      <c r="A1230" t="s">
        <v>693</v>
      </c>
      <c r="B1230">
        <v>4404.8986998033297</v>
      </c>
      <c r="C1230">
        <v>12.500010124334899</v>
      </c>
      <c r="D1230" t="s">
        <v>18</v>
      </c>
      <c r="E1230">
        <v>96</v>
      </c>
      <c r="Y1230" t="s">
        <v>545</v>
      </c>
    </row>
    <row r="1231" spans="1:25">
      <c r="A1231" t="s">
        <v>693</v>
      </c>
      <c r="B1231">
        <v>4405.4945689676597</v>
      </c>
      <c r="C1231">
        <v>11.9041409599958</v>
      </c>
      <c r="D1231" t="s">
        <v>32</v>
      </c>
      <c r="E1231">
        <v>31</v>
      </c>
      <c r="R1231" t="s">
        <v>20</v>
      </c>
      <c r="Y1231" t="s">
        <v>545</v>
      </c>
    </row>
    <row r="1232" spans="1:25">
      <c r="A1232" t="s">
        <v>693</v>
      </c>
      <c r="B1232">
        <v>4405.9252719149999</v>
      </c>
      <c r="C1232">
        <v>20</v>
      </c>
      <c r="D1232" t="s">
        <v>135</v>
      </c>
      <c r="E1232">
        <v>10</v>
      </c>
      <c r="Y1232" t="s">
        <v>545</v>
      </c>
    </row>
    <row r="1233" spans="1:25">
      <c r="A1233" t="s">
        <v>693</v>
      </c>
      <c r="B1233">
        <v>4407.3987099276601</v>
      </c>
      <c r="C1233">
        <v>15</v>
      </c>
      <c r="D1233" t="s">
        <v>35</v>
      </c>
      <c r="E1233">
        <v>10</v>
      </c>
      <c r="Y1233" t="s">
        <v>545</v>
      </c>
    </row>
    <row r="1234" spans="1:25">
      <c r="A1234" t="s">
        <v>693</v>
      </c>
      <c r="B1234">
        <v>4407.8986998033297</v>
      </c>
      <c r="C1234">
        <v>9.5000101243349402</v>
      </c>
      <c r="D1234" t="s">
        <v>19</v>
      </c>
      <c r="E1234">
        <v>83</v>
      </c>
      <c r="Y1234" t="s">
        <v>545</v>
      </c>
    </row>
    <row r="1235" spans="1:25">
      <c r="A1235" t="s">
        <v>693</v>
      </c>
      <c r="B1235">
        <v>4417.3987099276601</v>
      </c>
      <c r="C1235">
        <v>23.898650804003399</v>
      </c>
      <c r="D1235" t="s">
        <v>10</v>
      </c>
      <c r="E1235">
        <v>83</v>
      </c>
      <c r="Y1235" t="s">
        <v>545</v>
      </c>
    </row>
    <row r="1236" spans="1:25">
      <c r="A1236" t="s">
        <v>693</v>
      </c>
      <c r="B1236">
        <v>4438.2973607316599</v>
      </c>
      <c r="C1236">
        <v>11.300675642658399</v>
      </c>
      <c r="D1236" t="s">
        <v>9</v>
      </c>
      <c r="E1236">
        <v>111</v>
      </c>
      <c r="Y1236" t="s">
        <v>545</v>
      </c>
    </row>
    <row r="1237" spans="1:25">
      <c r="A1237" t="s">
        <v>693</v>
      </c>
      <c r="B1237">
        <v>4438.9968367956599</v>
      </c>
      <c r="C1237">
        <v>20</v>
      </c>
      <c r="D1237" t="s">
        <v>637</v>
      </c>
      <c r="E1237">
        <v>52</v>
      </c>
      <c r="I1237" t="s">
        <v>440</v>
      </c>
      <c r="M1237" t="s">
        <v>438</v>
      </c>
      <c r="Y1237" t="s">
        <v>545</v>
      </c>
    </row>
    <row r="1238" spans="1:25">
      <c r="A1238" t="s">
        <v>693</v>
      </c>
      <c r="B1238">
        <v>4441.2973607316599</v>
      </c>
      <c r="C1238">
        <v>1</v>
      </c>
      <c r="D1238" t="s">
        <v>17</v>
      </c>
      <c r="E1238">
        <v>5</v>
      </c>
      <c r="Y1238" t="s">
        <v>545</v>
      </c>
    </row>
    <row r="1239" spans="1:25">
      <c r="A1239" t="s">
        <v>693</v>
      </c>
      <c r="B1239">
        <v>4441.2973607316599</v>
      </c>
      <c r="C1239">
        <v>20.4021439853286</v>
      </c>
      <c r="D1239" t="s">
        <v>19</v>
      </c>
      <c r="E1239">
        <v>84</v>
      </c>
      <c r="Y1239" t="s">
        <v>545</v>
      </c>
    </row>
    <row r="1240" spans="1:25">
      <c r="A1240" t="s">
        <v>693</v>
      </c>
      <c r="B1240">
        <v>4441.3697968859997</v>
      </c>
      <c r="C1240">
        <v>20</v>
      </c>
      <c r="D1240" t="s">
        <v>45</v>
      </c>
      <c r="E1240">
        <v>20</v>
      </c>
      <c r="N1240">
        <v>87</v>
      </c>
      <c r="O1240">
        <v>73</v>
      </c>
      <c r="Q1240" t="s">
        <v>725</v>
      </c>
      <c r="Y1240" t="s">
        <v>545</v>
      </c>
    </row>
    <row r="1241" spans="1:25">
      <c r="A1241" t="s">
        <v>693</v>
      </c>
      <c r="B1241">
        <v>4441.3972807926602</v>
      </c>
      <c r="C1241">
        <v>20</v>
      </c>
      <c r="D1241" t="s">
        <v>638</v>
      </c>
      <c r="E1241">
        <v>71</v>
      </c>
      <c r="I1241" t="s">
        <v>439</v>
      </c>
      <c r="M1241" t="s">
        <v>689</v>
      </c>
      <c r="Y1241" t="s">
        <v>545</v>
      </c>
    </row>
    <row r="1242" spans="1:25">
      <c r="A1242" t="s">
        <v>693</v>
      </c>
      <c r="B1242">
        <v>4442.5980363743201</v>
      </c>
      <c r="C1242">
        <v>17</v>
      </c>
      <c r="D1242" t="s">
        <v>27</v>
      </c>
      <c r="E1242">
        <v>59</v>
      </c>
      <c r="U1242" t="s">
        <v>28</v>
      </c>
      <c r="Y1242" t="s">
        <v>545</v>
      </c>
    </row>
    <row r="1243" spans="1:25">
      <c r="A1243" t="s">
        <v>693</v>
      </c>
      <c r="B1243">
        <v>4444.6980951779897</v>
      </c>
      <c r="C1243">
        <v>20</v>
      </c>
      <c r="D1243" t="s">
        <v>136</v>
      </c>
      <c r="E1243">
        <v>13</v>
      </c>
      <c r="Y1243" t="s">
        <v>545</v>
      </c>
    </row>
    <row r="1244" spans="1:25">
      <c r="A1244" t="s">
        <v>693</v>
      </c>
      <c r="B1244">
        <v>4445.5974382779896</v>
      </c>
      <c r="C1244">
        <v>17</v>
      </c>
      <c r="D1244" t="s">
        <v>40</v>
      </c>
      <c r="E1244">
        <v>64</v>
      </c>
      <c r="U1244" t="s">
        <v>28</v>
      </c>
      <c r="Y1244" t="s">
        <v>545</v>
      </c>
    </row>
    <row r="1245" spans="1:25">
      <c r="A1245" t="s">
        <v>693</v>
      </c>
      <c r="B1245">
        <v>4445.9969081279996</v>
      </c>
      <c r="C1245">
        <v>20</v>
      </c>
      <c r="D1245" t="s">
        <v>638</v>
      </c>
      <c r="E1245">
        <v>72</v>
      </c>
      <c r="G1245" t="s">
        <v>764</v>
      </c>
      <c r="Y1245" t="s">
        <v>545</v>
      </c>
    </row>
    <row r="1246" spans="1:25">
      <c r="A1246" t="s">
        <v>693</v>
      </c>
      <c r="B1246">
        <v>4446.5980363743201</v>
      </c>
      <c r="C1246">
        <v>5.9994019036685096</v>
      </c>
      <c r="D1246" t="s">
        <v>18</v>
      </c>
      <c r="E1246">
        <v>97</v>
      </c>
      <c r="Y1246" t="s">
        <v>545</v>
      </c>
    </row>
    <row r="1247" spans="1:25">
      <c r="A1247" t="s">
        <v>693</v>
      </c>
      <c r="B1247">
        <v>4449.5974382779896</v>
      </c>
      <c r="C1247">
        <v>9.7016070436638895</v>
      </c>
      <c r="D1247" t="s">
        <v>9</v>
      </c>
      <c r="E1247">
        <v>112</v>
      </c>
      <c r="Y1247" t="s">
        <v>545</v>
      </c>
    </row>
    <row r="1248" spans="1:25">
      <c r="A1248" t="s">
        <v>693</v>
      </c>
      <c r="B1248">
        <v>4450.4954569206702</v>
      </c>
      <c r="C1248">
        <v>20</v>
      </c>
      <c r="D1248" t="s">
        <v>637</v>
      </c>
      <c r="E1248">
        <v>53</v>
      </c>
      <c r="I1248" t="s">
        <v>439</v>
      </c>
      <c r="M1248" t="s">
        <v>443</v>
      </c>
      <c r="Y1248" t="s">
        <v>545</v>
      </c>
    </row>
    <row r="1249" spans="1:25">
      <c r="A1249" t="s">
        <v>693</v>
      </c>
      <c r="B1249">
        <v>4452.2990453216498</v>
      </c>
      <c r="C1249">
        <v>17</v>
      </c>
      <c r="D1249" t="s">
        <v>27</v>
      </c>
      <c r="E1249">
        <v>60</v>
      </c>
      <c r="U1249" t="s">
        <v>28</v>
      </c>
      <c r="Y1249" t="s">
        <v>545</v>
      </c>
    </row>
    <row r="1250" spans="1:25">
      <c r="A1250" t="s">
        <v>693</v>
      </c>
      <c r="B1250">
        <v>4456.2990453216498</v>
      </c>
      <c r="C1250">
        <v>5.40045939533774</v>
      </c>
      <c r="D1250" t="s">
        <v>18</v>
      </c>
      <c r="E1250">
        <v>98</v>
      </c>
      <c r="Y1250" t="s">
        <v>545</v>
      </c>
    </row>
    <row r="1251" spans="1:25">
      <c r="A1251" t="s">
        <v>693</v>
      </c>
      <c r="B1251">
        <v>4461.6995047169903</v>
      </c>
      <c r="C1251">
        <v>8.4988467910034107</v>
      </c>
      <c r="D1251" t="s">
        <v>10</v>
      </c>
      <c r="E1251">
        <v>84</v>
      </c>
      <c r="Y1251" t="s">
        <v>545</v>
      </c>
    </row>
    <row r="1252" spans="1:25">
      <c r="A1252" t="s">
        <v>693</v>
      </c>
      <c r="B1252">
        <v>4463.1983515080001</v>
      </c>
      <c r="C1252">
        <v>17</v>
      </c>
      <c r="D1252" t="s">
        <v>11</v>
      </c>
      <c r="E1252">
        <v>41</v>
      </c>
      <c r="T1252" t="s">
        <v>12</v>
      </c>
      <c r="U1252" t="s">
        <v>195</v>
      </c>
      <c r="Y1252" t="s">
        <v>545</v>
      </c>
    </row>
    <row r="1253" spans="1:25">
      <c r="A1253" t="s">
        <v>693</v>
      </c>
      <c r="B1253">
        <v>4464.0956030863199</v>
      </c>
      <c r="C1253">
        <v>20</v>
      </c>
      <c r="D1253" t="s">
        <v>687</v>
      </c>
      <c r="E1253">
        <v>37</v>
      </c>
      <c r="I1253" t="s">
        <v>442</v>
      </c>
      <c r="K1253" t="s">
        <v>441</v>
      </c>
      <c r="M1253" t="s">
        <v>618</v>
      </c>
      <c r="Y1253" t="s">
        <v>545</v>
      </c>
    </row>
    <row r="1254" spans="1:25">
      <c r="A1254" t="s">
        <v>693</v>
      </c>
      <c r="B1254">
        <v>4467.1983515080001</v>
      </c>
      <c r="C1254">
        <v>8.0003154043333709</v>
      </c>
      <c r="D1254" t="s">
        <v>9</v>
      </c>
      <c r="E1254">
        <v>113</v>
      </c>
      <c r="Y1254" t="s">
        <v>545</v>
      </c>
    </row>
    <row r="1255" spans="1:25">
      <c r="A1255" t="s">
        <v>693</v>
      </c>
      <c r="B1255">
        <v>4468.1986669123298</v>
      </c>
      <c r="C1255">
        <v>17</v>
      </c>
      <c r="D1255" t="s">
        <v>27</v>
      </c>
      <c r="E1255">
        <v>61</v>
      </c>
      <c r="U1255" t="s">
        <v>195</v>
      </c>
      <c r="Y1255" t="s">
        <v>545</v>
      </c>
    </row>
    <row r="1256" spans="1:25">
      <c r="A1256" t="s">
        <v>693</v>
      </c>
      <c r="B1256">
        <v>4470.1983515080001</v>
      </c>
      <c r="C1256">
        <v>17.299648388664501</v>
      </c>
      <c r="D1256" t="s">
        <v>19</v>
      </c>
      <c r="E1256">
        <v>85</v>
      </c>
      <c r="Y1256" t="s">
        <v>545</v>
      </c>
    </row>
    <row r="1257" spans="1:25">
      <c r="A1257" t="s">
        <v>693</v>
      </c>
      <c r="B1257">
        <v>4470.9963186690002</v>
      </c>
      <c r="C1257">
        <v>20</v>
      </c>
      <c r="D1257" t="s">
        <v>793</v>
      </c>
      <c r="E1257">
        <v>12</v>
      </c>
      <c r="I1257" t="s">
        <v>439</v>
      </c>
      <c r="M1257" t="s">
        <v>604</v>
      </c>
      <c r="Y1257" t="s">
        <v>545</v>
      </c>
    </row>
    <row r="1258" spans="1:25">
      <c r="A1258" t="s">
        <v>693</v>
      </c>
      <c r="B1258">
        <v>4472.1986669123298</v>
      </c>
      <c r="C1258">
        <v>15.2993329843311</v>
      </c>
      <c r="D1258" t="s">
        <v>18</v>
      </c>
      <c r="E1258">
        <v>99</v>
      </c>
      <c r="Y1258" t="s">
        <v>545</v>
      </c>
    </row>
    <row r="1259" spans="1:25">
      <c r="A1259" t="s">
        <v>693</v>
      </c>
      <c r="B1259">
        <v>4472.8961060849897</v>
      </c>
      <c r="C1259">
        <v>20</v>
      </c>
      <c r="D1259" t="s">
        <v>783</v>
      </c>
      <c r="E1259">
        <v>12</v>
      </c>
      <c r="H1259" t="s">
        <v>445</v>
      </c>
      <c r="I1259" t="s">
        <v>442</v>
      </c>
      <c r="M1259" t="s">
        <v>605</v>
      </c>
      <c r="Y1259" t="s">
        <v>545</v>
      </c>
    </row>
    <row r="1260" spans="1:25">
      <c r="A1260" t="s">
        <v>693</v>
      </c>
      <c r="B1260">
        <v>4475.7987697583303</v>
      </c>
      <c r="C1260">
        <v>11.699230138331499</v>
      </c>
      <c r="D1260" t="s">
        <v>32</v>
      </c>
      <c r="E1260">
        <v>32</v>
      </c>
      <c r="R1260" t="s">
        <v>23</v>
      </c>
      <c r="Y1260" t="s">
        <v>545</v>
      </c>
    </row>
    <row r="1261" spans="1:25">
      <c r="A1261" t="s">
        <v>693</v>
      </c>
      <c r="B1261">
        <v>4487.4979998966601</v>
      </c>
      <c r="C1261">
        <v>7.1012735096610404</v>
      </c>
      <c r="D1261" t="s">
        <v>10</v>
      </c>
      <c r="E1261">
        <v>85</v>
      </c>
      <c r="Y1261" t="s">
        <v>545</v>
      </c>
    </row>
    <row r="1262" spans="1:25">
      <c r="A1262" t="s">
        <v>693</v>
      </c>
      <c r="B1262">
        <v>4487.5992734063202</v>
      </c>
      <c r="C1262">
        <v>17</v>
      </c>
      <c r="D1262" t="s">
        <v>11</v>
      </c>
      <c r="E1262">
        <v>42</v>
      </c>
      <c r="T1262" t="s">
        <v>12</v>
      </c>
      <c r="U1262" t="s">
        <v>195</v>
      </c>
      <c r="Y1262" t="s">
        <v>545</v>
      </c>
    </row>
    <row r="1263" spans="1:25">
      <c r="A1263" t="s">
        <v>693</v>
      </c>
      <c r="B1263">
        <v>4488.8171805390002</v>
      </c>
      <c r="C1263">
        <v>20</v>
      </c>
      <c r="D1263" t="s">
        <v>774</v>
      </c>
      <c r="E1263">
        <v>26</v>
      </c>
      <c r="I1263" t="s">
        <v>440</v>
      </c>
      <c r="M1263" t="s">
        <v>438</v>
      </c>
      <c r="Y1263" t="s">
        <v>545</v>
      </c>
    </row>
    <row r="1264" spans="1:25">
      <c r="A1264" t="s">
        <v>693</v>
      </c>
      <c r="B1264">
        <v>4490.0957003816602</v>
      </c>
      <c r="C1264">
        <v>20</v>
      </c>
      <c r="D1264" t="s">
        <v>636</v>
      </c>
      <c r="E1264">
        <v>32</v>
      </c>
      <c r="I1264" t="s">
        <v>440</v>
      </c>
      <c r="M1264" t="s">
        <v>604</v>
      </c>
      <c r="Y1264" t="s">
        <v>545</v>
      </c>
    </row>
    <row r="1265" spans="1:25">
      <c r="A1265" t="s">
        <v>693</v>
      </c>
      <c r="B1265">
        <v>4490.7650696999999</v>
      </c>
      <c r="C1265">
        <v>17</v>
      </c>
      <c r="D1265" t="s">
        <v>27</v>
      </c>
      <c r="E1265">
        <v>62</v>
      </c>
      <c r="U1265" t="s">
        <v>195</v>
      </c>
      <c r="Y1265" t="s">
        <v>545</v>
      </c>
    </row>
    <row r="1266" spans="1:25">
      <c r="A1266" t="s">
        <v>693</v>
      </c>
      <c r="B1266">
        <v>4491.5992734063202</v>
      </c>
      <c r="C1266">
        <v>6.1657962936742399</v>
      </c>
      <c r="D1266" t="s">
        <v>9</v>
      </c>
      <c r="E1266">
        <v>114</v>
      </c>
      <c r="Y1266" t="s">
        <v>545</v>
      </c>
    </row>
    <row r="1267" spans="1:25">
      <c r="A1267" t="s">
        <v>693</v>
      </c>
      <c r="B1267">
        <v>4494.5992734063202</v>
      </c>
      <c r="C1267">
        <v>102.08252540667399</v>
      </c>
      <c r="D1267" t="s">
        <v>19</v>
      </c>
      <c r="E1267">
        <v>86</v>
      </c>
      <c r="Y1267" t="s">
        <v>545</v>
      </c>
    </row>
    <row r="1268" spans="1:25">
      <c r="A1268" t="s">
        <v>693</v>
      </c>
      <c r="B1268">
        <v>4494.7650696999999</v>
      </c>
      <c r="C1268">
        <v>51.333521958997103</v>
      </c>
      <c r="D1268" t="s">
        <v>18</v>
      </c>
      <c r="E1268">
        <v>100</v>
      </c>
      <c r="Y1268" t="s">
        <v>545</v>
      </c>
    </row>
    <row r="1269" spans="1:25">
      <c r="A1269" t="s">
        <v>693</v>
      </c>
      <c r="B1269">
        <v>4497.9960276226702</v>
      </c>
      <c r="C1269">
        <v>20</v>
      </c>
      <c r="D1269" t="s">
        <v>638</v>
      </c>
      <c r="E1269">
        <v>73</v>
      </c>
      <c r="I1269" t="s">
        <v>439</v>
      </c>
      <c r="M1269" t="s">
        <v>604</v>
      </c>
      <c r="Y1269" t="s">
        <v>545</v>
      </c>
    </row>
    <row r="1270" spans="1:25">
      <c r="A1270" t="s">
        <v>693</v>
      </c>
      <c r="B1270">
        <v>4500.0993359163303</v>
      </c>
      <c r="C1270">
        <v>23.998812989663701</v>
      </c>
      <c r="D1270" t="s">
        <v>121</v>
      </c>
      <c r="E1270">
        <v>40</v>
      </c>
      <c r="P1270" t="s">
        <v>31</v>
      </c>
      <c r="R1270" t="s">
        <v>20</v>
      </c>
      <c r="Y1270" t="s">
        <v>545</v>
      </c>
    </row>
    <row r="1271" spans="1:25">
      <c r="A1271" t="s">
        <v>693</v>
      </c>
      <c r="B1271">
        <v>4500.5087955839999</v>
      </c>
      <c r="C1271">
        <v>20</v>
      </c>
      <c r="D1271" t="s">
        <v>791</v>
      </c>
      <c r="E1271">
        <v>11</v>
      </c>
      <c r="H1271" t="s">
        <v>437</v>
      </c>
      <c r="I1271" t="s">
        <v>440</v>
      </c>
      <c r="M1271" t="s">
        <v>604</v>
      </c>
      <c r="Y1271" t="s">
        <v>545</v>
      </c>
    </row>
    <row r="1272" spans="1:25">
      <c r="A1272" t="s">
        <v>693</v>
      </c>
      <c r="B1272">
        <v>4508.5961633303104</v>
      </c>
      <c r="C1272">
        <v>20</v>
      </c>
      <c r="D1272" t="s">
        <v>638</v>
      </c>
      <c r="E1272">
        <v>74</v>
      </c>
      <c r="I1272" t="s">
        <v>447</v>
      </c>
      <c r="M1272" t="s">
        <v>604</v>
      </c>
      <c r="Y1272" t="s">
        <v>545</v>
      </c>
    </row>
    <row r="1273" spans="1:25">
      <c r="A1273" t="s">
        <v>693</v>
      </c>
      <c r="B1273">
        <v>4511.9721465129996</v>
      </c>
      <c r="C1273">
        <v>20</v>
      </c>
      <c r="D1273" t="s">
        <v>788</v>
      </c>
      <c r="E1273">
        <v>12</v>
      </c>
      <c r="H1273" t="s">
        <v>621</v>
      </c>
      <c r="M1273" t="s">
        <v>543</v>
      </c>
      <c r="Y1273" t="s">
        <v>545</v>
      </c>
    </row>
    <row r="1274" spans="1:25">
      <c r="A1274" t="s">
        <v>693</v>
      </c>
      <c r="B1274">
        <v>4516.6953764823102</v>
      </c>
      <c r="C1274">
        <v>20</v>
      </c>
      <c r="D1274" t="s">
        <v>637</v>
      </c>
      <c r="E1274">
        <v>54</v>
      </c>
      <c r="I1274" t="s">
        <v>440</v>
      </c>
      <c r="M1274" t="s">
        <v>604</v>
      </c>
      <c r="Y1274" t="s">
        <v>545</v>
      </c>
    </row>
    <row r="1275" spans="1:25">
      <c r="A1275" t="s">
        <v>693</v>
      </c>
      <c r="B1275">
        <v>4525.58986983266</v>
      </c>
      <c r="C1275">
        <v>20</v>
      </c>
      <c r="D1275" t="s">
        <v>638</v>
      </c>
      <c r="E1275">
        <v>75</v>
      </c>
      <c r="I1275" t="s">
        <v>439</v>
      </c>
      <c r="M1275" t="s">
        <v>604</v>
      </c>
      <c r="Y1275" t="s">
        <v>545</v>
      </c>
    </row>
    <row r="1276" spans="1:25">
      <c r="A1276" t="s">
        <v>693</v>
      </c>
      <c r="B1276">
        <v>4526.8310803320001</v>
      </c>
      <c r="C1276">
        <v>20</v>
      </c>
      <c r="D1276" t="s">
        <v>793</v>
      </c>
      <c r="E1276">
        <v>13</v>
      </c>
      <c r="H1276" t="s">
        <v>445</v>
      </c>
      <c r="I1276" t="s">
        <v>440</v>
      </c>
      <c r="M1276" t="s">
        <v>604</v>
      </c>
      <c r="Y1276" t="s">
        <v>545</v>
      </c>
    </row>
    <row r="1277" spans="1:25">
      <c r="A1277" t="s">
        <v>693</v>
      </c>
      <c r="B1277">
        <v>4527.99199657799</v>
      </c>
      <c r="C1277">
        <v>18.106595080998801</v>
      </c>
      <c r="D1277" t="s">
        <v>121</v>
      </c>
      <c r="E1277">
        <v>41</v>
      </c>
      <c r="P1277" t="s">
        <v>30</v>
      </c>
      <c r="R1277" t="s">
        <v>23</v>
      </c>
      <c r="Y1277" t="s">
        <v>545</v>
      </c>
    </row>
    <row r="1278" spans="1:25">
      <c r="A1278" t="s">
        <v>693</v>
      </c>
      <c r="B1278">
        <v>4528.1915214549899</v>
      </c>
      <c r="C1278">
        <v>20</v>
      </c>
      <c r="D1278" t="s">
        <v>642</v>
      </c>
      <c r="E1278">
        <v>19</v>
      </c>
      <c r="I1278" t="s">
        <v>442</v>
      </c>
      <c r="M1278" t="s">
        <v>604</v>
      </c>
      <c r="Y1278" t="s">
        <v>545</v>
      </c>
    </row>
    <row r="1279" spans="1:25">
      <c r="A1279" t="s">
        <v>693</v>
      </c>
      <c r="B1279">
        <v>4530.8917979149901</v>
      </c>
      <c r="C1279">
        <v>20</v>
      </c>
      <c r="D1279" t="s">
        <v>777</v>
      </c>
      <c r="E1279">
        <v>48</v>
      </c>
      <c r="H1279" t="s">
        <v>621</v>
      </c>
      <c r="I1279" t="s">
        <v>442</v>
      </c>
      <c r="M1279" t="s">
        <v>604</v>
      </c>
      <c r="Y1279" t="s">
        <v>545</v>
      </c>
    </row>
    <row r="1280" spans="1:25">
      <c r="A1280" t="s">
        <v>693</v>
      </c>
      <c r="B1280">
        <v>4532.4328678749998</v>
      </c>
      <c r="C1280">
        <v>20</v>
      </c>
      <c r="D1280" t="s">
        <v>793</v>
      </c>
      <c r="E1280">
        <v>14</v>
      </c>
      <c r="H1280" t="s">
        <v>445</v>
      </c>
      <c r="M1280" t="s">
        <v>625</v>
      </c>
      <c r="Y1280" t="s">
        <v>545</v>
      </c>
    </row>
    <row r="1281" spans="1:25">
      <c r="A1281" t="s">
        <v>693</v>
      </c>
      <c r="B1281">
        <v>4539.0985916589898</v>
      </c>
      <c r="C1281">
        <v>17</v>
      </c>
      <c r="D1281" t="s">
        <v>40</v>
      </c>
      <c r="E1281">
        <v>65</v>
      </c>
      <c r="U1281" t="s">
        <v>28</v>
      </c>
      <c r="Y1281" t="s">
        <v>545</v>
      </c>
    </row>
    <row r="1282" spans="1:25">
      <c r="A1282" t="s">
        <v>693</v>
      </c>
      <c r="B1282">
        <v>4543.0985916589898</v>
      </c>
      <c r="C1282">
        <v>18.799774117665901</v>
      </c>
      <c r="D1282" t="s">
        <v>9</v>
      </c>
      <c r="E1282">
        <v>115</v>
      </c>
      <c r="Y1282" t="s">
        <v>545</v>
      </c>
    </row>
    <row r="1283" spans="1:25">
      <c r="A1283" t="s">
        <v>693</v>
      </c>
      <c r="B1283">
        <v>4550.3982405966599</v>
      </c>
      <c r="C1283">
        <v>20</v>
      </c>
      <c r="D1283" t="s">
        <v>46</v>
      </c>
      <c r="E1283">
        <v>10</v>
      </c>
      <c r="R1283" t="s">
        <v>23</v>
      </c>
      <c r="Y1283" t="s">
        <v>545</v>
      </c>
    </row>
    <row r="1284" spans="1:25">
      <c r="A1284" t="s">
        <v>693</v>
      </c>
      <c r="B1284">
        <v>4551.3958212076604</v>
      </c>
      <c r="C1284">
        <v>20</v>
      </c>
      <c r="D1284" t="s">
        <v>638</v>
      </c>
      <c r="E1284">
        <v>76</v>
      </c>
      <c r="G1284" t="s">
        <v>458</v>
      </c>
      <c r="I1284" t="s">
        <v>447</v>
      </c>
      <c r="M1284" t="s">
        <v>438</v>
      </c>
      <c r="Y1284" t="s">
        <v>545</v>
      </c>
    </row>
    <row r="1285" spans="1:25">
      <c r="A1285" t="s">
        <v>693</v>
      </c>
      <c r="B1285">
        <v>4551.7942411103304</v>
      </c>
      <c r="C1285">
        <v>10.1041246663289</v>
      </c>
      <c r="D1285" t="s">
        <v>44</v>
      </c>
      <c r="E1285">
        <v>5</v>
      </c>
      <c r="R1285" t="s">
        <v>20</v>
      </c>
      <c r="Y1285" t="s">
        <v>545</v>
      </c>
    </row>
    <row r="1286" spans="1:25">
      <c r="A1286" t="s">
        <v>693</v>
      </c>
      <c r="B1286">
        <v>4554.8983657766603</v>
      </c>
      <c r="C1286">
        <v>17</v>
      </c>
      <c r="D1286" t="s">
        <v>27</v>
      </c>
      <c r="E1286">
        <v>63</v>
      </c>
      <c r="U1286" t="s">
        <v>28</v>
      </c>
      <c r="Y1286" t="s">
        <v>545</v>
      </c>
    </row>
    <row r="1287" spans="1:25">
      <c r="A1287" t="s">
        <v>693</v>
      </c>
      <c r="B1287">
        <v>4558.8983657766603</v>
      </c>
      <c r="C1287">
        <v>37.783433036336604</v>
      </c>
      <c r="D1287" t="s">
        <v>18</v>
      </c>
      <c r="E1287">
        <v>101</v>
      </c>
      <c r="Y1287" t="s">
        <v>545</v>
      </c>
    </row>
    <row r="1288" spans="1:25">
      <c r="A1288" t="s">
        <v>693</v>
      </c>
      <c r="B1288">
        <v>4567.3977517943204</v>
      </c>
      <c r="C1288">
        <v>20</v>
      </c>
      <c r="D1288" t="s">
        <v>687</v>
      </c>
      <c r="E1288">
        <v>38</v>
      </c>
      <c r="H1288" t="s">
        <v>437</v>
      </c>
      <c r="I1288" t="s">
        <v>442</v>
      </c>
      <c r="M1288" t="s">
        <v>604</v>
      </c>
      <c r="Y1288" t="s">
        <v>545</v>
      </c>
    </row>
    <row r="1289" spans="1:25">
      <c r="A1289" t="s">
        <v>693</v>
      </c>
      <c r="B1289">
        <v>4567.8980927836601</v>
      </c>
      <c r="C1289">
        <v>10.9004427060044</v>
      </c>
      <c r="D1289" t="s">
        <v>121</v>
      </c>
      <c r="E1289">
        <v>42</v>
      </c>
      <c r="P1289" t="s">
        <v>667</v>
      </c>
      <c r="R1289" t="s">
        <v>20</v>
      </c>
      <c r="Y1289" t="s">
        <v>545</v>
      </c>
    </row>
    <row r="1290" spans="1:25">
      <c r="A1290" t="s">
        <v>693</v>
      </c>
      <c r="B1290">
        <v>4569.1781702239996</v>
      </c>
      <c r="C1290">
        <v>20</v>
      </c>
      <c r="D1290" t="s">
        <v>793</v>
      </c>
      <c r="E1290">
        <v>15</v>
      </c>
      <c r="I1290" t="s">
        <v>439</v>
      </c>
      <c r="M1290" t="s">
        <v>604</v>
      </c>
      <c r="Y1290" t="s">
        <v>545</v>
      </c>
    </row>
    <row r="1291" spans="1:25">
      <c r="A1291" t="s">
        <v>693</v>
      </c>
      <c r="B1291">
        <v>4572.2418737170001</v>
      </c>
      <c r="C1291">
        <v>20</v>
      </c>
      <c r="D1291" t="s">
        <v>783</v>
      </c>
      <c r="E1291">
        <v>13</v>
      </c>
      <c r="H1291" t="s">
        <v>630</v>
      </c>
      <c r="I1291" t="s">
        <v>440</v>
      </c>
      <c r="M1291" t="s">
        <v>622</v>
      </c>
      <c r="Y1291" t="s">
        <v>545</v>
      </c>
    </row>
    <row r="1292" spans="1:25">
      <c r="A1292" t="s">
        <v>693</v>
      </c>
      <c r="B1292">
        <v>4573.79853548966</v>
      </c>
      <c r="C1292">
        <v>22.8832633233305</v>
      </c>
      <c r="D1292" t="s">
        <v>32</v>
      </c>
      <c r="E1292">
        <v>33</v>
      </c>
      <c r="R1292" t="s">
        <v>23</v>
      </c>
      <c r="Y1292" t="s">
        <v>545</v>
      </c>
    </row>
    <row r="1293" spans="1:25">
      <c r="A1293" t="s">
        <v>693</v>
      </c>
      <c r="B1293">
        <v>4576.69582077001</v>
      </c>
      <c r="C1293">
        <v>20</v>
      </c>
      <c r="D1293" t="s">
        <v>777</v>
      </c>
      <c r="E1293">
        <v>49</v>
      </c>
      <c r="H1293" t="s">
        <v>617</v>
      </c>
      <c r="J1293" t="s">
        <v>222</v>
      </c>
      <c r="M1293" t="s">
        <v>624</v>
      </c>
      <c r="Y1293" t="s">
        <v>545</v>
      </c>
    </row>
    <row r="1294" spans="1:25">
      <c r="A1294" t="s">
        <v>693</v>
      </c>
      <c r="B1294">
        <v>4593.6105286749998</v>
      </c>
      <c r="C1294">
        <v>20</v>
      </c>
      <c r="D1294" t="s">
        <v>774</v>
      </c>
      <c r="E1294">
        <v>27</v>
      </c>
      <c r="I1294" t="s">
        <v>440</v>
      </c>
      <c r="M1294" t="s">
        <v>438</v>
      </c>
      <c r="Y1294" t="s">
        <v>545</v>
      </c>
    </row>
    <row r="1295" spans="1:25">
      <c r="A1295" t="s">
        <v>693</v>
      </c>
      <c r="B1295">
        <v>4594.6958048666502</v>
      </c>
      <c r="C1295">
        <v>20</v>
      </c>
      <c r="D1295" t="s">
        <v>636</v>
      </c>
      <c r="E1295">
        <v>33</v>
      </c>
      <c r="H1295" t="s">
        <v>450</v>
      </c>
      <c r="I1295" t="s">
        <v>609</v>
      </c>
      <c r="M1295" t="s">
        <v>604</v>
      </c>
      <c r="Y1295" t="s">
        <v>545</v>
      </c>
    </row>
    <row r="1296" spans="1:25">
      <c r="A1296" t="s">
        <v>693</v>
      </c>
      <c r="B1296">
        <v>4596.2999780976597</v>
      </c>
      <c r="C1296">
        <v>17</v>
      </c>
      <c r="D1296" t="s">
        <v>6</v>
      </c>
      <c r="E1296">
        <v>33</v>
      </c>
      <c r="T1296" t="s">
        <v>24</v>
      </c>
      <c r="Y1296" t="s">
        <v>545</v>
      </c>
    </row>
    <row r="1297" spans="1:25">
      <c r="A1297" t="s">
        <v>693</v>
      </c>
      <c r="B1297">
        <v>4596.6817988129997</v>
      </c>
      <c r="C1297">
        <v>6.61817928466734</v>
      </c>
      <c r="D1297" t="s">
        <v>10</v>
      </c>
      <c r="E1297">
        <v>86</v>
      </c>
      <c r="Y1297" t="s">
        <v>545</v>
      </c>
    </row>
    <row r="1298" spans="1:25">
      <c r="A1298" t="s">
        <v>693</v>
      </c>
      <c r="B1298">
        <v>4598.8989751189902</v>
      </c>
      <c r="C1298">
        <v>20</v>
      </c>
      <c r="D1298" t="s">
        <v>33</v>
      </c>
      <c r="E1298">
        <v>23</v>
      </c>
      <c r="Y1298" t="s">
        <v>545</v>
      </c>
    </row>
    <row r="1299" spans="1:25">
      <c r="A1299" t="s">
        <v>693</v>
      </c>
      <c r="B1299">
        <v>4599.7984605923302</v>
      </c>
      <c r="C1299">
        <v>17.800251574331899</v>
      </c>
      <c r="D1299" t="s">
        <v>32</v>
      </c>
      <c r="E1299">
        <v>34</v>
      </c>
      <c r="R1299" t="s">
        <v>23</v>
      </c>
      <c r="Y1299" t="s">
        <v>545</v>
      </c>
    </row>
    <row r="1300" spans="1:25">
      <c r="A1300" t="s">
        <v>693</v>
      </c>
      <c r="B1300">
        <v>4600.2999780976597</v>
      </c>
      <c r="C1300">
        <v>17.298734068998701</v>
      </c>
      <c r="D1300" t="s">
        <v>18</v>
      </c>
      <c r="E1300">
        <v>102</v>
      </c>
      <c r="Y1300" t="s">
        <v>545</v>
      </c>
    </row>
    <row r="1301" spans="1:25">
      <c r="A1301" t="s">
        <v>693</v>
      </c>
      <c r="B1301">
        <v>4603.0365727970002</v>
      </c>
      <c r="C1301">
        <v>20</v>
      </c>
      <c r="D1301" t="s">
        <v>788</v>
      </c>
      <c r="E1301">
        <v>13</v>
      </c>
      <c r="H1301" t="s">
        <v>621</v>
      </c>
      <c r="I1301" t="s">
        <v>440</v>
      </c>
      <c r="M1301" t="s">
        <v>605</v>
      </c>
      <c r="Y1301" t="s">
        <v>545</v>
      </c>
    </row>
    <row r="1302" spans="1:25">
      <c r="A1302" t="s">
        <v>693</v>
      </c>
      <c r="B1302">
        <v>4603.2999780976597</v>
      </c>
      <c r="C1302">
        <v>41.4984947313296</v>
      </c>
      <c r="D1302" t="s">
        <v>19</v>
      </c>
      <c r="E1302">
        <v>87</v>
      </c>
      <c r="Y1302" t="s">
        <v>545</v>
      </c>
    </row>
    <row r="1303" spans="1:25">
      <c r="A1303" t="s">
        <v>693</v>
      </c>
      <c r="B1303">
        <v>4609.6903408319904</v>
      </c>
      <c r="C1303">
        <v>20</v>
      </c>
      <c r="D1303" t="s">
        <v>791</v>
      </c>
      <c r="E1303">
        <v>12</v>
      </c>
      <c r="J1303" t="s">
        <v>620</v>
      </c>
      <c r="K1303" t="s">
        <v>441</v>
      </c>
      <c r="M1303" t="s">
        <v>613</v>
      </c>
      <c r="Y1303" t="s">
        <v>545</v>
      </c>
    </row>
    <row r="1304" spans="1:25">
      <c r="A1304" t="s">
        <v>693</v>
      </c>
      <c r="B1304">
        <v>4610.5987121666603</v>
      </c>
      <c r="C1304">
        <v>17</v>
      </c>
      <c r="D1304" t="s">
        <v>40</v>
      </c>
      <c r="E1304">
        <v>66</v>
      </c>
      <c r="U1304" t="s">
        <v>712</v>
      </c>
      <c r="Y1304" t="s">
        <v>545</v>
      </c>
    </row>
    <row r="1305" spans="1:25">
      <c r="A1305" t="s">
        <v>693</v>
      </c>
      <c r="B1305">
        <v>4612.2955615013298</v>
      </c>
      <c r="C1305">
        <v>20</v>
      </c>
      <c r="D1305" t="s">
        <v>636</v>
      </c>
      <c r="E1305">
        <v>34</v>
      </c>
      <c r="I1305" t="s">
        <v>439</v>
      </c>
      <c r="J1305" t="s">
        <v>751</v>
      </c>
      <c r="M1305" t="s">
        <v>438</v>
      </c>
      <c r="Y1305" t="s">
        <v>545</v>
      </c>
    </row>
    <row r="1306" spans="1:25">
      <c r="A1306" t="s">
        <v>693</v>
      </c>
      <c r="B1306">
        <v>4614.5987121666603</v>
      </c>
      <c r="C1306">
        <v>11.399967563332201</v>
      </c>
      <c r="D1306" t="s">
        <v>9</v>
      </c>
      <c r="E1306">
        <v>116</v>
      </c>
      <c r="Y1306" t="s">
        <v>545</v>
      </c>
    </row>
    <row r="1307" spans="1:25">
      <c r="A1307" t="s">
        <v>693</v>
      </c>
      <c r="B1307">
        <v>4618.49480262832</v>
      </c>
      <c r="C1307">
        <v>20</v>
      </c>
      <c r="D1307" t="s">
        <v>774</v>
      </c>
      <c r="E1307">
        <v>28</v>
      </c>
      <c r="H1307" t="s">
        <v>445</v>
      </c>
      <c r="I1307" t="s">
        <v>442</v>
      </c>
      <c r="M1307" t="s">
        <v>604</v>
      </c>
      <c r="Y1307" t="s">
        <v>545</v>
      </c>
    </row>
    <row r="1308" spans="1:25">
      <c r="A1308" t="s">
        <v>693</v>
      </c>
      <c r="B1308">
        <v>4618.9986797299898</v>
      </c>
      <c r="C1308">
        <v>17</v>
      </c>
      <c r="D1308" t="s">
        <v>27</v>
      </c>
      <c r="E1308">
        <v>64</v>
      </c>
      <c r="U1308" t="s">
        <v>28</v>
      </c>
      <c r="Y1308" t="s">
        <v>545</v>
      </c>
    </row>
    <row r="1309" spans="1:25">
      <c r="A1309" t="s">
        <v>693</v>
      </c>
      <c r="B1309">
        <v>4621.8956330679803</v>
      </c>
      <c r="C1309">
        <v>20</v>
      </c>
      <c r="D1309" t="s">
        <v>636</v>
      </c>
      <c r="E1309">
        <v>35</v>
      </c>
      <c r="H1309" t="s">
        <v>5</v>
      </c>
      <c r="I1309" t="s">
        <v>439</v>
      </c>
      <c r="M1309" t="s">
        <v>622</v>
      </c>
      <c r="Y1309" t="s">
        <v>545</v>
      </c>
    </row>
    <row r="1310" spans="1:25">
      <c r="A1310" t="s">
        <v>693</v>
      </c>
      <c r="B1310">
        <v>4622.9986797299898</v>
      </c>
      <c r="C1310">
        <v>21.799793098998599</v>
      </c>
      <c r="D1310" t="s">
        <v>18</v>
      </c>
      <c r="E1310">
        <v>103</v>
      </c>
      <c r="Y1310" t="s">
        <v>545</v>
      </c>
    </row>
    <row r="1311" spans="1:25">
      <c r="A1311" t="s">
        <v>693</v>
      </c>
      <c r="B1311">
        <v>4624.6982009093299</v>
      </c>
      <c r="C1311">
        <v>20.100271919663101</v>
      </c>
      <c r="D1311" t="s">
        <v>32</v>
      </c>
      <c r="E1311">
        <v>35</v>
      </c>
      <c r="R1311" t="s">
        <v>23</v>
      </c>
      <c r="Y1311" t="s">
        <v>545</v>
      </c>
    </row>
    <row r="1312" spans="1:25">
      <c r="A1312" t="s">
        <v>693</v>
      </c>
      <c r="B1312">
        <v>4627.8838337650004</v>
      </c>
      <c r="C1312">
        <v>20</v>
      </c>
      <c r="D1312" t="s">
        <v>788</v>
      </c>
      <c r="E1312">
        <v>14</v>
      </c>
      <c r="H1312" t="s">
        <v>617</v>
      </c>
      <c r="M1312" t="s">
        <v>659</v>
      </c>
      <c r="Y1312" t="s">
        <v>545</v>
      </c>
    </row>
    <row r="1313" spans="1:25">
      <c r="A1313" t="s">
        <v>693</v>
      </c>
      <c r="B1313">
        <v>4628.5984809293304</v>
      </c>
      <c r="C1313">
        <v>20</v>
      </c>
      <c r="D1313" t="s">
        <v>33</v>
      </c>
      <c r="E1313">
        <v>24</v>
      </c>
      <c r="Y1313" t="s">
        <v>545</v>
      </c>
    </row>
    <row r="1314" spans="1:25">
      <c r="A1314" t="s">
        <v>693</v>
      </c>
      <c r="B1314">
        <v>4644.7984728289903</v>
      </c>
      <c r="C1314">
        <v>15.4000836573341</v>
      </c>
      <c r="D1314" t="s">
        <v>10</v>
      </c>
      <c r="E1314">
        <v>87</v>
      </c>
      <c r="Y1314" t="s">
        <v>545</v>
      </c>
    </row>
    <row r="1315" spans="1:25">
      <c r="A1315" t="s">
        <v>693</v>
      </c>
      <c r="B1315">
        <v>4652.5037357499996</v>
      </c>
      <c r="C1315">
        <v>20</v>
      </c>
      <c r="D1315" t="s">
        <v>642</v>
      </c>
      <c r="E1315">
        <v>20</v>
      </c>
      <c r="I1315" t="s">
        <v>439</v>
      </c>
      <c r="K1315" t="s">
        <v>48</v>
      </c>
      <c r="M1315" t="s">
        <v>618</v>
      </c>
      <c r="Y1315" t="s">
        <v>545</v>
      </c>
    </row>
    <row r="1316" spans="1:25">
      <c r="A1316" t="s">
        <v>693</v>
      </c>
      <c r="B1316">
        <v>4653.1985564863298</v>
      </c>
      <c r="C1316">
        <v>17</v>
      </c>
      <c r="D1316" t="s">
        <v>11</v>
      </c>
      <c r="E1316">
        <v>43</v>
      </c>
      <c r="T1316" t="s">
        <v>16</v>
      </c>
      <c r="Y1316" t="s">
        <v>545</v>
      </c>
    </row>
    <row r="1317" spans="1:25">
      <c r="A1317" t="s">
        <v>693</v>
      </c>
      <c r="B1317">
        <v>4657.1985564863298</v>
      </c>
      <c r="C1317">
        <v>9.2990448663358602</v>
      </c>
      <c r="D1317" t="s">
        <v>9</v>
      </c>
      <c r="E1317">
        <v>117</v>
      </c>
      <c r="Y1317" t="s">
        <v>545</v>
      </c>
    </row>
    <row r="1318" spans="1:25">
      <c r="A1318" t="s">
        <v>693</v>
      </c>
      <c r="B1318">
        <v>4658.298993331</v>
      </c>
      <c r="C1318">
        <v>20</v>
      </c>
      <c r="D1318" t="s">
        <v>788</v>
      </c>
      <c r="E1318">
        <v>15</v>
      </c>
      <c r="M1318" t="s">
        <v>631</v>
      </c>
      <c r="Y1318" t="s">
        <v>545</v>
      </c>
    </row>
    <row r="1319" spans="1:25">
      <c r="A1319" t="s">
        <v>693</v>
      </c>
      <c r="B1319">
        <v>4659.4976013526602</v>
      </c>
      <c r="C1319">
        <v>17</v>
      </c>
      <c r="D1319" t="s">
        <v>27</v>
      </c>
      <c r="E1319">
        <v>65</v>
      </c>
      <c r="U1319" t="s">
        <v>195</v>
      </c>
      <c r="Y1319" t="s">
        <v>545</v>
      </c>
    </row>
    <row r="1320" spans="1:25">
      <c r="A1320" t="s">
        <v>693</v>
      </c>
      <c r="B1320">
        <v>4660.1985564863298</v>
      </c>
      <c r="C1320">
        <v>20.2989973753401</v>
      </c>
      <c r="D1320" t="s">
        <v>19</v>
      </c>
      <c r="E1320">
        <v>88</v>
      </c>
      <c r="Y1320" t="s">
        <v>545</v>
      </c>
    </row>
    <row r="1321" spans="1:25">
      <c r="A1321" t="s">
        <v>693</v>
      </c>
      <c r="B1321">
        <v>4662.9976951086601</v>
      </c>
      <c r="C1321">
        <v>17</v>
      </c>
      <c r="D1321" t="s">
        <v>40</v>
      </c>
      <c r="E1321">
        <v>67</v>
      </c>
      <c r="U1321" t="s">
        <v>195</v>
      </c>
      <c r="Y1321" t="s">
        <v>545</v>
      </c>
    </row>
    <row r="1322" spans="1:25">
      <c r="A1322" t="s">
        <v>693</v>
      </c>
      <c r="B1322">
        <v>4663.4976013526602</v>
      </c>
      <c r="C1322">
        <v>6.5000937559943797</v>
      </c>
      <c r="D1322" t="s">
        <v>18</v>
      </c>
      <c r="E1322">
        <v>104</v>
      </c>
      <c r="Y1322" t="s">
        <v>545</v>
      </c>
    </row>
    <row r="1323" spans="1:25">
      <c r="A1323" t="s">
        <v>693</v>
      </c>
      <c r="B1323">
        <v>4666.9976951086601</v>
      </c>
      <c r="C1323">
        <v>9.7957543720021896</v>
      </c>
      <c r="D1323" t="s">
        <v>9</v>
      </c>
      <c r="E1323">
        <v>118</v>
      </c>
      <c r="Y1323" t="s">
        <v>545</v>
      </c>
    </row>
    <row r="1324" spans="1:25">
      <c r="A1324" t="s">
        <v>693</v>
      </c>
      <c r="B1324">
        <v>4667.2956942089804</v>
      </c>
      <c r="C1324">
        <v>20</v>
      </c>
      <c r="D1324" t="s">
        <v>638</v>
      </c>
      <c r="E1324">
        <v>77</v>
      </c>
      <c r="G1324" t="s">
        <v>449</v>
      </c>
      <c r="Y1324" t="s">
        <v>545</v>
      </c>
    </row>
    <row r="1325" spans="1:25">
      <c r="A1325" t="s">
        <v>693</v>
      </c>
      <c r="B1325">
        <v>4669.8482263630003</v>
      </c>
      <c r="C1325">
        <v>15</v>
      </c>
      <c r="D1325" t="s">
        <v>328</v>
      </c>
      <c r="E1325">
        <v>5</v>
      </c>
      <c r="Y1325" t="s">
        <v>545</v>
      </c>
    </row>
    <row r="1326" spans="1:25">
      <c r="A1326" t="s">
        <v>693</v>
      </c>
      <c r="B1326">
        <v>4673.7934494806595</v>
      </c>
      <c r="C1326">
        <v>6.7041043810077099</v>
      </c>
      <c r="D1326" t="s">
        <v>18</v>
      </c>
      <c r="E1326">
        <v>105</v>
      </c>
      <c r="Y1326" t="s">
        <v>545</v>
      </c>
    </row>
    <row r="1327" spans="1:25">
      <c r="A1327" t="s">
        <v>693</v>
      </c>
      <c r="B1327">
        <v>4680.49755386167</v>
      </c>
      <c r="C1327">
        <v>22.1003605876612</v>
      </c>
      <c r="D1327" t="s">
        <v>10</v>
      </c>
      <c r="E1327">
        <v>88</v>
      </c>
      <c r="Y1327" t="s">
        <v>545</v>
      </c>
    </row>
    <row r="1328" spans="1:25">
      <c r="A1328" t="s">
        <v>693</v>
      </c>
      <c r="B1328">
        <v>4693.7973251196699</v>
      </c>
      <c r="C1328">
        <v>20</v>
      </c>
      <c r="D1328" t="s">
        <v>636</v>
      </c>
      <c r="E1328">
        <v>36</v>
      </c>
      <c r="I1328" t="s">
        <v>440</v>
      </c>
      <c r="M1328" t="s">
        <v>438</v>
      </c>
      <c r="Y1328" t="s">
        <v>545</v>
      </c>
    </row>
    <row r="1329" spans="1:25">
      <c r="A1329" t="s">
        <v>693</v>
      </c>
      <c r="B1329">
        <v>4695.5979144493303</v>
      </c>
      <c r="C1329">
        <v>17</v>
      </c>
      <c r="D1329" t="s">
        <v>6</v>
      </c>
      <c r="E1329">
        <v>34</v>
      </c>
      <c r="T1329" t="s">
        <v>24</v>
      </c>
      <c r="Y1329" t="s">
        <v>545</v>
      </c>
    </row>
    <row r="1330" spans="1:25">
      <c r="A1330" t="s">
        <v>693</v>
      </c>
      <c r="B1330">
        <v>4699.5979144493303</v>
      </c>
      <c r="C1330">
        <v>15.201462284001501</v>
      </c>
      <c r="D1330" t="s">
        <v>18</v>
      </c>
      <c r="E1330">
        <v>106</v>
      </c>
      <c r="Y1330" t="s">
        <v>545</v>
      </c>
    </row>
    <row r="1331" spans="1:25">
      <c r="A1331" t="s">
        <v>693</v>
      </c>
      <c r="B1331">
        <v>4700.4966636649797</v>
      </c>
      <c r="C1331">
        <v>20</v>
      </c>
      <c r="D1331" t="s">
        <v>638</v>
      </c>
      <c r="E1331">
        <v>78</v>
      </c>
      <c r="I1331" t="s">
        <v>455</v>
      </c>
      <c r="M1331" t="s">
        <v>605</v>
      </c>
      <c r="Y1331" t="s">
        <v>545</v>
      </c>
    </row>
    <row r="1332" spans="1:25">
      <c r="A1332" t="s">
        <v>693</v>
      </c>
      <c r="B1332">
        <v>4702.5979144493303</v>
      </c>
      <c r="C1332">
        <v>19.500609863993301</v>
      </c>
      <c r="D1332" t="s">
        <v>19</v>
      </c>
      <c r="E1332">
        <v>89</v>
      </c>
      <c r="Y1332" t="s">
        <v>545</v>
      </c>
    </row>
    <row r="1333" spans="1:25">
      <c r="A1333" t="s">
        <v>693</v>
      </c>
      <c r="B1333">
        <v>4703.1969356723303</v>
      </c>
      <c r="C1333">
        <v>20</v>
      </c>
      <c r="D1333" t="s">
        <v>687</v>
      </c>
      <c r="E1333">
        <v>39</v>
      </c>
      <c r="K1333" t="s">
        <v>444</v>
      </c>
      <c r="M1333" t="s">
        <v>613</v>
      </c>
      <c r="Y1333" t="s">
        <v>545</v>
      </c>
    </row>
    <row r="1334" spans="1:25">
      <c r="A1334" t="s">
        <v>693</v>
      </c>
      <c r="B1334">
        <v>4703.8990695359898</v>
      </c>
      <c r="C1334">
        <v>10.9003071973411</v>
      </c>
      <c r="D1334" t="s">
        <v>32</v>
      </c>
      <c r="E1334">
        <v>36</v>
      </c>
      <c r="R1334" t="s">
        <v>23</v>
      </c>
      <c r="Y1334" t="s">
        <v>545</v>
      </c>
    </row>
    <row r="1335" spans="1:25">
      <c r="A1335" t="s">
        <v>693</v>
      </c>
      <c r="B1335">
        <v>4707.7993767333301</v>
      </c>
      <c r="C1335">
        <v>17</v>
      </c>
      <c r="D1335" t="s">
        <v>40</v>
      </c>
      <c r="E1335">
        <v>68</v>
      </c>
      <c r="U1335" t="s">
        <v>195</v>
      </c>
      <c r="Y1335" t="s">
        <v>545</v>
      </c>
    </row>
    <row r="1336" spans="1:25">
      <c r="A1336" t="s">
        <v>693</v>
      </c>
      <c r="B1336">
        <v>4711.5971046776604</v>
      </c>
      <c r="C1336">
        <v>15</v>
      </c>
      <c r="D1336" t="s">
        <v>328</v>
      </c>
      <c r="E1336">
        <v>6</v>
      </c>
      <c r="Y1336" t="s">
        <v>545</v>
      </c>
    </row>
    <row r="1337" spans="1:25">
      <c r="A1337" t="s">
        <v>693</v>
      </c>
      <c r="B1337">
        <v>4711.7993767333301</v>
      </c>
      <c r="C1337">
        <v>10.2991475799917</v>
      </c>
      <c r="D1337" t="s">
        <v>9</v>
      </c>
      <c r="E1337">
        <v>119</v>
      </c>
      <c r="Y1337" t="s">
        <v>545</v>
      </c>
    </row>
    <row r="1338" spans="1:25">
      <c r="A1338" t="s">
        <v>693</v>
      </c>
      <c r="B1338">
        <v>4721.5970168972999</v>
      </c>
      <c r="C1338">
        <v>20</v>
      </c>
      <c r="D1338" t="s">
        <v>777</v>
      </c>
      <c r="E1338">
        <v>50</v>
      </c>
      <c r="I1338" t="s">
        <v>440</v>
      </c>
      <c r="M1338" t="s">
        <v>438</v>
      </c>
      <c r="Y1338" t="s">
        <v>545</v>
      </c>
    </row>
    <row r="1339" spans="1:25">
      <c r="A1339" t="s">
        <v>693</v>
      </c>
      <c r="B1339">
        <v>4722.09852431332</v>
      </c>
      <c r="C1339">
        <v>9.09679709400279</v>
      </c>
      <c r="D1339" t="s">
        <v>10</v>
      </c>
      <c r="E1339">
        <v>89</v>
      </c>
      <c r="Y1339" t="s">
        <v>545</v>
      </c>
    </row>
    <row r="1340" spans="1:25">
      <c r="A1340" t="s">
        <v>693</v>
      </c>
      <c r="B1340">
        <v>4723.8969854016696</v>
      </c>
      <c r="C1340">
        <v>20</v>
      </c>
      <c r="D1340" t="s">
        <v>642</v>
      </c>
      <c r="E1340">
        <v>21</v>
      </c>
      <c r="I1340" t="s">
        <v>442</v>
      </c>
      <c r="M1340" t="s">
        <v>604</v>
      </c>
      <c r="Y1340" t="s">
        <v>545</v>
      </c>
    </row>
    <row r="1341" spans="1:25">
      <c r="A1341" t="s">
        <v>693</v>
      </c>
      <c r="B1341">
        <v>4724.1953214073201</v>
      </c>
      <c r="C1341">
        <v>17</v>
      </c>
      <c r="D1341" t="s">
        <v>6</v>
      </c>
      <c r="E1341">
        <v>35</v>
      </c>
      <c r="T1341" t="s">
        <v>24</v>
      </c>
      <c r="Y1341" t="s">
        <v>545</v>
      </c>
    </row>
    <row r="1342" spans="1:25">
      <c r="A1342" t="s">
        <v>693</v>
      </c>
      <c r="B1342">
        <v>4727.2950234136497</v>
      </c>
      <c r="C1342">
        <v>20</v>
      </c>
      <c r="D1342" t="s">
        <v>638</v>
      </c>
      <c r="E1342">
        <v>79</v>
      </c>
      <c r="I1342" t="s">
        <v>439</v>
      </c>
      <c r="M1342" t="s">
        <v>604</v>
      </c>
      <c r="Y1342" t="s">
        <v>545</v>
      </c>
    </row>
    <row r="1343" spans="1:25">
      <c r="A1343" t="s">
        <v>693</v>
      </c>
      <c r="B1343">
        <v>4728.1953214073201</v>
      </c>
      <c r="C1343">
        <v>25.981565374671799</v>
      </c>
      <c r="D1343" t="s">
        <v>18</v>
      </c>
      <c r="E1343">
        <v>107</v>
      </c>
      <c r="Y1343" t="s">
        <v>545</v>
      </c>
    </row>
    <row r="1344" spans="1:25">
      <c r="A1344" t="s">
        <v>693</v>
      </c>
      <c r="B1344">
        <v>4729.89924485966</v>
      </c>
      <c r="C1344">
        <v>24.329533776908601</v>
      </c>
      <c r="D1344" t="s">
        <v>121</v>
      </c>
      <c r="E1344">
        <v>43</v>
      </c>
      <c r="P1344" t="s">
        <v>29</v>
      </c>
      <c r="R1344" t="s">
        <v>20</v>
      </c>
      <c r="Y1344" t="s">
        <v>545</v>
      </c>
    </row>
    <row r="1345" spans="1:25">
      <c r="A1345" t="s">
        <v>693</v>
      </c>
      <c r="B1345">
        <v>4731.1953214073201</v>
      </c>
      <c r="C1345">
        <v>46.652177771671603</v>
      </c>
      <c r="D1345" t="s">
        <v>19</v>
      </c>
      <c r="E1345">
        <v>90</v>
      </c>
      <c r="Y1345" t="s">
        <v>545</v>
      </c>
    </row>
    <row r="1346" spans="1:25">
      <c r="A1346" t="s">
        <v>693</v>
      </c>
      <c r="B1346">
        <v>4732.7956673756398</v>
      </c>
      <c r="C1346">
        <v>20</v>
      </c>
      <c r="D1346" t="s">
        <v>687</v>
      </c>
      <c r="E1346">
        <v>40</v>
      </c>
      <c r="H1346" t="s">
        <v>445</v>
      </c>
      <c r="I1346" t="s">
        <v>440</v>
      </c>
      <c r="M1346" t="s">
        <v>604</v>
      </c>
      <c r="Y1346" t="s">
        <v>545</v>
      </c>
    </row>
    <row r="1347" spans="1:25">
      <c r="A1347" t="s">
        <v>693</v>
      </c>
      <c r="B1347">
        <v>4737.2961269653197</v>
      </c>
      <c r="C1347">
        <v>20</v>
      </c>
      <c r="D1347" t="s">
        <v>642</v>
      </c>
      <c r="E1347">
        <v>22</v>
      </c>
      <c r="I1347" t="s">
        <v>439</v>
      </c>
      <c r="M1347" t="s">
        <v>604</v>
      </c>
      <c r="Y1347" t="s">
        <v>545</v>
      </c>
    </row>
    <row r="1348" spans="1:25">
      <c r="A1348" t="s">
        <v>693</v>
      </c>
      <c r="B1348">
        <v>4740.7478689230002</v>
      </c>
      <c r="C1348">
        <v>20</v>
      </c>
      <c r="D1348" t="s">
        <v>783</v>
      </c>
      <c r="E1348">
        <v>14</v>
      </c>
      <c r="H1348" t="s">
        <v>450</v>
      </c>
      <c r="M1348" t="s">
        <v>631</v>
      </c>
      <c r="Y1348" t="s">
        <v>545</v>
      </c>
    </row>
    <row r="1349" spans="1:25">
      <c r="A1349" t="s">
        <v>693</v>
      </c>
      <c r="B1349">
        <v>4744.2975542963304</v>
      </c>
      <c r="C1349">
        <v>9.8793324856651399</v>
      </c>
      <c r="D1349" t="s">
        <v>32</v>
      </c>
      <c r="E1349">
        <v>37</v>
      </c>
      <c r="R1349" t="s">
        <v>23</v>
      </c>
      <c r="Y1349" t="s">
        <v>545</v>
      </c>
    </row>
    <row r="1350" spans="1:25">
      <c r="A1350" t="s">
        <v>693</v>
      </c>
      <c r="B1350">
        <v>4747.1768867820001</v>
      </c>
      <c r="C1350">
        <v>17</v>
      </c>
      <c r="D1350" t="s">
        <v>40</v>
      </c>
      <c r="E1350">
        <v>69</v>
      </c>
      <c r="U1350" t="s">
        <v>195</v>
      </c>
      <c r="Y1350" t="s">
        <v>545</v>
      </c>
    </row>
    <row r="1351" spans="1:25">
      <c r="A1351" t="s">
        <v>693</v>
      </c>
      <c r="B1351">
        <v>4749.7958621676598</v>
      </c>
      <c r="C1351">
        <v>20</v>
      </c>
      <c r="D1351" t="s">
        <v>636</v>
      </c>
      <c r="E1351">
        <v>37</v>
      </c>
      <c r="J1351" t="s">
        <v>629</v>
      </c>
      <c r="Y1351" t="s">
        <v>545</v>
      </c>
    </row>
    <row r="1352" spans="1:25">
      <c r="A1352" t="s">
        <v>693</v>
      </c>
      <c r="B1352">
        <v>4751.1768867820001</v>
      </c>
      <c r="C1352">
        <v>10.5201097986664</v>
      </c>
      <c r="D1352" t="s">
        <v>9</v>
      </c>
      <c r="E1352">
        <v>120</v>
      </c>
      <c r="Y1352" t="s">
        <v>545</v>
      </c>
    </row>
    <row r="1353" spans="1:25">
      <c r="A1353" t="s">
        <v>693</v>
      </c>
      <c r="B1353">
        <v>4753.1953174186601</v>
      </c>
      <c r="C1353">
        <v>20</v>
      </c>
      <c r="D1353" t="s">
        <v>637</v>
      </c>
      <c r="E1353">
        <v>55</v>
      </c>
      <c r="I1353" t="s">
        <v>439</v>
      </c>
      <c r="M1353" t="s">
        <v>438</v>
      </c>
      <c r="Y1353" t="s">
        <v>545</v>
      </c>
    </row>
    <row r="1354" spans="1:25">
      <c r="A1354" t="s">
        <v>693</v>
      </c>
      <c r="B1354">
        <v>4754.360484416</v>
      </c>
      <c r="C1354">
        <v>20</v>
      </c>
      <c r="D1354" t="s">
        <v>636</v>
      </c>
      <c r="E1354">
        <v>38</v>
      </c>
      <c r="H1354" t="s">
        <v>445</v>
      </c>
      <c r="I1354" t="s">
        <v>442</v>
      </c>
      <c r="M1354" t="s">
        <v>604</v>
      </c>
      <c r="Y1354" t="s">
        <v>545</v>
      </c>
    </row>
    <row r="1355" spans="1:25">
      <c r="A1355" t="s">
        <v>693</v>
      </c>
      <c r="B1355">
        <v>4754.6969965806602</v>
      </c>
      <c r="C1355">
        <v>17</v>
      </c>
      <c r="D1355" t="s">
        <v>27</v>
      </c>
      <c r="E1355">
        <v>66</v>
      </c>
      <c r="U1355" t="s">
        <v>28</v>
      </c>
      <c r="Y1355" t="s">
        <v>545</v>
      </c>
    </row>
    <row r="1356" spans="1:25">
      <c r="A1356" t="s">
        <v>693</v>
      </c>
      <c r="B1356">
        <v>4757.9954095616404</v>
      </c>
      <c r="C1356">
        <v>20</v>
      </c>
      <c r="D1356" t="s">
        <v>637</v>
      </c>
      <c r="E1356">
        <v>56</v>
      </c>
      <c r="I1356" t="s">
        <v>439</v>
      </c>
      <c r="M1356" t="s">
        <v>604</v>
      </c>
      <c r="Y1356" t="s">
        <v>545</v>
      </c>
    </row>
    <row r="1357" spans="1:25">
      <c r="A1357" t="s">
        <v>693</v>
      </c>
      <c r="B1357">
        <v>4758.6969965806602</v>
      </c>
      <c r="C1357">
        <v>19.150502598333301</v>
      </c>
      <c r="D1357" t="s">
        <v>18</v>
      </c>
      <c r="E1357">
        <v>108</v>
      </c>
      <c r="Y1357" t="s">
        <v>545</v>
      </c>
    </row>
    <row r="1358" spans="1:25">
      <c r="A1358" t="s">
        <v>693</v>
      </c>
      <c r="B1358">
        <v>4759.3980497379898</v>
      </c>
      <c r="C1358">
        <v>18.449449441004599</v>
      </c>
      <c r="D1358" t="s">
        <v>32</v>
      </c>
      <c r="E1358">
        <v>38</v>
      </c>
      <c r="R1358" t="s">
        <v>20</v>
      </c>
      <c r="Y1358" t="s">
        <v>545</v>
      </c>
    </row>
    <row r="1359" spans="1:25">
      <c r="A1359" t="s">
        <v>693</v>
      </c>
      <c r="B1359">
        <v>4761.0568052119997</v>
      </c>
      <c r="C1359">
        <v>20</v>
      </c>
      <c r="D1359" t="s">
        <v>788</v>
      </c>
      <c r="E1359">
        <v>16</v>
      </c>
      <c r="H1359" t="s">
        <v>789</v>
      </c>
      <c r="I1359" t="s">
        <v>53</v>
      </c>
      <c r="M1359" t="s">
        <v>790</v>
      </c>
      <c r="Y1359" t="s">
        <v>545</v>
      </c>
    </row>
    <row r="1360" spans="1:25">
      <c r="A1360" t="s">
        <v>693</v>
      </c>
      <c r="B1360">
        <v>4762.09250757466</v>
      </c>
      <c r="C1360">
        <v>20</v>
      </c>
      <c r="D1360" t="s">
        <v>33</v>
      </c>
      <c r="E1360">
        <v>25</v>
      </c>
      <c r="Y1360" t="s">
        <v>545</v>
      </c>
    </row>
    <row r="1361" spans="1:25">
      <c r="A1361" t="s">
        <v>693</v>
      </c>
      <c r="B1361">
        <v>4764.6313315360003</v>
      </c>
      <c r="C1361">
        <v>20</v>
      </c>
      <c r="D1361" t="s">
        <v>135</v>
      </c>
      <c r="E1361">
        <v>11</v>
      </c>
      <c r="Y1361" t="s">
        <v>545</v>
      </c>
    </row>
    <row r="1362" spans="1:25">
      <c r="A1362" t="s">
        <v>693</v>
      </c>
      <c r="B1362">
        <v>4766.2985958713298</v>
      </c>
      <c r="C1362">
        <v>20</v>
      </c>
      <c r="D1362" t="s">
        <v>34</v>
      </c>
      <c r="E1362">
        <v>9</v>
      </c>
      <c r="R1362" t="s">
        <v>23</v>
      </c>
      <c r="Y1362" t="s">
        <v>545</v>
      </c>
    </row>
    <row r="1363" spans="1:25">
      <c r="A1363" t="s">
        <v>693</v>
      </c>
      <c r="B1363">
        <v>4777.8474991789999</v>
      </c>
      <c r="C1363">
        <v>27.123660570999998</v>
      </c>
      <c r="D1363" t="s">
        <v>10</v>
      </c>
      <c r="E1363">
        <v>90</v>
      </c>
      <c r="Y1363" t="s">
        <v>545</v>
      </c>
    </row>
    <row r="1364" spans="1:25">
      <c r="A1364" t="s">
        <v>693</v>
      </c>
      <c r="B1364">
        <v>4794.3983155419901</v>
      </c>
      <c r="C1364">
        <v>20</v>
      </c>
      <c r="D1364" t="s">
        <v>36</v>
      </c>
      <c r="E1364">
        <v>11</v>
      </c>
      <c r="N1364">
        <v>95</v>
      </c>
      <c r="O1364">
        <v>55</v>
      </c>
      <c r="Q1364" t="s">
        <v>708</v>
      </c>
      <c r="Y1364" t="s">
        <v>545</v>
      </c>
    </row>
    <row r="1365" spans="1:25">
      <c r="A1365" t="s">
        <v>693</v>
      </c>
      <c r="B1365">
        <v>4795.2950126666701</v>
      </c>
      <c r="C1365">
        <v>20</v>
      </c>
      <c r="D1365" t="s">
        <v>774</v>
      </c>
      <c r="E1365">
        <v>29</v>
      </c>
      <c r="I1365" t="s">
        <v>446</v>
      </c>
      <c r="Y1365" t="s">
        <v>545</v>
      </c>
    </row>
    <row r="1366" spans="1:25">
      <c r="A1366" t="s">
        <v>693</v>
      </c>
      <c r="B1366">
        <v>4797.97115975</v>
      </c>
      <c r="C1366">
        <v>17</v>
      </c>
      <c r="D1366" t="s">
        <v>6</v>
      </c>
      <c r="E1366">
        <v>36</v>
      </c>
      <c r="T1366" t="s">
        <v>22</v>
      </c>
      <c r="Y1366" t="s">
        <v>545</v>
      </c>
    </row>
    <row r="1367" spans="1:25">
      <c r="A1367" t="s">
        <v>693</v>
      </c>
      <c r="B1367">
        <v>4799.3983155419901</v>
      </c>
      <c r="C1367">
        <v>15</v>
      </c>
      <c r="D1367" t="s">
        <v>35</v>
      </c>
      <c r="E1367">
        <v>11</v>
      </c>
      <c r="Y1367" t="s">
        <v>545</v>
      </c>
    </row>
    <row r="1368" spans="1:25">
      <c r="A1368" t="s">
        <v>693</v>
      </c>
      <c r="B1368">
        <v>4800.5751333340004</v>
      </c>
      <c r="C1368">
        <v>20</v>
      </c>
      <c r="D1368" t="s">
        <v>687</v>
      </c>
      <c r="E1368">
        <v>41</v>
      </c>
      <c r="K1368" t="s">
        <v>48</v>
      </c>
      <c r="L1368" t="s">
        <v>51</v>
      </c>
      <c r="M1368" t="s">
        <v>615</v>
      </c>
      <c r="Y1368" t="s">
        <v>545</v>
      </c>
    </row>
    <row r="1369" spans="1:25">
      <c r="A1369" t="s">
        <v>693</v>
      </c>
      <c r="B1369">
        <v>4801.97115975</v>
      </c>
      <c r="C1369">
        <v>8.7285306046687694</v>
      </c>
      <c r="D1369" t="s">
        <v>18</v>
      </c>
      <c r="E1369">
        <v>109</v>
      </c>
      <c r="Y1369" t="s">
        <v>545</v>
      </c>
    </row>
    <row r="1370" spans="1:25">
      <c r="A1370" t="s">
        <v>693</v>
      </c>
      <c r="B1370">
        <v>4803.6996903546597</v>
      </c>
      <c r="C1370">
        <v>17</v>
      </c>
      <c r="D1370" t="s">
        <v>40</v>
      </c>
      <c r="E1370">
        <v>70</v>
      </c>
      <c r="U1370" t="s">
        <v>191</v>
      </c>
      <c r="Y1370" t="s">
        <v>545</v>
      </c>
    </row>
    <row r="1371" spans="1:25">
      <c r="A1371" t="s">
        <v>693</v>
      </c>
      <c r="B1371">
        <v>4804.97115975</v>
      </c>
      <c r="C1371">
        <v>22.626540152997201</v>
      </c>
      <c r="D1371" t="s">
        <v>19</v>
      </c>
      <c r="E1371">
        <v>91</v>
      </c>
      <c r="Y1371" t="s">
        <v>545</v>
      </c>
    </row>
    <row r="1372" spans="1:25">
      <c r="A1372" t="s">
        <v>693</v>
      </c>
      <c r="B1372">
        <v>4807.6996903546597</v>
      </c>
      <c r="C1372">
        <v>19.8980095483284</v>
      </c>
      <c r="D1372" t="s">
        <v>9</v>
      </c>
      <c r="E1372">
        <v>121</v>
      </c>
      <c r="Y1372" t="s">
        <v>545</v>
      </c>
    </row>
    <row r="1373" spans="1:25">
      <c r="A1373" t="s">
        <v>693</v>
      </c>
      <c r="B1373">
        <v>4811.5986385319902</v>
      </c>
      <c r="C1373">
        <v>20</v>
      </c>
      <c r="D1373" t="s">
        <v>41</v>
      </c>
      <c r="E1373">
        <v>20</v>
      </c>
      <c r="Y1373" t="s">
        <v>545</v>
      </c>
    </row>
    <row r="1374" spans="1:25">
      <c r="A1374" t="s">
        <v>693</v>
      </c>
      <c r="B1374">
        <v>4814.4962656269799</v>
      </c>
      <c r="C1374">
        <v>20</v>
      </c>
      <c r="D1374" t="s">
        <v>777</v>
      </c>
      <c r="E1374">
        <v>51</v>
      </c>
      <c r="J1374" t="s">
        <v>335</v>
      </c>
      <c r="M1374" t="s">
        <v>623</v>
      </c>
      <c r="Y1374" t="s">
        <v>545</v>
      </c>
    </row>
    <row r="1375" spans="1:25">
      <c r="A1375" t="s">
        <v>693</v>
      </c>
      <c r="B1375">
        <v>4827.5976999029899</v>
      </c>
      <c r="C1375">
        <v>9.1672422990031901</v>
      </c>
      <c r="D1375" t="s">
        <v>10</v>
      </c>
      <c r="E1375">
        <v>91</v>
      </c>
      <c r="Y1375" t="s">
        <v>545</v>
      </c>
    </row>
    <row r="1376" spans="1:25">
      <c r="A1376" t="s">
        <v>693</v>
      </c>
      <c r="B1376">
        <v>4829.7649422020004</v>
      </c>
      <c r="C1376">
        <v>17</v>
      </c>
      <c r="D1376" t="s">
        <v>11</v>
      </c>
      <c r="E1376">
        <v>44</v>
      </c>
      <c r="T1376" t="s">
        <v>12</v>
      </c>
      <c r="U1376" t="s">
        <v>28</v>
      </c>
      <c r="Y1376" t="s">
        <v>545</v>
      </c>
    </row>
    <row r="1377" spans="1:25">
      <c r="A1377" t="s">
        <v>693</v>
      </c>
      <c r="B1377">
        <v>4833.7649422020004</v>
      </c>
      <c r="C1377">
        <v>23.564265513999999</v>
      </c>
      <c r="D1377" t="s">
        <v>9</v>
      </c>
      <c r="E1377">
        <v>122</v>
      </c>
      <c r="Y1377" t="s">
        <v>545</v>
      </c>
    </row>
    <row r="1378" spans="1:25">
      <c r="A1378" t="s">
        <v>693</v>
      </c>
      <c r="B1378">
        <v>4834.3973283999703</v>
      </c>
      <c r="C1378">
        <v>20</v>
      </c>
      <c r="D1378" t="s">
        <v>788</v>
      </c>
      <c r="E1378">
        <v>17</v>
      </c>
      <c r="K1378" t="s">
        <v>441</v>
      </c>
      <c r="M1378" t="s">
        <v>613</v>
      </c>
      <c r="Y1378" t="s">
        <v>545</v>
      </c>
    </row>
    <row r="1379" spans="1:25">
      <c r="A1379" t="s">
        <v>693</v>
      </c>
      <c r="B1379">
        <v>4836.7649422020004</v>
      </c>
      <c r="C1379">
        <v>33.7324850136674</v>
      </c>
      <c r="D1379" t="s">
        <v>19</v>
      </c>
      <c r="E1379">
        <v>92</v>
      </c>
      <c r="Y1379" t="s">
        <v>545</v>
      </c>
    </row>
    <row r="1380" spans="1:25">
      <c r="A1380" t="s">
        <v>693</v>
      </c>
      <c r="B1380">
        <v>4841.99551529166</v>
      </c>
      <c r="C1380">
        <v>20</v>
      </c>
      <c r="D1380" t="s">
        <v>777</v>
      </c>
      <c r="E1380">
        <v>52</v>
      </c>
      <c r="K1380" t="s">
        <v>441</v>
      </c>
      <c r="M1380" t="s">
        <v>613</v>
      </c>
      <c r="Y1380" t="s">
        <v>545</v>
      </c>
    </row>
    <row r="1381" spans="1:25">
      <c r="A1381" t="s">
        <v>693</v>
      </c>
      <c r="B1381">
        <v>4846.3239361679998</v>
      </c>
      <c r="C1381">
        <v>20</v>
      </c>
      <c r="D1381" t="s">
        <v>636</v>
      </c>
      <c r="E1381">
        <v>39</v>
      </c>
      <c r="H1381" t="s">
        <v>5</v>
      </c>
      <c r="I1381" t="s">
        <v>439</v>
      </c>
      <c r="J1381" t="s">
        <v>676</v>
      </c>
      <c r="M1381" t="s">
        <v>752</v>
      </c>
      <c r="Y1381" t="s">
        <v>545</v>
      </c>
    </row>
    <row r="1382" spans="1:25">
      <c r="A1382" t="s">
        <v>693</v>
      </c>
      <c r="B1382">
        <v>4850.3292077160004</v>
      </c>
      <c r="C1382">
        <v>17</v>
      </c>
      <c r="D1382" t="s">
        <v>27</v>
      </c>
      <c r="E1382">
        <v>67</v>
      </c>
      <c r="U1382" t="s">
        <v>28</v>
      </c>
      <c r="Y1382" t="s">
        <v>545</v>
      </c>
    </row>
    <row r="1383" spans="1:25">
      <c r="A1383" t="s">
        <v>693</v>
      </c>
      <c r="B1383">
        <v>4853.4371515009998</v>
      </c>
      <c r="C1383">
        <v>20</v>
      </c>
      <c r="D1383" t="s">
        <v>791</v>
      </c>
      <c r="E1383">
        <v>13</v>
      </c>
      <c r="H1383" t="s">
        <v>5</v>
      </c>
      <c r="I1383" t="s">
        <v>542</v>
      </c>
      <c r="M1383" t="s">
        <v>611</v>
      </c>
      <c r="Y1383" t="s">
        <v>545</v>
      </c>
    </row>
    <row r="1384" spans="1:25">
      <c r="A1384" t="s">
        <v>693</v>
      </c>
      <c r="B1384">
        <v>4854.3292077160004</v>
      </c>
      <c r="C1384">
        <v>16.168219499667401</v>
      </c>
      <c r="D1384" t="s">
        <v>18</v>
      </c>
      <c r="E1384">
        <v>110</v>
      </c>
      <c r="Y1384" t="s">
        <v>545</v>
      </c>
    </row>
    <row r="1385" spans="1:25">
      <c r="A1385" t="s">
        <v>693</v>
      </c>
      <c r="B1385">
        <v>4856.69816396632</v>
      </c>
      <c r="C1385">
        <v>13.799263249339599</v>
      </c>
      <c r="D1385" t="s">
        <v>32</v>
      </c>
      <c r="E1385">
        <v>39</v>
      </c>
      <c r="R1385" t="s">
        <v>23</v>
      </c>
      <c r="Y1385" t="s">
        <v>545</v>
      </c>
    </row>
    <row r="1386" spans="1:25">
      <c r="A1386" t="s">
        <v>693</v>
      </c>
      <c r="B1386">
        <v>4863.59818417733</v>
      </c>
      <c r="C1386">
        <v>15</v>
      </c>
      <c r="D1386" t="s">
        <v>603</v>
      </c>
      <c r="E1386">
        <v>2</v>
      </c>
      <c r="Y1386" t="s">
        <v>545</v>
      </c>
    </row>
    <row r="1387" spans="1:25">
      <c r="A1387" t="s">
        <v>693</v>
      </c>
      <c r="B1387">
        <v>4870.4974272156596</v>
      </c>
      <c r="C1387">
        <v>32.449003535331897</v>
      </c>
      <c r="D1387" t="s">
        <v>10</v>
      </c>
      <c r="E1387">
        <v>92</v>
      </c>
      <c r="Y1387" t="s">
        <v>545</v>
      </c>
    </row>
    <row r="1388" spans="1:25">
      <c r="A1388" t="s">
        <v>693</v>
      </c>
      <c r="B1388">
        <v>4895.9464307509998</v>
      </c>
      <c r="C1388">
        <v>17</v>
      </c>
      <c r="D1388" t="s">
        <v>11</v>
      </c>
      <c r="E1388">
        <v>45</v>
      </c>
      <c r="T1388" t="s">
        <v>13</v>
      </c>
      <c r="Y1388" t="s">
        <v>545</v>
      </c>
    </row>
    <row r="1389" spans="1:25">
      <c r="A1389" t="s">
        <v>693</v>
      </c>
      <c r="B1389">
        <v>4897.9924142186601</v>
      </c>
      <c r="C1389">
        <v>20</v>
      </c>
      <c r="D1389" t="s">
        <v>41</v>
      </c>
      <c r="E1389">
        <v>21</v>
      </c>
      <c r="Y1389" t="s">
        <v>545</v>
      </c>
    </row>
    <row r="1390" spans="1:25">
      <c r="A1390" t="s">
        <v>693</v>
      </c>
      <c r="B1390">
        <v>4899.9464307509998</v>
      </c>
      <c r="C1390">
        <v>13.551995949660499</v>
      </c>
      <c r="D1390" t="s">
        <v>9</v>
      </c>
      <c r="E1390">
        <v>123</v>
      </c>
      <c r="Y1390" t="s">
        <v>545</v>
      </c>
    </row>
    <row r="1391" spans="1:25">
      <c r="A1391" t="s">
        <v>693</v>
      </c>
      <c r="B1391">
        <v>4902.1974025259697</v>
      </c>
      <c r="C1391">
        <v>20</v>
      </c>
      <c r="D1391" t="s">
        <v>777</v>
      </c>
      <c r="E1391">
        <v>53</v>
      </c>
      <c r="K1391" t="s">
        <v>432</v>
      </c>
      <c r="M1391" t="s">
        <v>615</v>
      </c>
      <c r="Y1391" t="s">
        <v>545</v>
      </c>
    </row>
    <row r="1392" spans="1:25">
      <c r="A1392" t="s">
        <v>693</v>
      </c>
      <c r="B1392">
        <v>4902.9464307509998</v>
      </c>
      <c r="C1392">
        <v>10.551995949660499</v>
      </c>
      <c r="D1392" t="s">
        <v>19</v>
      </c>
      <c r="E1392">
        <v>93</v>
      </c>
      <c r="Y1392" t="s">
        <v>545</v>
      </c>
    </row>
    <row r="1393" spans="1:25">
      <c r="A1393" t="s">
        <v>693</v>
      </c>
      <c r="B1393">
        <v>4913.4984267006603</v>
      </c>
      <c r="C1393">
        <v>20.5997060646677</v>
      </c>
      <c r="D1393" t="s">
        <v>10</v>
      </c>
      <c r="E1393">
        <v>93</v>
      </c>
      <c r="Y1393" t="s">
        <v>545</v>
      </c>
    </row>
    <row r="1394" spans="1:25">
      <c r="A1394" t="s">
        <v>693</v>
      </c>
      <c r="B1394">
        <v>4922.4969011349904</v>
      </c>
      <c r="C1394">
        <v>20</v>
      </c>
      <c r="D1394" t="s">
        <v>45</v>
      </c>
      <c r="E1394">
        <v>21</v>
      </c>
      <c r="N1394">
        <v>94</v>
      </c>
      <c r="O1394">
        <v>49</v>
      </c>
      <c r="Q1394" t="s">
        <v>726</v>
      </c>
      <c r="Y1394" t="s">
        <v>545</v>
      </c>
    </row>
    <row r="1395" spans="1:25">
      <c r="A1395" t="s">
        <v>693</v>
      </c>
      <c r="B1395">
        <v>4927.0981327653199</v>
      </c>
      <c r="C1395">
        <v>17</v>
      </c>
      <c r="D1395" t="s">
        <v>11</v>
      </c>
      <c r="E1395">
        <v>46</v>
      </c>
      <c r="T1395" t="s">
        <v>15</v>
      </c>
      <c r="Y1395" t="s">
        <v>545</v>
      </c>
    </row>
    <row r="1396" spans="1:25">
      <c r="A1396" t="s">
        <v>693</v>
      </c>
      <c r="B1396">
        <v>4927.69637520797</v>
      </c>
      <c r="C1396">
        <v>20</v>
      </c>
      <c r="D1396" t="s">
        <v>642</v>
      </c>
      <c r="E1396">
        <v>23</v>
      </c>
      <c r="K1396" t="s">
        <v>48</v>
      </c>
      <c r="M1396" t="s">
        <v>613</v>
      </c>
      <c r="Y1396" t="s">
        <v>545</v>
      </c>
    </row>
    <row r="1397" spans="1:25">
      <c r="A1397" t="s">
        <v>693</v>
      </c>
      <c r="B1397">
        <v>4931.0981327653199</v>
      </c>
      <c r="C1397">
        <v>7.4006655366674696</v>
      </c>
      <c r="D1397" t="s">
        <v>9</v>
      </c>
      <c r="E1397">
        <v>124</v>
      </c>
      <c r="Y1397" t="s">
        <v>545</v>
      </c>
    </row>
    <row r="1398" spans="1:25">
      <c r="A1398" t="s">
        <v>693</v>
      </c>
      <c r="B1398">
        <v>4934.0981327653199</v>
      </c>
      <c r="C1398">
        <v>4.4006655366674696</v>
      </c>
      <c r="D1398" t="s">
        <v>19</v>
      </c>
      <c r="E1398">
        <v>94</v>
      </c>
      <c r="Y1398" t="s">
        <v>545</v>
      </c>
    </row>
    <row r="1399" spans="1:25">
      <c r="A1399" t="s">
        <v>693</v>
      </c>
      <c r="B1399">
        <v>4938.4987983019901</v>
      </c>
      <c r="C1399">
        <v>16.6113272440043</v>
      </c>
      <c r="D1399" t="s">
        <v>10</v>
      </c>
      <c r="E1399">
        <v>94</v>
      </c>
      <c r="Y1399" t="s">
        <v>545</v>
      </c>
    </row>
    <row r="1400" spans="1:25">
      <c r="A1400" t="s">
        <v>693</v>
      </c>
      <c r="B1400">
        <v>4943.6716204169998</v>
      </c>
      <c r="C1400">
        <v>20</v>
      </c>
      <c r="D1400" t="s">
        <v>642</v>
      </c>
      <c r="E1400">
        <v>24</v>
      </c>
      <c r="I1400" t="s">
        <v>442</v>
      </c>
      <c r="M1400" t="s">
        <v>438</v>
      </c>
      <c r="Y1400" t="s">
        <v>545</v>
      </c>
    </row>
    <row r="1401" spans="1:25">
      <c r="A1401" t="s">
        <v>693</v>
      </c>
      <c r="B1401">
        <v>4946.49505408197</v>
      </c>
      <c r="C1401">
        <v>20</v>
      </c>
      <c r="D1401" t="s">
        <v>638</v>
      </c>
      <c r="E1401">
        <v>80</v>
      </c>
      <c r="I1401" t="s">
        <v>439</v>
      </c>
      <c r="M1401" t="s">
        <v>604</v>
      </c>
      <c r="Y1401" t="s">
        <v>545</v>
      </c>
    </row>
    <row r="1402" spans="1:25">
      <c r="A1402" t="s">
        <v>693</v>
      </c>
      <c r="B1402">
        <v>4948.1101255459998</v>
      </c>
      <c r="C1402">
        <v>17</v>
      </c>
      <c r="D1402" t="s">
        <v>6</v>
      </c>
      <c r="E1402">
        <v>37</v>
      </c>
      <c r="T1402" t="s">
        <v>25</v>
      </c>
      <c r="Y1402" t="s">
        <v>545</v>
      </c>
    </row>
    <row r="1403" spans="1:25">
      <c r="A1403" t="s">
        <v>693</v>
      </c>
      <c r="B1403">
        <v>4950.5891812609998</v>
      </c>
      <c r="C1403">
        <v>30.257382576953201</v>
      </c>
      <c r="D1403" t="s">
        <v>121</v>
      </c>
      <c r="E1403">
        <v>44</v>
      </c>
      <c r="P1403" t="s">
        <v>29</v>
      </c>
      <c r="R1403" t="s">
        <v>20</v>
      </c>
      <c r="Y1403" t="s">
        <v>545</v>
      </c>
    </row>
    <row r="1404" spans="1:25">
      <c r="A1404" t="s">
        <v>693</v>
      </c>
      <c r="B1404">
        <v>4951.2949441760002</v>
      </c>
      <c r="C1404">
        <v>20</v>
      </c>
      <c r="D1404" t="s">
        <v>793</v>
      </c>
      <c r="E1404">
        <v>16</v>
      </c>
      <c r="H1404" t="s">
        <v>445</v>
      </c>
      <c r="I1404" t="s">
        <v>440</v>
      </c>
      <c r="M1404" t="s">
        <v>604</v>
      </c>
      <c r="Y1404" t="s">
        <v>545</v>
      </c>
    </row>
    <row r="1405" spans="1:25">
      <c r="A1405" t="s">
        <v>693</v>
      </c>
      <c r="B1405">
        <v>4952.1101255459998</v>
      </c>
      <c r="C1405">
        <v>31.488018680661298</v>
      </c>
      <c r="D1405" t="s">
        <v>18</v>
      </c>
      <c r="E1405">
        <v>111</v>
      </c>
      <c r="Y1405" t="s">
        <v>545</v>
      </c>
    </row>
    <row r="1406" spans="1:25">
      <c r="A1406" t="s">
        <v>693</v>
      </c>
      <c r="B1406">
        <v>4954.3948920419798</v>
      </c>
      <c r="C1406">
        <v>20</v>
      </c>
      <c r="D1406" t="s">
        <v>642</v>
      </c>
      <c r="E1406">
        <v>25</v>
      </c>
      <c r="I1406" t="s">
        <v>439</v>
      </c>
      <c r="M1406" t="s">
        <v>604</v>
      </c>
      <c r="Y1406" t="s">
        <v>545</v>
      </c>
    </row>
    <row r="1407" spans="1:25">
      <c r="A1407" t="s">
        <v>693</v>
      </c>
      <c r="B1407">
        <v>4955.1101255459998</v>
      </c>
      <c r="C1407">
        <v>28.488018680661298</v>
      </c>
      <c r="D1407" t="s">
        <v>19</v>
      </c>
      <c r="E1407">
        <v>95</v>
      </c>
      <c r="Y1407" t="s">
        <v>545</v>
      </c>
    </row>
    <row r="1408" spans="1:25">
      <c r="A1408" t="s">
        <v>693</v>
      </c>
      <c r="B1408">
        <v>4955.2922685026297</v>
      </c>
      <c r="C1408">
        <v>20</v>
      </c>
      <c r="D1408" t="s">
        <v>783</v>
      </c>
      <c r="E1408">
        <v>15</v>
      </c>
      <c r="H1408" t="s">
        <v>445</v>
      </c>
      <c r="I1408" t="s">
        <v>616</v>
      </c>
      <c r="M1408" t="s">
        <v>607</v>
      </c>
      <c r="Y1408" t="s">
        <v>545</v>
      </c>
    </row>
    <row r="1409" spans="1:25">
      <c r="A1409" t="s">
        <v>693</v>
      </c>
      <c r="B1409">
        <v>4960.4963495839802</v>
      </c>
      <c r="C1409">
        <v>20</v>
      </c>
      <c r="D1409" t="s">
        <v>687</v>
      </c>
      <c r="E1409">
        <v>42</v>
      </c>
      <c r="H1409" t="s">
        <v>742</v>
      </c>
      <c r="I1409" t="s">
        <v>53</v>
      </c>
      <c r="M1409" t="s">
        <v>611</v>
      </c>
      <c r="Y1409" t="s">
        <v>545</v>
      </c>
    </row>
    <row r="1410" spans="1:25">
      <c r="A1410" t="s">
        <v>693</v>
      </c>
      <c r="B1410">
        <v>4960.4982009756604</v>
      </c>
      <c r="C1410">
        <v>20</v>
      </c>
      <c r="D1410" t="s">
        <v>33</v>
      </c>
      <c r="E1410">
        <v>26</v>
      </c>
      <c r="Y1410" t="s">
        <v>545</v>
      </c>
    </row>
    <row r="1411" spans="1:25">
      <c r="A1411" t="s">
        <v>693</v>
      </c>
      <c r="B1411">
        <v>4962.9012167970004</v>
      </c>
      <c r="C1411">
        <v>20</v>
      </c>
      <c r="D1411" t="s">
        <v>135</v>
      </c>
      <c r="E1411">
        <v>12</v>
      </c>
      <c r="Y1411" t="s">
        <v>545</v>
      </c>
    </row>
    <row r="1412" spans="1:25">
      <c r="A1412" t="s">
        <v>693</v>
      </c>
      <c r="B1412">
        <v>4963.8293920919996</v>
      </c>
      <c r="C1412">
        <v>19.839661126556098</v>
      </c>
      <c r="D1412" t="s">
        <v>32</v>
      </c>
      <c r="E1412">
        <v>40</v>
      </c>
      <c r="R1412" t="s">
        <v>20</v>
      </c>
      <c r="Y1412" t="s">
        <v>545</v>
      </c>
    </row>
    <row r="1413" spans="1:25">
      <c r="A1413" t="s">
        <v>693</v>
      </c>
      <c r="B1413">
        <v>4966.9983200773304</v>
      </c>
      <c r="C1413">
        <v>20</v>
      </c>
      <c r="D1413" t="s">
        <v>34</v>
      </c>
      <c r="E1413">
        <v>10</v>
      </c>
      <c r="R1413" t="s">
        <v>23</v>
      </c>
      <c r="Y1413" t="s">
        <v>545</v>
      </c>
    </row>
    <row r="1414" spans="1:25">
      <c r="A1414" t="s">
        <v>693</v>
      </c>
      <c r="B1414">
        <v>4983.5981442266602</v>
      </c>
      <c r="C1414">
        <v>17.6002087270071</v>
      </c>
      <c r="D1414" t="s">
        <v>10</v>
      </c>
      <c r="E1414">
        <v>95</v>
      </c>
      <c r="Y1414" t="s">
        <v>545</v>
      </c>
    </row>
    <row r="1415" spans="1:25">
      <c r="A1415" t="s">
        <v>693</v>
      </c>
      <c r="B1415">
        <v>4991.7955394169803</v>
      </c>
      <c r="C1415">
        <v>20</v>
      </c>
      <c r="D1415" t="s">
        <v>687</v>
      </c>
      <c r="E1415">
        <v>43</v>
      </c>
      <c r="I1415" t="s">
        <v>440</v>
      </c>
      <c r="M1415" t="s">
        <v>604</v>
      </c>
      <c r="Y1415" t="s">
        <v>545</v>
      </c>
    </row>
    <row r="1416" spans="1:25">
      <c r="A1416" t="s">
        <v>693</v>
      </c>
      <c r="B1416">
        <v>4994.1983529536601</v>
      </c>
      <c r="C1416">
        <v>17</v>
      </c>
      <c r="D1416" t="s">
        <v>6</v>
      </c>
      <c r="E1416">
        <v>38</v>
      </c>
      <c r="T1416" t="s">
        <v>21</v>
      </c>
      <c r="U1416" t="s">
        <v>14</v>
      </c>
      <c r="Y1416" t="s">
        <v>545</v>
      </c>
    </row>
    <row r="1417" spans="1:25">
      <c r="A1417" t="s">
        <v>693</v>
      </c>
      <c r="B1417">
        <v>4995.5911882086602</v>
      </c>
      <c r="C1417">
        <v>20</v>
      </c>
      <c r="D1417" t="s">
        <v>793</v>
      </c>
      <c r="E1417">
        <v>17</v>
      </c>
      <c r="I1417" t="s">
        <v>440</v>
      </c>
      <c r="M1417" t="s">
        <v>661</v>
      </c>
      <c r="Y1417" t="s">
        <v>545</v>
      </c>
    </row>
    <row r="1418" spans="1:25">
      <c r="A1418" t="s">
        <v>693</v>
      </c>
      <c r="B1418">
        <v>4997.6969401256401</v>
      </c>
      <c r="C1418">
        <v>20</v>
      </c>
      <c r="D1418" t="s">
        <v>642</v>
      </c>
      <c r="E1418">
        <v>26</v>
      </c>
      <c r="H1418" t="s">
        <v>621</v>
      </c>
      <c r="I1418" t="s">
        <v>440</v>
      </c>
      <c r="M1418" t="s">
        <v>604</v>
      </c>
      <c r="Y1418" t="s">
        <v>545</v>
      </c>
    </row>
    <row r="1419" spans="1:25">
      <c r="A1419" t="s">
        <v>693</v>
      </c>
      <c r="B1419">
        <v>4998.1983529536601</v>
      </c>
      <c r="C1419">
        <v>22.9996191539949</v>
      </c>
      <c r="D1419" t="s">
        <v>18</v>
      </c>
      <c r="E1419">
        <v>112</v>
      </c>
      <c r="Y1419" t="s">
        <v>545</v>
      </c>
    </row>
    <row r="1420" spans="1:25">
      <c r="A1420" t="s">
        <v>693</v>
      </c>
      <c r="B1420">
        <v>5001.0962977919999</v>
      </c>
      <c r="C1420">
        <v>20</v>
      </c>
      <c r="D1420" t="s">
        <v>636</v>
      </c>
      <c r="E1420">
        <v>40</v>
      </c>
      <c r="I1420" t="s">
        <v>442</v>
      </c>
      <c r="M1420" t="s">
        <v>604</v>
      </c>
      <c r="Y1420" t="s">
        <v>545</v>
      </c>
    </row>
    <row r="1421" spans="1:25">
      <c r="A1421" t="s">
        <v>693</v>
      </c>
      <c r="B1421">
        <v>5001.1983529536601</v>
      </c>
      <c r="C1421">
        <v>19.9996191539949</v>
      </c>
      <c r="D1421" t="s">
        <v>19</v>
      </c>
      <c r="E1421">
        <v>96</v>
      </c>
      <c r="Y1421" t="s">
        <v>545</v>
      </c>
    </row>
    <row r="1422" spans="1:25">
      <c r="A1422" t="s">
        <v>693</v>
      </c>
      <c r="B1422">
        <v>5003.7950872506499</v>
      </c>
      <c r="C1422">
        <v>20</v>
      </c>
      <c r="D1422" t="s">
        <v>637</v>
      </c>
      <c r="E1422">
        <v>57</v>
      </c>
      <c r="I1422" t="s">
        <v>439</v>
      </c>
      <c r="M1422" t="s">
        <v>604</v>
      </c>
      <c r="Y1422" t="s">
        <v>545</v>
      </c>
    </row>
    <row r="1423" spans="1:25">
      <c r="A1423" t="s">
        <v>693</v>
      </c>
      <c r="B1423">
        <v>5004.2984359796601</v>
      </c>
      <c r="C1423">
        <v>16.899536127995798</v>
      </c>
      <c r="D1423" t="s">
        <v>32</v>
      </c>
      <c r="E1423">
        <v>41</v>
      </c>
      <c r="R1423" t="s">
        <v>23</v>
      </c>
      <c r="Y1423" t="s">
        <v>545</v>
      </c>
    </row>
    <row r="1424" spans="1:25">
      <c r="A1424" t="s">
        <v>693</v>
      </c>
      <c r="B1424">
        <v>5006.8809085419998</v>
      </c>
      <c r="C1424">
        <v>20</v>
      </c>
      <c r="D1424" t="s">
        <v>788</v>
      </c>
      <c r="E1424">
        <v>18</v>
      </c>
      <c r="H1424" t="s">
        <v>621</v>
      </c>
      <c r="I1424" t="s">
        <v>542</v>
      </c>
      <c r="M1424" t="s">
        <v>605</v>
      </c>
      <c r="Y1424" t="s">
        <v>545</v>
      </c>
    </row>
    <row r="1425" spans="1:25">
      <c r="A1425" t="s">
        <v>693</v>
      </c>
      <c r="B1425">
        <v>5007.0976548659901</v>
      </c>
      <c r="C1425">
        <v>20</v>
      </c>
      <c r="D1425" t="s">
        <v>33</v>
      </c>
      <c r="E1425">
        <v>27</v>
      </c>
      <c r="Y1425" t="s">
        <v>545</v>
      </c>
    </row>
    <row r="1426" spans="1:25">
      <c r="A1426" t="s">
        <v>693</v>
      </c>
      <c r="B1426">
        <v>5021.1979721076596</v>
      </c>
      <c r="C1426">
        <v>15.0002265673347</v>
      </c>
      <c r="D1426" t="s">
        <v>10</v>
      </c>
      <c r="E1426">
        <v>96</v>
      </c>
      <c r="Y1426" t="s">
        <v>545</v>
      </c>
    </row>
    <row r="1427" spans="1:25">
      <c r="A1427" t="s">
        <v>693</v>
      </c>
      <c r="B1427">
        <v>5029.1981986749897</v>
      </c>
      <c r="C1427">
        <v>17</v>
      </c>
      <c r="D1427" t="s">
        <v>11</v>
      </c>
      <c r="E1427">
        <v>47</v>
      </c>
      <c r="T1427" t="s">
        <v>16</v>
      </c>
      <c r="Y1427" t="s">
        <v>545</v>
      </c>
    </row>
    <row r="1428" spans="1:25">
      <c r="A1428" t="s">
        <v>693</v>
      </c>
      <c r="B1428">
        <v>5033.1981986749897</v>
      </c>
      <c r="C1428">
        <v>20.200264571332799</v>
      </c>
      <c r="D1428" t="s">
        <v>9</v>
      </c>
      <c r="E1428">
        <v>125</v>
      </c>
      <c r="Y1428" t="s">
        <v>545</v>
      </c>
    </row>
    <row r="1429" spans="1:25">
      <c r="A1429" t="s">
        <v>693</v>
      </c>
      <c r="B1429">
        <v>5033.5911102479904</v>
      </c>
      <c r="C1429">
        <v>20</v>
      </c>
      <c r="D1429" t="s">
        <v>636</v>
      </c>
      <c r="E1429">
        <v>41</v>
      </c>
      <c r="J1429" t="s">
        <v>753</v>
      </c>
      <c r="Y1429" t="s">
        <v>545</v>
      </c>
    </row>
    <row r="1430" spans="1:25">
      <c r="A1430" t="s">
        <v>693</v>
      </c>
      <c r="B1430">
        <v>5036.1981986749897</v>
      </c>
      <c r="C1430">
        <v>17.200264571332799</v>
      </c>
      <c r="D1430" t="s">
        <v>19</v>
      </c>
      <c r="E1430">
        <v>97</v>
      </c>
      <c r="Y1430" t="s">
        <v>545</v>
      </c>
    </row>
    <row r="1431" spans="1:25">
      <c r="A1431" t="s">
        <v>693</v>
      </c>
      <c r="B1431">
        <v>5036.5976127703198</v>
      </c>
      <c r="C1431">
        <v>20</v>
      </c>
      <c r="D1431" t="s">
        <v>45</v>
      </c>
      <c r="E1431">
        <v>22</v>
      </c>
      <c r="N1431">
        <v>91</v>
      </c>
      <c r="O1431">
        <v>43</v>
      </c>
      <c r="Q1431" t="s">
        <v>727</v>
      </c>
      <c r="Y1431" t="s">
        <v>545</v>
      </c>
    </row>
    <row r="1432" spans="1:25">
      <c r="A1432" t="s">
        <v>693</v>
      </c>
      <c r="B1432">
        <v>5037.2984613973304</v>
      </c>
      <c r="C1432">
        <v>20</v>
      </c>
      <c r="D1432" t="s">
        <v>41</v>
      </c>
      <c r="E1432">
        <v>22</v>
      </c>
      <c r="Y1432" t="s">
        <v>545</v>
      </c>
    </row>
    <row r="1433" spans="1:25">
      <c r="A1433" t="s">
        <v>693</v>
      </c>
      <c r="B1433">
        <v>5038.3984632463298</v>
      </c>
      <c r="C1433">
        <v>20</v>
      </c>
      <c r="D1433" t="s">
        <v>45</v>
      </c>
      <c r="E1433">
        <v>23</v>
      </c>
      <c r="N1433">
        <v>94</v>
      </c>
      <c r="O1433">
        <v>60</v>
      </c>
      <c r="Q1433" t="s">
        <v>728</v>
      </c>
      <c r="Y1433" t="s">
        <v>545</v>
      </c>
    </row>
    <row r="1434" spans="1:25">
      <c r="A1434" t="s">
        <v>693</v>
      </c>
      <c r="B1434">
        <v>5038.3984632463298</v>
      </c>
      <c r="C1434">
        <v>20</v>
      </c>
      <c r="D1434" t="s">
        <v>192</v>
      </c>
      <c r="E1434">
        <v>4</v>
      </c>
      <c r="Y1434" t="s">
        <v>545</v>
      </c>
    </row>
    <row r="1435" spans="1:25">
      <c r="A1435" t="s">
        <v>693</v>
      </c>
      <c r="B1435">
        <v>5039.4960992549704</v>
      </c>
      <c r="C1435">
        <v>20</v>
      </c>
      <c r="D1435" t="s">
        <v>638</v>
      </c>
      <c r="E1435">
        <v>81</v>
      </c>
      <c r="G1435" t="s">
        <v>769</v>
      </c>
      <c r="Y1435" t="s">
        <v>545</v>
      </c>
    </row>
    <row r="1436" spans="1:25">
      <c r="A1436" t="s">
        <v>693</v>
      </c>
      <c r="B1436">
        <v>5042.3080040630002</v>
      </c>
      <c r="C1436">
        <v>20</v>
      </c>
      <c r="D1436" t="s">
        <v>136</v>
      </c>
      <c r="E1436">
        <v>14</v>
      </c>
      <c r="Y1436" t="s">
        <v>545</v>
      </c>
    </row>
    <row r="1437" spans="1:25">
      <c r="A1437" t="s">
        <v>693</v>
      </c>
      <c r="B1437">
        <v>5044.5959579049904</v>
      </c>
      <c r="C1437">
        <v>20</v>
      </c>
      <c r="D1437" t="s">
        <v>638</v>
      </c>
      <c r="E1437">
        <v>82</v>
      </c>
      <c r="G1437" t="s">
        <v>690</v>
      </c>
      <c r="Y1437" t="s">
        <v>545</v>
      </c>
    </row>
    <row r="1438" spans="1:25">
      <c r="A1438" t="s">
        <v>693</v>
      </c>
      <c r="B1438">
        <v>5053.3984632463298</v>
      </c>
      <c r="C1438">
        <v>23.9916649416691</v>
      </c>
      <c r="D1438" t="s">
        <v>10</v>
      </c>
      <c r="E1438">
        <v>97</v>
      </c>
      <c r="Y1438" t="s">
        <v>545</v>
      </c>
    </row>
    <row r="1439" spans="1:25">
      <c r="A1439" t="s">
        <v>693</v>
      </c>
      <c r="B1439">
        <v>5068.8927501666703</v>
      </c>
      <c r="C1439">
        <v>20</v>
      </c>
      <c r="D1439" t="s">
        <v>687</v>
      </c>
      <c r="E1439">
        <v>44</v>
      </c>
      <c r="I1439" t="s">
        <v>440</v>
      </c>
      <c r="M1439" t="s">
        <v>438</v>
      </c>
      <c r="Y1439" t="s">
        <v>545</v>
      </c>
    </row>
    <row r="1440" spans="1:25">
      <c r="A1440" t="s">
        <v>693</v>
      </c>
      <c r="B1440">
        <v>5070.3980447949898</v>
      </c>
      <c r="C1440">
        <v>20</v>
      </c>
      <c r="D1440" t="s">
        <v>774</v>
      </c>
      <c r="E1440">
        <v>30</v>
      </c>
      <c r="I1440" t="s">
        <v>440</v>
      </c>
      <c r="M1440" t="s">
        <v>604</v>
      </c>
      <c r="Y1440" t="s">
        <v>545</v>
      </c>
    </row>
    <row r="1441" spans="1:25">
      <c r="A1441" t="s">
        <v>693</v>
      </c>
      <c r="B1441">
        <v>5072.4918218749799</v>
      </c>
      <c r="C1441">
        <v>20</v>
      </c>
      <c r="D1441" t="s">
        <v>642</v>
      </c>
      <c r="E1441">
        <v>27</v>
      </c>
      <c r="H1441" t="s">
        <v>5</v>
      </c>
      <c r="I1441" t="s">
        <v>439</v>
      </c>
      <c r="M1441" t="s">
        <v>611</v>
      </c>
      <c r="Y1441" t="s">
        <v>545</v>
      </c>
    </row>
    <row r="1442" spans="1:25">
      <c r="A1442" t="s">
        <v>693</v>
      </c>
      <c r="B1442">
        <v>5074.3901281879998</v>
      </c>
      <c r="C1442">
        <v>14.608087459001499</v>
      </c>
      <c r="D1442" t="s">
        <v>18</v>
      </c>
      <c r="E1442">
        <v>113</v>
      </c>
      <c r="Y1442" t="s">
        <v>545</v>
      </c>
    </row>
    <row r="1443" spans="1:25">
      <c r="A1443" t="s">
        <v>693</v>
      </c>
      <c r="B1443">
        <v>5077.3901281879998</v>
      </c>
      <c r="C1443">
        <v>1</v>
      </c>
      <c r="D1443" t="s">
        <v>26</v>
      </c>
      <c r="E1443">
        <v>5</v>
      </c>
      <c r="Y1443" t="s">
        <v>545</v>
      </c>
    </row>
    <row r="1444" spans="1:25">
      <c r="A1444" t="s">
        <v>693</v>
      </c>
      <c r="B1444">
        <v>5077.3901281879998</v>
      </c>
      <c r="C1444">
        <v>31.3070474026662</v>
      </c>
      <c r="D1444" t="s">
        <v>19</v>
      </c>
      <c r="E1444">
        <v>98</v>
      </c>
      <c r="Y1444" t="s">
        <v>545</v>
      </c>
    </row>
    <row r="1445" spans="1:25">
      <c r="A1445" t="s">
        <v>693</v>
      </c>
      <c r="B1445">
        <v>5081.9982156469996</v>
      </c>
      <c r="C1445">
        <v>17</v>
      </c>
      <c r="D1445" t="s">
        <v>40</v>
      </c>
      <c r="E1445">
        <v>71</v>
      </c>
      <c r="U1445" t="s">
        <v>195</v>
      </c>
      <c r="Y1445" t="s">
        <v>545</v>
      </c>
    </row>
    <row r="1446" spans="1:25">
      <c r="A1446" t="s">
        <v>693</v>
      </c>
      <c r="B1446">
        <v>5084.6986314149999</v>
      </c>
      <c r="C1446">
        <v>20</v>
      </c>
      <c r="D1446" t="s">
        <v>41</v>
      </c>
      <c r="E1446">
        <v>23</v>
      </c>
      <c r="Y1446" t="s">
        <v>545</v>
      </c>
    </row>
    <row r="1447" spans="1:25">
      <c r="A1447" t="s">
        <v>693</v>
      </c>
      <c r="B1447">
        <v>5085.9982156469996</v>
      </c>
      <c r="C1447">
        <v>22.6989599436647</v>
      </c>
      <c r="D1447" t="s">
        <v>9</v>
      </c>
      <c r="E1447">
        <v>126</v>
      </c>
      <c r="Y1447" t="s">
        <v>545</v>
      </c>
    </row>
    <row r="1448" spans="1:25">
      <c r="A1448" t="s">
        <v>693</v>
      </c>
      <c r="B1448">
        <v>5088.4947329689903</v>
      </c>
      <c r="C1448">
        <v>20</v>
      </c>
      <c r="D1448" t="s">
        <v>46</v>
      </c>
      <c r="E1448">
        <v>11</v>
      </c>
      <c r="R1448" t="s">
        <v>20</v>
      </c>
      <c r="Y1448" t="s">
        <v>545</v>
      </c>
    </row>
    <row r="1449" spans="1:25">
      <c r="A1449" t="s">
        <v>693</v>
      </c>
      <c r="B1449">
        <v>5090.3981059766602</v>
      </c>
      <c r="C1449">
        <v>20</v>
      </c>
      <c r="D1449" t="s">
        <v>136</v>
      </c>
      <c r="E1449">
        <v>15</v>
      </c>
      <c r="Y1449" t="s">
        <v>545</v>
      </c>
    </row>
    <row r="1450" spans="1:25">
      <c r="A1450" t="s">
        <v>693</v>
      </c>
      <c r="B1450">
        <v>5092.39843318366</v>
      </c>
      <c r="C1450">
        <v>20</v>
      </c>
      <c r="D1450" t="s">
        <v>45</v>
      </c>
      <c r="E1450">
        <v>24</v>
      </c>
      <c r="N1450">
        <v>96</v>
      </c>
      <c r="O1450">
        <v>51</v>
      </c>
      <c r="Q1450" t="s">
        <v>729</v>
      </c>
      <c r="Y1450" t="s">
        <v>545</v>
      </c>
    </row>
    <row r="1451" spans="1:25">
      <c r="A1451" t="s">
        <v>693</v>
      </c>
      <c r="B1451">
        <v>5094.8019986290001</v>
      </c>
      <c r="C1451">
        <v>20</v>
      </c>
      <c r="D1451" t="s">
        <v>788</v>
      </c>
      <c r="E1451">
        <v>19</v>
      </c>
      <c r="K1451" t="s">
        <v>432</v>
      </c>
      <c r="M1451" t="s">
        <v>613</v>
      </c>
      <c r="Y1451" t="s">
        <v>545</v>
      </c>
    </row>
    <row r="1452" spans="1:25">
      <c r="A1452" t="s">
        <v>693</v>
      </c>
      <c r="B1452">
        <v>5094.9972016259999</v>
      </c>
      <c r="C1452">
        <v>20</v>
      </c>
      <c r="D1452" t="s">
        <v>642</v>
      </c>
      <c r="E1452">
        <v>28</v>
      </c>
      <c r="J1452" t="s">
        <v>753</v>
      </c>
      <c r="Y1452" t="s">
        <v>545</v>
      </c>
    </row>
    <row r="1453" spans="1:25">
      <c r="A1453" t="s">
        <v>693</v>
      </c>
      <c r="B1453">
        <v>5095.5980111056597</v>
      </c>
      <c r="C1453">
        <v>20</v>
      </c>
      <c r="D1453" t="s">
        <v>136</v>
      </c>
      <c r="E1453">
        <v>16</v>
      </c>
      <c r="Y1453" t="s">
        <v>545</v>
      </c>
    </row>
    <row r="1454" spans="1:25">
      <c r="A1454" t="s">
        <v>693</v>
      </c>
      <c r="B1454">
        <v>5096.8966086246401</v>
      </c>
      <c r="C1454">
        <v>20</v>
      </c>
      <c r="D1454" t="s">
        <v>638</v>
      </c>
      <c r="E1454">
        <v>83</v>
      </c>
      <c r="G1454" t="s">
        <v>448</v>
      </c>
      <c r="Y1454" t="s">
        <v>545</v>
      </c>
    </row>
    <row r="1455" spans="1:25">
      <c r="A1455" t="s">
        <v>693</v>
      </c>
      <c r="B1455">
        <v>5096.8979532776602</v>
      </c>
      <c r="C1455">
        <v>20</v>
      </c>
      <c r="D1455" t="s">
        <v>46</v>
      </c>
      <c r="E1455">
        <v>12</v>
      </c>
      <c r="R1455" t="s">
        <v>20</v>
      </c>
      <c r="Y1455" t="s">
        <v>545</v>
      </c>
    </row>
    <row r="1456" spans="1:25">
      <c r="A1456" t="s">
        <v>693</v>
      </c>
      <c r="B1456">
        <v>5108.6971755906598</v>
      </c>
      <c r="C1456">
        <v>21.7019520923313</v>
      </c>
      <c r="D1456" t="s">
        <v>10</v>
      </c>
      <c r="E1456">
        <v>98</v>
      </c>
      <c r="Y1456" t="s">
        <v>545</v>
      </c>
    </row>
    <row r="1457" spans="1:25">
      <c r="A1457" t="s">
        <v>693</v>
      </c>
      <c r="B1457">
        <v>5120.526325023</v>
      </c>
      <c r="C1457">
        <v>20</v>
      </c>
      <c r="D1457" t="s">
        <v>642</v>
      </c>
      <c r="E1457">
        <v>29</v>
      </c>
      <c r="I1457" t="s">
        <v>440</v>
      </c>
      <c r="M1457" t="s">
        <v>438</v>
      </c>
      <c r="Y1457" t="s">
        <v>545</v>
      </c>
    </row>
    <row r="1458" spans="1:25">
      <c r="A1458" t="s">
        <v>693</v>
      </c>
      <c r="B1458">
        <v>5121.9923667553103</v>
      </c>
      <c r="C1458">
        <v>20</v>
      </c>
      <c r="D1458" t="s">
        <v>638</v>
      </c>
      <c r="E1458">
        <v>84</v>
      </c>
      <c r="I1458" t="s">
        <v>447</v>
      </c>
      <c r="M1458" t="s">
        <v>605</v>
      </c>
      <c r="Y1458" t="s">
        <v>545</v>
      </c>
    </row>
    <row r="1459" spans="1:25">
      <c r="A1459" t="s">
        <v>693</v>
      </c>
      <c r="B1459">
        <v>5123.3991276829902</v>
      </c>
      <c r="C1459">
        <v>17</v>
      </c>
      <c r="D1459" t="s">
        <v>6</v>
      </c>
      <c r="E1459">
        <v>39</v>
      </c>
      <c r="T1459" t="s">
        <v>25</v>
      </c>
      <c r="Y1459" t="s">
        <v>545</v>
      </c>
    </row>
    <row r="1460" spans="1:25">
      <c r="A1460" t="s">
        <v>693</v>
      </c>
      <c r="B1460">
        <v>5126.2930281279896</v>
      </c>
      <c r="C1460">
        <v>15.801487597331199</v>
      </c>
      <c r="D1460" t="s">
        <v>121</v>
      </c>
      <c r="E1460">
        <v>45</v>
      </c>
      <c r="P1460" t="s">
        <v>698</v>
      </c>
      <c r="R1460" t="s">
        <v>23</v>
      </c>
      <c r="Y1460" t="s">
        <v>545</v>
      </c>
    </row>
    <row r="1461" spans="1:25">
      <c r="A1461" t="s">
        <v>693</v>
      </c>
      <c r="B1461">
        <v>5127.3991276829902</v>
      </c>
      <c r="C1461">
        <v>25.7997173720013</v>
      </c>
      <c r="D1461" t="s">
        <v>18</v>
      </c>
      <c r="E1461">
        <v>114</v>
      </c>
      <c r="Y1461" t="s">
        <v>545</v>
      </c>
    </row>
    <row r="1462" spans="1:25">
      <c r="A1462" t="s">
        <v>693</v>
      </c>
      <c r="B1462">
        <v>5129.7406133309996</v>
      </c>
      <c r="C1462">
        <v>20</v>
      </c>
      <c r="D1462" t="s">
        <v>791</v>
      </c>
      <c r="E1462">
        <v>14</v>
      </c>
      <c r="H1462" t="s">
        <v>336</v>
      </c>
      <c r="M1462" t="s">
        <v>672</v>
      </c>
      <c r="Y1462" t="s">
        <v>545</v>
      </c>
    </row>
    <row r="1463" spans="1:25">
      <c r="A1463" t="s">
        <v>693</v>
      </c>
      <c r="B1463">
        <v>5130.3991276829902</v>
      </c>
      <c r="C1463">
        <v>86.999216568999103</v>
      </c>
      <c r="D1463" t="s">
        <v>19</v>
      </c>
      <c r="E1463">
        <v>99</v>
      </c>
      <c r="Y1463" t="s">
        <v>545</v>
      </c>
    </row>
    <row r="1464" spans="1:25">
      <c r="A1464" t="s">
        <v>693</v>
      </c>
      <c r="B1464">
        <v>5134.7957681953003</v>
      </c>
      <c r="C1464">
        <v>20</v>
      </c>
      <c r="D1464" t="s">
        <v>637</v>
      </c>
      <c r="E1464">
        <v>58</v>
      </c>
      <c r="I1464" t="s">
        <v>440</v>
      </c>
      <c r="M1464" t="s">
        <v>438</v>
      </c>
      <c r="Y1464" t="s">
        <v>545</v>
      </c>
    </row>
    <row r="1465" spans="1:25">
      <c r="A1465" t="s">
        <v>693</v>
      </c>
      <c r="B1465">
        <v>5137.3983262210004</v>
      </c>
      <c r="C1465">
        <v>20</v>
      </c>
      <c r="D1465" t="s">
        <v>636</v>
      </c>
      <c r="E1465">
        <v>42</v>
      </c>
      <c r="I1465" t="s">
        <v>447</v>
      </c>
      <c r="M1465" t="s">
        <v>605</v>
      </c>
      <c r="Y1465" t="s">
        <v>545</v>
      </c>
    </row>
    <row r="1466" spans="1:25">
      <c r="A1466" t="s">
        <v>693</v>
      </c>
      <c r="B1466">
        <v>5146.1988450549898</v>
      </c>
      <c r="C1466">
        <v>17</v>
      </c>
      <c r="D1466" t="s">
        <v>40</v>
      </c>
      <c r="E1466">
        <v>72</v>
      </c>
      <c r="U1466" t="s">
        <v>14</v>
      </c>
      <c r="Y1466" t="s">
        <v>545</v>
      </c>
    </row>
    <row r="1467" spans="1:25">
      <c r="A1467" t="s">
        <v>693</v>
      </c>
      <c r="B1467">
        <v>5150.1988450549898</v>
      </c>
      <c r="C1467">
        <v>14.0997352770036</v>
      </c>
      <c r="D1467" t="s">
        <v>9</v>
      </c>
      <c r="E1467">
        <v>127</v>
      </c>
      <c r="Y1467" t="s">
        <v>545</v>
      </c>
    </row>
    <row r="1468" spans="1:25">
      <c r="A1468" t="s">
        <v>693</v>
      </c>
      <c r="B1468">
        <v>5155.5922568773203</v>
      </c>
      <c r="C1468">
        <v>20</v>
      </c>
      <c r="D1468" t="s">
        <v>636</v>
      </c>
      <c r="E1468">
        <v>43</v>
      </c>
      <c r="I1468" t="s">
        <v>671</v>
      </c>
      <c r="M1468" t="s">
        <v>626</v>
      </c>
      <c r="Y1468" t="s">
        <v>545</v>
      </c>
    </row>
    <row r="1469" spans="1:25">
      <c r="A1469" t="s">
        <v>693</v>
      </c>
      <c r="B1469">
        <v>5157.2985803319998</v>
      </c>
      <c r="C1469">
        <v>17</v>
      </c>
      <c r="D1469" t="s">
        <v>27</v>
      </c>
      <c r="E1469">
        <v>68</v>
      </c>
      <c r="U1469" t="s">
        <v>28</v>
      </c>
      <c r="Y1469" t="s">
        <v>545</v>
      </c>
    </row>
    <row r="1470" spans="1:25">
      <c r="A1470" t="s">
        <v>693</v>
      </c>
      <c r="B1470">
        <v>5157.59203962634</v>
      </c>
      <c r="C1470">
        <v>20</v>
      </c>
      <c r="D1470" t="s">
        <v>638</v>
      </c>
      <c r="E1470">
        <v>85</v>
      </c>
      <c r="I1470" t="s">
        <v>442</v>
      </c>
      <c r="M1470" t="s">
        <v>604</v>
      </c>
      <c r="Y1470" t="s">
        <v>545</v>
      </c>
    </row>
    <row r="1471" spans="1:25">
      <c r="A1471" t="s">
        <v>693</v>
      </c>
      <c r="B1471">
        <v>5161.2985803319998</v>
      </c>
      <c r="C1471">
        <v>29.400045791998298</v>
      </c>
      <c r="D1471" t="s">
        <v>18</v>
      </c>
      <c r="E1471">
        <v>115</v>
      </c>
      <c r="Y1471" t="s">
        <v>545</v>
      </c>
    </row>
    <row r="1472" spans="1:25">
      <c r="A1472" t="s">
        <v>693</v>
      </c>
      <c r="B1472">
        <v>5165.3959641646597</v>
      </c>
      <c r="C1472">
        <v>20</v>
      </c>
      <c r="D1472" t="s">
        <v>636</v>
      </c>
      <c r="E1472">
        <v>44</v>
      </c>
      <c r="I1472" t="s">
        <v>439</v>
      </c>
      <c r="M1472" t="s">
        <v>604</v>
      </c>
      <c r="Y1472" t="s">
        <v>545</v>
      </c>
    </row>
    <row r="1473" spans="1:25">
      <c r="A1473" t="s">
        <v>693</v>
      </c>
      <c r="B1473">
        <v>5167.2960412556704</v>
      </c>
      <c r="C1473">
        <v>20</v>
      </c>
      <c r="D1473" t="s">
        <v>791</v>
      </c>
      <c r="E1473">
        <v>15</v>
      </c>
      <c r="H1473" t="s">
        <v>670</v>
      </c>
      <c r="I1473" t="s">
        <v>440</v>
      </c>
      <c r="M1473" t="s">
        <v>622</v>
      </c>
      <c r="Y1473" t="s">
        <v>545</v>
      </c>
    </row>
    <row r="1474" spans="1:25">
      <c r="A1474" t="s">
        <v>693</v>
      </c>
      <c r="B1474">
        <v>5167.8997228063299</v>
      </c>
      <c r="C1474">
        <v>19.799714550998001</v>
      </c>
      <c r="D1474" t="s">
        <v>121</v>
      </c>
      <c r="E1474">
        <v>46</v>
      </c>
      <c r="P1474" t="s">
        <v>30</v>
      </c>
      <c r="R1474" t="s">
        <v>23</v>
      </c>
      <c r="Y1474" t="s">
        <v>545</v>
      </c>
    </row>
    <row r="1475" spans="1:25">
      <c r="A1475" t="s">
        <v>693</v>
      </c>
      <c r="B1475">
        <v>5170.7907270813203</v>
      </c>
      <c r="C1475">
        <v>20</v>
      </c>
      <c r="D1475" t="s">
        <v>636</v>
      </c>
      <c r="E1475">
        <v>45</v>
      </c>
      <c r="I1475" t="s">
        <v>440</v>
      </c>
      <c r="M1475" t="s">
        <v>604</v>
      </c>
      <c r="Y1475" t="s">
        <v>545</v>
      </c>
    </row>
    <row r="1476" spans="1:25">
      <c r="A1476" t="s">
        <v>693</v>
      </c>
      <c r="B1476">
        <v>5174.1908529743296</v>
      </c>
      <c r="C1476">
        <v>20</v>
      </c>
      <c r="D1476" t="s">
        <v>638</v>
      </c>
      <c r="E1476">
        <v>86</v>
      </c>
      <c r="M1476" t="s">
        <v>663</v>
      </c>
      <c r="Y1476" t="s">
        <v>545</v>
      </c>
    </row>
    <row r="1477" spans="1:25">
      <c r="A1477" t="s">
        <v>693</v>
      </c>
      <c r="B1477">
        <v>5177.2742542590004</v>
      </c>
      <c r="C1477">
        <v>20</v>
      </c>
      <c r="D1477" t="s">
        <v>774</v>
      </c>
      <c r="E1477">
        <v>31</v>
      </c>
      <c r="J1477" t="s">
        <v>335</v>
      </c>
      <c r="M1477" t="s">
        <v>623</v>
      </c>
      <c r="Y1477" t="s">
        <v>545</v>
      </c>
    </row>
    <row r="1478" spans="1:25">
      <c r="A1478" t="s">
        <v>693</v>
      </c>
      <c r="B1478">
        <v>5181.2176102809999</v>
      </c>
      <c r="C1478">
        <v>20</v>
      </c>
      <c r="D1478" t="s">
        <v>637</v>
      </c>
      <c r="E1478">
        <v>59</v>
      </c>
      <c r="K1478" t="s">
        <v>762</v>
      </c>
      <c r="M1478" t="s">
        <v>613</v>
      </c>
      <c r="Y1478" t="s">
        <v>545</v>
      </c>
    </row>
    <row r="1479" spans="1:25">
      <c r="A1479" t="s">
        <v>693</v>
      </c>
      <c r="B1479">
        <v>5183.6986261239999</v>
      </c>
      <c r="C1479">
        <v>17</v>
      </c>
      <c r="D1479" t="s">
        <v>40</v>
      </c>
      <c r="E1479">
        <v>73</v>
      </c>
      <c r="U1479" t="s">
        <v>28</v>
      </c>
      <c r="Y1479" t="s">
        <v>545</v>
      </c>
    </row>
    <row r="1480" spans="1:25">
      <c r="A1480" t="s">
        <v>693</v>
      </c>
      <c r="B1480">
        <v>5183.9952913233301</v>
      </c>
      <c r="C1480">
        <v>20</v>
      </c>
      <c r="D1480" t="s">
        <v>136</v>
      </c>
      <c r="E1480">
        <v>17</v>
      </c>
      <c r="Y1480" t="s">
        <v>545</v>
      </c>
    </row>
    <row r="1481" spans="1:25">
      <c r="A1481" t="s">
        <v>693</v>
      </c>
      <c r="B1481">
        <v>5186.7954740863297</v>
      </c>
      <c r="C1481">
        <v>20</v>
      </c>
      <c r="D1481" t="s">
        <v>777</v>
      </c>
      <c r="E1481">
        <v>54</v>
      </c>
      <c r="J1481" t="s">
        <v>47</v>
      </c>
      <c r="Y1481" t="s">
        <v>545</v>
      </c>
    </row>
    <row r="1482" spans="1:25">
      <c r="A1482" t="s">
        <v>693</v>
      </c>
      <c r="B1482">
        <v>5186.79798028599</v>
      </c>
      <c r="C1482">
        <v>20</v>
      </c>
      <c r="D1482" t="s">
        <v>46</v>
      </c>
      <c r="E1482">
        <v>13</v>
      </c>
      <c r="R1482" t="s">
        <v>23</v>
      </c>
      <c r="Y1482" t="s">
        <v>545</v>
      </c>
    </row>
    <row r="1483" spans="1:25">
      <c r="A1483" t="s">
        <v>693</v>
      </c>
      <c r="B1483">
        <v>5187.6986261239999</v>
      </c>
      <c r="C1483">
        <v>29.699718127995698</v>
      </c>
      <c r="D1483" t="s">
        <v>9</v>
      </c>
      <c r="E1483">
        <v>128</v>
      </c>
      <c r="Y1483" t="s">
        <v>545</v>
      </c>
    </row>
    <row r="1484" spans="1:25">
      <c r="A1484" t="s">
        <v>693</v>
      </c>
      <c r="B1484">
        <v>5189.7967033019604</v>
      </c>
      <c r="C1484">
        <v>20</v>
      </c>
      <c r="D1484" t="s">
        <v>793</v>
      </c>
      <c r="E1484">
        <v>18</v>
      </c>
      <c r="I1484" t="s">
        <v>439</v>
      </c>
      <c r="M1484" t="s">
        <v>443</v>
      </c>
      <c r="Y1484" t="s">
        <v>545</v>
      </c>
    </row>
    <row r="1485" spans="1:25">
      <c r="A1485" t="s">
        <v>693</v>
      </c>
      <c r="B1485">
        <v>5199.9975211309902</v>
      </c>
      <c r="C1485">
        <v>20</v>
      </c>
      <c r="D1485" t="s">
        <v>46</v>
      </c>
      <c r="E1485">
        <v>14</v>
      </c>
      <c r="R1485" t="s">
        <v>20</v>
      </c>
      <c r="Y1485" t="s">
        <v>545</v>
      </c>
    </row>
    <row r="1486" spans="1:25">
      <c r="A1486" t="s">
        <v>693</v>
      </c>
      <c r="B1486">
        <v>5200.8959212116697</v>
      </c>
      <c r="C1486">
        <v>20</v>
      </c>
      <c r="D1486" t="s">
        <v>637</v>
      </c>
      <c r="E1486">
        <v>60</v>
      </c>
      <c r="J1486" t="s">
        <v>753</v>
      </c>
      <c r="Y1486" t="s">
        <v>545</v>
      </c>
    </row>
    <row r="1487" spans="1:25">
      <c r="A1487" t="s">
        <v>693</v>
      </c>
      <c r="B1487">
        <v>5203.7959784639797</v>
      </c>
      <c r="C1487">
        <v>20</v>
      </c>
      <c r="D1487" t="s">
        <v>642</v>
      </c>
      <c r="E1487">
        <v>30</v>
      </c>
      <c r="J1487" t="s">
        <v>47</v>
      </c>
      <c r="Y1487" t="s">
        <v>545</v>
      </c>
    </row>
    <row r="1488" spans="1:25">
      <c r="A1488" t="s">
        <v>693</v>
      </c>
      <c r="B1488">
        <v>5217.3983442519902</v>
      </c>
      <c r="C1488">
        <v>9.89528831600364</v>
      </c>
      <c r="D1488" t="s">
        <v>10</v>
      </c>
      <c r="E1488">
        <v>99</v>
      </c>
      <c r="Y1488" t="s">
        <v>545</v>
      </c>
    </row>
    <row r="1489" spans="1:25">
      <c r="A1489" t="s">
        <v>693</v>
      </c>
      <c r="B1489">
        <v>5220.2936325680002</v>
      </c>
      <c r="C1489">
        <v>17</v>
      </c>
      <c r="D1489" t="s">
        <v>11</v>
      </c>
      <c r="E1489">
        <v>48</v>
      </c>
      <c r="T1489" t="s">
        <v>12</v>
      </c>
      <c r="U1489" t="s">
        <v>28</v>
      </c>
      <c r="Y1489" t="s">
        <v>545</v>
      </c>
    </row>
    <row r="1490" spans="1:25">
      <c r="A1490" t="s">
        <v>693</v>
      </c>
      <c r="B1490">
        <v>5221.1912424612901</v>
      </c>
      <c r="C1490">
        <v>20</v>
      </c>
      <c r="D1490" t="s">
        <v>636</v>
      </c>
      <c r="E1490">
        <v>46</v>
      </c>
      <c r="I1490" t="s">
        <v>447</v>
      </c>
      <c r="J1490" t="s">
        <v>47</v>
      </c>
      <c r="M1490" t="s">
        <v>438</v>
      </c>
      <c r="Y1490" t="s">
        <v>545</v>
      </c>
    </row>
    <row r="1491" spans="1:25">
      <c r="A1491" t="s">
        <v>693</v>
      </c>
      <c r="B1491">
        <v>5223.1972461203204</v>
      </c>
      <c r="C1491">
        <v>17</v>
      </c>
      <c r="D1491" t="s">
        <v>27</v>
      </c>
      <c r="E1491">
        <v>69</v>
      </c>
      <c r="U1491" t="s">
        <v>190</v>
      </c>
      <c r="Y1491" t="s">
        <v>545</v>
      </c>
    </row>
    <row r="1492" spans="1:25">
      <c r="A1492" t="s">
        <v>693</v>
      </c>
      <c r="B1492">
        <v>5224.2936325680002</v>
      </c>
      <c r="C1492">
        <v>5.9036135523292597</v>
      </c>
      <c r="D1492" t="s">
        <v>9</v>
      </c>
      <c r="E1492">
        <v>129</v>
      </c>
      <c r="Y1492" t="s">
        <v>545</v>
      </c>
    </row>
    <row r="1493" spans="1:25">
      <c r="A1493" t="s">
        <v>693</v>
      </c>
      <c r="B1493">
        <v>5225.1723887560001</v>
      </c>
      <c r="C1493">
        <v>20</v>
      </c>
      <c r="D1493" t="s">
        <v>687</v>
      </c>
      <c r="E1493">
        <v>45</v>
      </c>
      <c r="H1493" t="s">
        <v>675</v>
      </c>
      <c r="I1493" t="s">
        <v>53</v>
      </c>
      <c r="M1493" t="s">
        <v>622</v>
      </c>
      <c r="Y1493" t="s">
        <v>545</v>
      </c>
    </row>
    <row r="1494" spans="1:25">
      <c r="A1494" t="s">
        <v>693</v>
      </c>
      <c r="B1494">
        <v>5227.1972461203204</v>
      </c>
      <c r="C1494">
        <v>21.001089877336199</v>
      </c>
      <c r="D1494" t="s">
        <v>18</v>
      </c>
      <c r="E1494">
        <v>116</v>
      </c>
      <c r="Y1494" t="s">
        <v>545</v>
      </c>
    </row>
    <row r="1495" spans="1:25">
      <c r="A1495" t="s">
        <v>693</v>
      </c>
      <c r="B1495">
        <v>5227.2936325680002</v>
      </c>
      <c r="C1495">
        <v>37.602652621329</v>
      </c>
      <c r="D1495" t="s">
        <v>19</v>
      </c>
      <c r="E1495">
        <v>100</v>
      </c>
      <c r="Y1495" t="s">
        <v>545</v>
      </c>
    </row>
    <row r="1496" spans="1:25">
      <c r="A1496" t="s">
        <v>693</v>
      </c>
      <c r="B1496">
        <v>5227.3978642766597</v>
      </c>
      <c r="C1496">
        <v>20</v>
      </c>
      <c r="D1496" t="s">
        <v>36</v>
      </c>
      <c r="E1496">
        <v>12</v>
      </c>
      <c r="Q1496" t="s">
        <v>709</v>
      </c>
      <c r="Y1496" t="s">
        <v>545</v>
      </c>
    </row>
    <row r="1497" spans="1:25">
      <c r="A1497" t="s">
        <v>693</v>
      </c>
      <c r="B1497">
        <v>5227.6989301109897</v>
      </c>
      <c r="C1497">
        <v>20</v>
      </c>
      <c r="D1497" t="s">
        <v>33</v>
      </c>
      <c r="E1497">
        <v>28</v>
      </c>
      <c r="Y1497" t="s">
        <v>545</v>
      </c>
    </row>
    <row r="1498" spans="1:25">
      <c r="A1498" t="s">
        <v>693</v>
      </c>
      <c r="B1498">
        <v>5229.4987139463301</v>
      </c>
      <c r="C1498">
        <v>17.5387852183839</v>
      </c>
      <c r="D1498" t="s">
        <v>32</v>
      </c>
      <c r="E1498">
        <v>42</v>
      </c>
      <c r="R1498" t="s">
        <v>20</v>
      </c>
      <c r="Y1498" t="s">
        <v>545</v>
      </c>
    </row>
    <row r="1499" spans="1:25">
      <c r="A1499" t="s">
        <v>693</v>
      </c>
      <c r="B1499">
        <v>5232.3978642766597</v>
      </c>
      <c r="C1499">
        <v>15</v>
      </c>
      <c r="D1499" t="s">
        <v>35</v>
      </c>
      <c r="E1499">
        <v>12</v>
      </c>
      <c r="Y1499" t="s">
        <v>545</v>
      </c>
    </row>
    <row r="1500" spans="1:25">
      <c r="A1500" t="s">
        <v>693</v>
      </c>
      <c r="B1500">
        <v>5233.49723453766</v>
      </c>
      <c r="C1500">
        <v>20</v>
      </c>
      <c r="D1500" t="s">
        <v>34</v>
      </c>
      <c r="E1500">
        <v>11</v>
      </c>
      <c r="R1500" t="s">
        <v>20</v>
      </c>
      <c r="Y1500" t="s">
        <v>545</v>
      </c>
    </row>
    <row r="1501" spans="1:25">
      <c r="A1501" t="s">
        <v>693</v>
      </c>
      <c r="B1501">
        <v>5236.4661801669999</v>
      </c>
      <c r="C1501">
        <v>20</v>
      </c>
      <c r="D1501" t="s">
        <v>135</v>
      </c>
      <c r="E1501">
        <v>13</v>
      </c>
      <c r="Y1501" t="s">
        <v>545</v>
      </c>
    </row>
    <row r="1502" spans="1:25">
      <c r="A1502" t="s">
        <v>693</v>
      </c>
      <c r="B1502">
        <v>5241.1983359976603</v>
      </c>
      <c r="C1502">
        <v>17</v>
      </c>
      <c r="D1502" t="s">
        <v>40</v>
      </c>
      <c r="E1502">
        <v>74</v>
      </c>
      <c r="U1502" t="s">
        <v>191</v>
      </c>
      <c r="Y1502" t="s">
        <v>545</v>
      </c>
    </row>
    <row r="1503" spans="1:25">
      <c r="A1503" t="s">
        <v>693</v>
      </c>
      <c r="B1503">
        <v>5245.1983359976603</v>
      </c>
      <c r="C1503">
        <v>19.6979491916636</v>
      </c>
      <c r="D1503" t="s">
        <v>9</v>
      </c>
      <c r="E1503">
        <v>130</v>
      </c>
      <c r="Y1503" t="s">
        <v>545</v>
      </c>
    </row>
    <row r="1504" spans="1:25">
      <c r="A1504" t="s">
        <v>693</v>
      </c>
      <c r="B1504">
        <v>5247.5979744629904</v>
      </c>
      <c r="C1504">
        <v>20</v>
      </c>
      <c r="D1504" t="s">
        <v>41</v>
      </c>
      <c r="E1504">
        <v>24</v>
      </c>
      <c r="Y1504" t="s">
        <v>545</v>
      </c>
    </row>
    <row r="1505" spans="1:25">
      <c r="A1505" t="s">
        <v>693</v>
      </c>
      <c r="B1505">
        <v>5248.5974911483299</v>
      </c>
      <c r="C1505">
        <v>20</v>
      </c>
      <c r="D1505" t="s">
        <v>45</v>
      </c>
      <c r="E1505">
        <v>25</v>
      </c>
      <c r="N1505">
        <v>87</v>
      </c>
      <c r="O1505">
        <v>28</v>
      </c>
      <c r="Q1505" t="s">
        <v>730</v>
      </c>
      <c r="Y1505" t="s">
        <v>545</v>
      </c>
    </row>
    <row r="1506" spans="1:25">
      <c r="A1506" t="s">
        <v>693</v>
      </c>
      <c r="B1506">
        <v>5251.5047646599996</v>
      </c>
      <c r="C1506">
        <v>20</v>
      </c>
      <c r="D1506" t="s">
        <v>136</v>
      </c>
      <c r="E1506">
        <v>18</v>
      </c>
      <c r="Y1506" t="s">
        <v>545</v>
      </c>
    </row>
    <row r="1507" spans="1:25">
      <c r="A1507" t="s">
        <v>693</v>
      </c>
      <c r="B1507">
        <v>5252.2949505839897</v>
      </c>
      <c r="C1507">
        <v>20</v>
      </c>
      <c r="D1507" t="s">
        <v>638</v>
      </c>
      <c r="E1507">
        <v>87</v>
      </c>
      <c r="G1507" t="s">
        <v>448</v>
      </c>
      <c r="Y1507" t="s">
        <v>545</v>
      </c>
    </row>
    <row r="1508" spans="1:25">
      <c r="A1508" t="s">
        <v>693</v>
      </c>
      <c r="B1508">
        <v>5264.8962851893202</v>
      </c>
      <c r="C1508">
        <v>26.199025160665698</v>
      </c>
      <c r="D1508" t="s">
        <v>10</v>
      </c>
      <c r="E1508">
        <v>100</v>
      </c>
      <c r="Y1508" t="s">
        <v>545</v>
      </c>
    </row>
    <row r="1509" spans="1:25">
      <c r="A1509" t="s">
        <v>693</v>
      </c>
      <c r="B1509">
        <v>5280.5978140036495</v>
      </c>
      <c r="C1509">
        <v>20</v>
      </c>
      <c r="D1509" t="s">
        <v>642</v>
      </c>
      <c r="E1509">
        <v>31</v>
      </c>
      <c r="I1509" t="s">
        <v>442</v>
      </c>
      <c r="M1509" t="s">
        <v>438</v>
      </c>
      <c r="Y1509" t="s">
        <v>545</v>
      </c>
    </row>
    <row r="1510" spans="1:25">
      <c r="A1510" t="s">
        <v>693</v>
      </c>
      <c r="B1510">
        <v>5282.4960417840102</v>
      </c>
      <c r="C1510">
        <v>20</v>
      </c>
      <c r="D1510" t="s">
        <v>638</v>
      </c>
      <c r="E1510">
        <v>88</v>
      </c>
      <c r="I1510" t="s">
        <v>447</v>
      </c>
      <c r="M1510" t="s">
        <v>604</v>
      </c>
      <c r="Y1510" t="s">
        <v>545</v>
      </c>
    </row>
    <row r="1511" spans="1:25">
      <c r="A1511" t="s">
        <v>693</v>
      </c>
      <c r="B1511">
        <v>5284.0953103499896</v>
      </c>
      <c r="C1511">
        <v>17</v>
      </c>
      <c r="D1511" t="s">
        <v>6</v>
      </c>
      <c r="E1511">
        <v>40</v>
      </c>
      <c r="T1511" t="s">
        <v>25</v>
      </c>
      <c r="Y1511" t="s">
        <v>545</v>
      </c>
    </row>
    <row r="1512" spans="1:25">
      <c r="A1512" t="s">
        <v>693</v>
      </c>
      <c r="B1512">
        <v>5286.0081850449997</v>
      </c>
      <c r="C1512">
        <v>20</v>
      </c>
      <c r="D1512" t="s">
        <v>687</v>
      </c>
      <c r="E1512">
        <v>46</v>
      </c>
      <c r="I1512" t="s">
        <v>439</v>
      </c>
      <c r="K1512" t="s">
        <v>48</v>
      </c>
      <c r="M1512" t="s">
        <v>614</v>
      </c>
      <c r="Y1512" t="s">
        <v>545</v>
      </c>
    </row>
    <row r="1513" spans="1:25">
      <c r="A1513" t="s">
        <v>693</v>
      </c>
      <c r="B1513">
        <v>5287.4579715680002</v>
      </c>
      <c r="C1513">
        <v>11.4403392823305</v>
      </c>
      <c r="D1513" t="s">
        <v>121</v>
      </c>
      <c r="E1513">
        <v>47</v>
      </c>
      <c r="P1513" t="s">
        <v>31</v>
      </c>
      <c r="R1513" t="s">
        <v>23</v>
      </c>
      <c r="Y1513" t="s">
        <v>545</v>
      </c>
    </row>
    <row r="1514" spans="1:25">
      <c r="A1514" t="s">
        <v>693</v>
      </c>
      <c r="B1514">
        <v>5288.0953103499896</v>
      </c>
      <c r="C1514">
        <v>10.8030005003356</v>
      </c>
      <c r="D1514" t="s">
        <v>18</v>
      </c>
      <c r="E1514">
        <v>117</v>
      </c>
      <c r="Y1514" t="s">
        <v>545</v>
      </c>
    </row>
    <row r="1515" spans="1:25">
      <c r="A1515" t="s">
        <v>693</v>
      </c>
      <c r="B1515">
        <v>5291.0953103499896</v>
      </c>
      <c r="C1515">
        <v>18.3906472610051</v>
      </c>
      <c r="D1515" t="s">
        <v>19</v>
      </c>
      <c r="E1515">
        <v>101</v>
      </c>
      <c r="Y1515" t="s">
        <v>545</v>
      </c>
    </row>
    <row r="1516" spans="1:25">
      <c r="A1516" t="s">
        <v>693</v>
      </c>
      <c r="B1516">
        <v>5291.8983108503298</v>
      </c>
      <c r="C1516">
        <v>17</v>
      </c>
      <c r="D1516" t="s">
        <v>40</v>
      </c>
      <c r="E1516">
        <v>75</v>
      </c>
      <c r="U1516" t="s">
        <v>14</v>
      </c>
      <c r="Y1516" t="s">
        <v>545</v>
      </c>
    </row>
    <row r="1517" spans="1:25">
      <c r="A1517" t="s">
        <v>693</v>
      </c>
      <c r="B1517">
        <v>5295.2883315016397</v>
      </c>
      <c r="C1517">
        <v>20</v>
      </c>
      <c r="D1517" t="s">
        <v>637</v>
      </c>
      <c r="E1517">
        <v>61</v>
      </c>
      <c r="J1517" t="s">
        <v>49</v>
      </c>
      <c r="Y1517" t="s">
        <v>545</v>
      </c>
    </row>
    <row r="1518" spans="1:25">
      <c r="A1518" t="s">
        <v>693</v>
      </c>
      <c r="B1518">
        <v>5295.8983108503298</v>
      </c>
      <c r="C1518">
        <v>10.599977003331301</v>
      </c>
      <c r="D1518" t="s">
        <v>9</v>
      </c>
      <c r="E1518">
        <v>131</v>
      </c>
      <c r="Y1518" t="s">
        <v>545</v>
      </c>
    </row>
    <row r="1519" spans="1:25">
      <c r="A1519" t="s">
        <v>693</v>
      </c>
      <c r="B1519">
        <v>5296.7959722109699</v>
      </c>
      <c r="C1519">
        <v>20</v>
      </c>
      <c r="D1519" t="s">
        <v>774</v>
      </c>
      <c r="E1519">
        <v>32</v>
      </c>
      <c r="I1519" t="s">
        <v>439</v>
      </c>
      <c r="M1519" t="s">
        <v>438</v>
      </c>
      <c r="Y1519" t="s">
        <v>545</v>
      </c>
    </row>
    <row r="1520" spans="1:25">
      <c r="A1520" t="s">
        <v>693</v>
      </c>
      <c r="B1520">
        <v>5299.4982878536603</v>
      </c>
      <c r="C1520">
        <v>17</v>
      </c>
      <c r="D1520" t="s">
        <v>27</v>
      </c>
      <c r="E1520">
        <v>70</v>
      </c>
      <c r="Y1520" t="s">
        <v>545</v>
      </c>
    </row>
    <row r="1521" spans="1:25">
      <c r="A1521" t="s">
        <v>693</v>
      </c>
      <c r="B1521">
        <v>5303.4982878536603</v>
      </c>
      <c r="C1521">
        <v>5.9876697573381499</v>
      </c>
      <c r="D1521" t="s">
        <v>18</v>
      </c>
      <c r="E1521">
        <v>118</v>
      </c>
      <c r="Y1521" t="s">
        <v>545</v>
      </c>
    </row>
    <row r="1522" spans="1:25">
      <c r="A1522" t="s">
        <v>693</v>
      </c>
      <c r="B1522">
        <v>5309.4859576110002</v>
      </c>
      <c r="C1522">
        <v>1.51294247699661</v>
      </c>
      <c r="D1522" t="s">
        <v>10</v>
      </c>
      <c r="E1522">
        <v>101</v>
      </c>
      <c r="Y1522" t="s">
        <v>545</v>
      </c>
    </row>
    <row r="1523" spans="1:25">
      <c r="Y1523" t="s">
        <v>545</v>
      </c>
    </row>
  </sheetData>
  <autoFilter ref="D1:D1523" xr:uid="{BCC7619A-E75B-FB45-8D38-295D2C6E3C68}"/>
  <sortState xmlns:xlrd2="http://schemas.microsoft.com/office/spreadsheetml/2017/richdata2" ref="A2:Y1522">
    <sortCondition ref="B1:B1522"/>
  </sortState>
  <phoneticPr fontId="3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Team Report</vt:lpstr>
      <vt:lpstr>Player Report</vt:lpstr>
      <vt:lpstr>Dashboard</vt:lpstr>
      <vt:lpstr>Dashboard (IND)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Jehee</dc:creator>
  <cp:lastModifiedBy>Jehee</cp:lastModifiedBy>
  <dcterms:created xsi:type="dcterms:W3CDTF">2025-08-26T10:18:47Z</dcterms:created>
  <dcterms:modified xsi:type="dcterms:W3CDTF">2026-08-05T12:56:39Z</dcterms:modified>
</cp:coreProperties>
</file>