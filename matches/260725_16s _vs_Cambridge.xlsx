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ink/ink1.xml" ContentType="application/inkml+xml"/>
  <Override PartName="/xl/ink/ink2.xml" ContentType="application/inkml+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ink/ink3.xml" ContentType="application/inkml+xml"/>
  <Override PartName="/xl/drawings/drawing2.xml" ContentType="application/vnd.openxmlformats-officedocument.drawing+xml"/>
  <Override PartName="/xl/slicers/slicer1.xml" ContentType="application/vnd.ms-excel.slicer+xml"/>
  <Override PartName="/xl/pivotTables/pivotTable1.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Users/jehee/Desktop/pufc-u16-site/matches/"/>
    </mc:Choice>
  </mc:AlternateContent>
  <xr:revisionPtr revIDLastSave="0" documentId="13_ncr:1_{F104B65F-25FB-8D45-A41F-7DFB84CE1F23}" xr6:coauthVersionLast="47" xr6:coauthVersionMax="47" xr10:uidLastSave="{00000000-0000-0000-0000-000000000000}"/>
  <bookViews>
    <workbookView xWindow="0" yWindow="780" windowWidth="34200" windowHeight="20180" activeTab="2" xr2:uid="{59581BB1-B690-0845-873A-B98CFE9A4AF1}"/>
  </bookViews>
  <sheets>
    <sheet name="Team Report" sheetId="10" r:id="rId1"/>
    <sheet name="Player Report" sheetId="13" r:id="rId2"/>
    <sheet name="Dashboard" sheetId="14" r:id="rId3"/>
    <sheet name="Dashboard (IND)" sheetId="12" r:id="rId4"/>
    <sheet name="Raw data" sheetId="1" r:id="rId5"/>
  </sheets>
  <definedNames>
    <definedName name="_xlnm._FilterDatabase" localSheetId="2" hidden="1">Dashboard!$DW$12:$IM$23</definedName>
    <definedName name="_xlnm._FilterDatabase" localSheetId="4" hidden="1">'Raw data'!$D$1:$D$1448</definedName>
    <definedName name="Slicer_Player_2">#N/A</definedName>
    <definedName name="Slicer_Position1">#N/A</definedName>
    <definedName name="Slicer_Time">#N/A</definedName>
  </definedNames>
  <calcPr calcId="191029"/>
  <pivotCaches>
    <pivotCache cacheId="16"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O3" i="14" l="1"/>
  <c r="IN3" i="14"/>
  <c r="IM3" i="14"/>
  <c r="IL3" i="14"/>
  <c r="IK3" i="14"/>
  <c r="IJ3" i="14"/>
  <c r="II3" i="14"/>
  <c r="IH3" i="14"/>
  <c r="IG3" i="14"/>
  <c r="IF3" i="14"/>
  <c r="IE3" i="14"/>
  <c r="ID3" i="14"/>
  <c r="IC3" i="14"/>
  <c r="IB3" i="14"/>
  <c r="IA3" i="14"/>
  <c r="HZ3" i="14"/>
  <c r="HW3" i="14"/>
  <c r="HV3" i="14"/>
  <c r="HU3" i="14"/>
  <c r="HR3" i="14"/>
  <c r="HQ3" i="14"/>
  <c r="HP3" i="14"/>
  <c r="HM3" i="14"/>
  <c r="HL3" i="14"/>
  <c r="HK3" i="14"/>
  <c r="HH3" i="14"/>
  <c r="HG3" i="14"/>
  <c r="HF3" i="14"/>
  <c r="HC3" i="14"/>
  <c r="HB3" i="14"/>
  <c r="HA3" i="14"/>
  <c r="GX3" i="14"/>
  <c r="GW3" i="14"/>
  <c r="GV3" i="14"/>
  <c r="GU3" i="14"/>
  <c r="GT3" i="14"/>
  <c r="GS3" i="14"/>
  <c r="GR3" i="14"/>
  <c r="GQ3" i="14"/>
  <c r="GP3" i="14"/>
  <c r="GO3" i="14"/>
  <c r="GL3" i="14"/>
  <c r="GK3" i="14"/>
  <c r="GJ3" i="14"/>
  <c r="GI3" i="14"/>
  <c r="GH3" i="14"/>
  <c r="GG3" i="14"/>
  <c r="GF3" i="14"/>
  <c r="GE3" i="14"/>
  <c r="GD3" i="14"/>
  <c r="GA3" i="14"/>
  <c r="FZ3" i="14"/>
  <c r="FY3" i="14"/>
  <c r="FV3" i="14"/>
  <c r="FU3" i="14"/>
  <c r="FT3" i="14"/>
  <c r="FS3" i="14"/>
  <c r="FR3" i="14"/>
  <c r="FQ3" i="14"/>
  <c r="FP3" i="14"/>
  <c r="FO3" i="14"/>
  <c r="FN3" i="14"/>
  <c r="FM3" i="14"/>
  <c r="FL3" i="14"/>
  <c r="FK3" i="14"/>
  <c r="FH3" i="14"/>
  <c r="FG3" i="14"/>
  <c r="FF3" i="14"/>
  <c r="FE3" i="14"/>
  <c r="FB3" i="14"/>
  <c r="FA3" i="14"/>
  <c r="EZ3" i="14"/>
  <c r="EW3" i="14"/>
  <c r="EV3" i="14"/>
  <c r="EU3" i="14"/>
  <c r="ER3" i="14"/>
  <c r="EQ3" i="14"/>
  <c r="EP3" i="14"/>
  <c r="EM3" i="14"/>
  <c r="EL3" i="14"/>
  <c r="EK3" i="14"/>
  <c r="EH3" i="14"/>
  <c r="EG3" i="14"/>
  <c r="EF3" i="14"/>
  <c r="EC3" i="14"/>
  <c r="EB3" i="14"/>
  <c r="EA3" i="14"/>
  <c r="IO2" i="14"/>
  <c r="IN2" i="14"/>
  <c r="IM2" i="14"/>
  <c r="IL2" i="14"/>
  <c r="IK2" i="14"/>
  <c r="IJ2" i="14"/>
  <c r="II2" i="14"/>
  <c r="IH2" i="14"/>
  <c r="IG2" i="14"/>
  <c r="IF2" i="14"/>
  <c r="IE2" i="14"/>
  <c r="ID2" i="14"/>
  <c r="IC2" i="14"/>
  <c r="IB2" i="14"/>
  <c r="IA2" i="14"/>
  <c r="HZ2" i="14"/>
  <c r="HW2" i="14"/>
  <c r="HV2" i="14"/>
  <c r="HU2" i="14"/>
  <c r="HR2" i="14"/>
  <c r="HQ2" i="14"/>
  <c r="HP2" i="14"/>
  <c r="HM2" i="14"/>
  <c r="HL2" i="14"/>
  <c r="HK2" i="14"/>
  <c r="HH2" i="14"/>
  <c r="HG2" i="14"/>
  <c r="HF2" i="14"/>
  <c r="HC2" i="14"/>
  <c r="HB2" i="14"/>
  <c r="HA2" i="14"/>
  <c r="GX2" i="14"/>
  <c r="GW2" i="14"/>
  <c r="GV2" i="14"/>
  <c r="GU2" i="14"/>
  <c r="GT2" i="14"/>
  <c r="GS2" i="14"/>
  <c r="GR2" i="14"/>
  <c r="GQ2" i="14"/>
  <c r="GP2" i="14"/>
  <c r="GO2" i="14"/>
  <c r="GL2" i="14"/>
  <c r="GK2" i="14"/>
  <c r="GJ2" i="14"/>
  <c r="GI2" i="14"/>
  <c r="GH2" i="14"/>
  <c r="GG2" i="14"/>
  <c r="GF2" i="14"/>
  <c r="GE2" i="14"/>
  <c r="GD2" i="14"/>
  <c r="GA2" i="14"/>
  <c r="FZ2" i="14"/>
  <c r="FY2" i="14"/>
  <c r="FV2" i="14"/>
  <c r="FU2" i="14"/>
  <c r="FT2" i="14"/>
  <c r="FS2" i="14"/>
  <c r="FR2" i="14"/>
  <c r="FQ2" i="14"/>
  <c r="FP2" i="14"/>
  <c r="FO2" i="14"/>
  <c r="FN2" i="14"/>
  <c r="FM2" i="14"/>
  <c r="FL2" i="14"/>
  <c r="FK2" i="14"/>
  <c r="FH2" i="14"/>
  <c r="FG2" i="14"/>
  <c r="FF2" i="14"/>
  <c r="FE2" i="14"/>
  <c r="FB2" i="14"/>
  <c r="FA2" i="14"/>
  <c r="EZ2" i="14"/>
  <c r="EW2" i="14"/>
  <c r="EV2" i="14"/>
  <c r="EU2" i="14"/>
  <c r="ER2" i="14"/>
  <c r="EQ2" i="14"/>
  <c r="EP2" i="14"/>
  <c r="EM2" i="14"/>
  <c r="EL2" i="14"/>
  <c r="EK2" i="14"/>
  <c r="EH2" i="14"/>
  <c r="EG2" i="14"/>
  <c r="EF2" i="14"/>
  <c r="EC2" i="14"/>
  <c r="EB2" i="14"/>
  <c r="EA2" i="14"/>
  <c r="IO48" i="14"/>
  <c r="IN48" i="14"/>
  <c r="IM48" i="14"/>
  <c r="IL48" i="14"/>
  <c r="IK48" i="14"/>
  <c r="IJ48" i="14"/>
  <c r="II48" i="14"/>
  <c r="IH48" i="14"/>
  <c r="IG48" i="14"/>
  <c r="IF48" i="14"/>
  <c r="IE48" i="14"/>
  <c r="ID48" i="14"/>
  <c r="IC48" i="14"/>
  <c r="IB48" i="14"/>
  <c r="IA48" i="14"/>
  <c r="HZ48" i="14"/>
  <c r="HW48" i="14"/>
  <c r="HV48" i="14"/>
  <c r="HU48" i="14"/>
  <c r="HR48" i="14"/>
  <c r="HQ48" i="14"/>
  <c r="HP48" i="14"/>
  <c r="HM48" i="14"/>
  <c r="HL48" i="14"/>
  <c r="HK48" i="14"/>
  <c r="HH48" i="14"/>
  <c r="HG48" i="14"/>
  <c r="HF48" i="14"/>
  <c r="HC48" i="14"/>
  <c r="HB48" i="14"/>
  <c r="HA48" i="14"/>
  <c r="GU48" i="14"/>
  <c r="GT48" i="14"/>
  <c r="GS48" i="14"/>
  <c r="GR48" i="14"/>
  <c r="GQ48" i="14"/>
  <c r="GP48" i="14"/>
  <c r="GO48" i="14"/>
  <c r="GL48" i="14"/>
  <c r="GK48" i="14"/>
  <c r="GJ48" i="14"/>
  <c r="GI48" i="14"/>
  <c r="GH48" i="14"/>
  <c r="GG48" i="14"/>
  <c r="GF48" i="14"/>
  <c r="GE48" i="14"/>
  <c r="GA48" i="14"/>
  <c r="FZ48" i="14"/>
  <c r="FY48" i="14"/>
  <c r="FV48" i="14"/>
  <c r="FU48" i="14"/>
  <c r="FT48" i="14"/>
  <c r="FS48" i="14"/>
  <c r="FR48" i="14"/>
  <c r="FQ48" i="14"/>
  <c r="FP48" i="14"/>
  <c r="FO48" i="14"/>
  <c r="FN48" i="14"/>
  <c r="FM48" i="14"/>
  <c r="FL48" i="14"/>
  <c r="FK48" i="14"/>
  <c r="FH48" i="14"/>
  <c r="FG48" i="14"/>
  <c r="FF48" i="14"/>
  <c r="FE48" i="14"/>
  <c r="FB48" i="14"/>
  <c r="FA48" i="14"/>
  <c r="EZ48" i="14"/>
  <c r="FD48" i="14" s="1"/>
  <c r="EW48" i="14"/>
  <c r="EY48" i="14" s="1"/>
  <c r="EV48" i="14"/>
  <c r="EX48" i="14" s="1"/>
  <c r="EU48" i="14"/>
  <c r="ER48" i="14"/>
  <c r="EQ48" i="14"/>
  <c r="EM48" i="14"/>
  <c r="EL48" i="14"/>
  <c r="EK48" i="14" s="1"/>
  <c r="EH48" i="14"/>
  <c r="EC48" i="14" s="1"/>
  <c r="EG48" i="14"/>
  <c r="EB48" i="14" s="1"/>
  <c r="HY48" i="14"/>
  <c r="HX48" i="14"/>
  <c r="HT48" i="14"/>
  <c r="HS48" i="14"/>
  <c r="HN48" i="14"/>
  <c r="HO48" i="14"/>
  <c r="HJ48" i="14"/>
  <c r="HI48" i="14"/>
  <c r="HE48" i="14"/>
  <c r="HD48" i="14"/>
  <c r="GX48" i="14"/>
  <c r="GW48" i="14"/>
  <c r="GV48" i="14"/>
  <c r="GD48" i="14"/>
  <c r="GC48" i="14"/>
  <c r="GB48" i="14"/>
  <c r="FX48" i="14"/>
  <c r="FW48" i="14"/>
  <c r="FJ48" i="14"/>
  <c r="ES48" i="14"/>
  <c r="ET48" i="14"/>
  <c r="IO43" i="14"/>
  <c r="IN43" i="14"/>
  <c r="IM43" i="14"/>
  <c r="IL43" i="14"/>
  <c r="IK43" i="14"/>
  <c r="IJ43" i="14"/>
  <c r="II43" i="14"/>
  <c r="IH43" i="14"/>
  <c r="IG43" i="14"/>
  <c r="IF43" i="14"/>
  <c r="IE43" i="14"/>
  <c r="ID43" i="14"/>
  <c r="IC43" i="14"/>
  <c r="IB43" i="14"/>
  <c r="IA43" i="14"/>
  <c r="HZ43" i="14"/>
  <c r="HW43" i="14"/>
  <c r="HV43" i="14"/>
  <c r="HU43" i="14"/>
  <c r="HR43" i="14"/>
  <c r="HQ43" i="14"/>
  <c r="HP43" i="14"/>
  <c r="HM43" i="14"/>
  <c r="HL43" i="14"/>
  <c r="HK43" i="14"/>
  <c r="HH43" i="14"/>
  <c r="HG43" i="14"/>
  <c r="HF43" i="14"/>
  <c r="HC43" i="14"/>
  <c r="HB43" i="14"/>
  <c r="HA43" i="14"/>
  <c r="GU43" i="14"/>
  <c r="GT43" i="14"/>
  <c r="GS43" i="14"/>
  <c r="GR43" i="14"/>
  <c r="GQ43" i="14"/>
  <c r="GP43" i="14"/>
  <c r="GO43" i="14"/>
  <c r="GL43" i="14"/>
  <c r="GK43" i="14"/>
  <c r="GJ43" i="14"/>
  <c r="GI43" i="14"/>
  <c r="GH43" i="14"/>
  <c r="GG43" i="14"/>
  <c r="GF43" i="14"/>
  <c r="GE43" i="14"/>
  <c r="GA43" i="14"/>
  <c r="FZ43" i="14"/>
  <c r="FY43" i="14"/>
  <c r="FV43" i="14"/>
  <c r="FU43" i="14"/>
  <c r="FT43" i="14"/>
  <c r="FS43" i="14"/>
  <c r="FR43" i="14"/>
  <c r="FQ43" i="14"/>
  <c r="FP43" i="14"/>
  <c r="FO43" i="14"/>
  <c r="FN43" i="14"/>
  <c r="FM43" i="14"/>
  <c r="FL43" i="14"/>
  <c r="FK43" i="14"/>
  <c r="FH43" i="14"/>
  <c r="FG43" i="14"/>
  <c r="FI43" i="14" s="1"/>
  <c r="FF43" i="14"/>
  <c r="FE43" i="14"/>
  <c r="FB43" i="14"/>
  <c r="FA43" i="14"/>
  <c r="EZ43" i="14"/>
  <c r="FD43" i="14" s="1"/>
  <c r="EW43" i="14"/>
  <c r="EV43" i="14"/>
  <c r="EX43" i="14" s="1"/>
  <c r="EU43" i="14"/>
  <c r="EY43" i="14" s="1"/>
  <c r="ER43" i="14"/>
  <c r="EQ43" i="14"/>
  <c r="ET43" i="14" s="1"/>
  <c r="EM43" i="14"/>
  <c r="EL43" i="14"/>
  <c r="EH43" i="14"/>
  <c r="EG43" i="14"/>
  <c r="EF43" i="14" s="1"/>
  <c r="HY43" i="14"/>
  <c r="HX43" i="14"/>
  <c r="HT43" i="14"/>
  <c r="HS43" i="14"/>
  <c r="HN43" i="14"/>
  <c r="HO43" i="14"/>
  <c r="HJ43" i="14"/>
  <c r="HI43" i="14"/>
  <c r="HD43" i="14"/>
  <c r="HE43" i="14"/>
  <c r="GX43" i="14"/>
  <c r="GW43" i="14"/>
  <c r="GM43" i="14"/>
  <c r="GN43" i="14"/>
  <c r="GV43" i="14"/>
  <c r="GD43" i="14"/>
  <c r="GC43" i="14"/>
  <c r="GB43" i="14"/>
  <c r="FW43" i="14"/>
  <c r="FX43" i="14"/>
  <c r="FJ43" i="14"/>
  <c r="IO56" i="14"/>
  <c r="IN56" i="14"/>
  <c r="IM56" i="14"/>
  <c r="IL56" i="14"/>
  <c r="IK56" i="14"/>
  <c r="IJ56" i="14"/>
  <c r="II56" i="14"/>
  <c r="IH56" i="14"/>
  <c r="IG56" i="14"/>
  <c r="IF56" i="14"/>
  <c r="IE56" i="14"/>
  <c r="ID56" i="14"/>
  <c r="IC56" i="14"/>
  <c r="IB56" i="14"/>
  <c r="IA56" i="14"/>
  <c r="HZ56" i="14"/>
  <c r="HW56" i="14"/>
  <c r="HV56" i="14"/>
  <c r="HU56" i="14"/>
  <c r="HR56" i="14"/>
  <c r="HQ56" i="14"/>
  <c r="HP56" i="14"/>
  <c r="HM56" i="14"/>
  <c r="HL56" i="14"/>
  <c r="HK56" i="14"/>
  <c r="HH56" i="14"/>
  <c r="HG56" i="14"/>
  <c r="HF56" i="14"/>
  <c r="HC56" i="14"/>
  <c r="HB56" i="14"/>
  <c r="HA56" i="14"/>
  <c r="GU56" i="14"/>
  <c r="GT56" i="14"/>
  <c r="GS56" i="14"/>
  <c r="GR56" i="14"/>
  <c r="GQ56" i="14"/>
  <c r="GP56" i="14"/>
  <c r="GO56" i="14"/>
  <c r="GL56" i="14"/>
  <c r="GK56" i="14"/>
  <c r="GJ56" i="14"/>
  <c r="GI56" i="14"/>
  <c r="GH56" i="14"/>
  <c r="GG56" i="14"/>
  <c r="GF56" i="14"/>
  <c r="GE56" i="14"/>
  <c r="GA56" i="14"/>
  <c r="FZ56" i="14"/>
  <c r="FY56" i="14"/>
  <c r="FV56" i="14"/>
  <c r="FU56" i="14"/>
  <c r="FT56" i="14"/>
  <c r="FS56" i="14"/>
  <c r="FR56" i="14"/>
  <c r="FQ56" i="14"/>
  <c r="FP56" i="14"/>
  <c r="FO56" i="14"/>
  <c r="FN56" i="14"/>
  <c r="FM56" i="14"/>
  <c r="FL56" i="14"/>
  <c r="FK56" i="14"/>
  <c r="FH56" i="14"/>
  <c r="FG56" i="14"/>
  <c r="FF56" i="14"/>
  <c r="FE56" i="14"/>
  <c r="FB56" i="14"/>
  <c r="FA56" i="14"/>
  <c r="EZ56" i="14"/>
  <c r="EW56" i="14"/>
  <c r="EV56" i="14"/>
  <c r="EU56" i="14"/>
  <c r="ER56" i="14"/>
  <c r="EQ56" i="14"/>
  <c r="EM56" i="14"/>
  <c r="EL56" i="14"/>
  <c r="EH56" i="14"/>
  <c r="EG56" i="14"/>
  <c r="IO55" i="14"/>
  <c r="IN55" i="14"/>
  <c r="IM55" i="14"/>
  <c r="IL55" i="14"/>
  <c r="IK55" i="14"/>
  <c r="IJ55" i="14"/>
  <c r="II55" i="14"/>
  <c r="IH55" i="14"/>
  <c r="IG55" i="14"/>
  <c r="IF55" i="14"/>
  <c r="IE55" i="14"/>
  <c r="ID55" i="14"/>
  <c r="IC55" i="14"/>
  <c r="IB55" i="14"/>
  <c r="IA55" i="14"/>
  <c r="HZ55" i="14"/>
  <c r="HW55" i="14"/>
  <c r="HV55" i="14"/>
  <c r="HU55" i="14"/>
  <c r="HR55" i="14"/>
  <c r="HQ55" i="14"/>
  <c r="HP55" i="14"/>
  <c r="HM55" i="14"/>
  <c r="HL55" i="14"/>
  <c r="HK55" i="14"/>
  <c r="HH55" i="14"/>
  <c r="HG55" i="14"/>
  <c r="HF55" i="14"/>
  <c r="HC55" i="14"/>
  <c r="HB55" i="14"/>
  <c r="HA55" i="14"/>
  <c r="GU55" i="14"/>
  <c r="GT55" i="14"/>
  <c r="GS55" i="14"/>
  <c r="GR55" i="14"/>
  <c r="GQ55" i="14"/>
  <c r="GP55" i="14"/>
  <c r="GO55" i="14"/>
  <c r="GL55" i="14"/>
  <c r="GK55" i="14"/>
  <c r="GJ55" i="14"/>
  <c r="GI55" i="14"/>
  <c r="GH55" i="14"/>
  <c r="GG55" i="14"/>
  <c r="GF55" i="14"/>
  <c r="GE55" i="14"/>
  <c r="GA55" i="14"/>
  <c r="FZ55" i="14"/>
  <c r="FY55" i="14"/>
  <c r="FV55" i="14"/>
  <c r="FU55" i="14"/>
  <c r="FT55" i="14"/>
  <c r="FS55" i="14"/>
  <c r="FR55" i="14"/>
  <c r="FQ55" i="14"/>
  <c r="FP55" i="14"/>
  <c r="FO55" i="14"/>
  <c r="FN55" i="14"/>
  <c r="FM55" i="14"/>
  <c r="FL55" i="14"/>
  <c r="FK55" i="14"/>
  <c r="FH55" i="14"/>
  <c r="FG55" i="14"/>
  <c r="FF55" i="14"/>
  <c r="FE55" i="14"/>
  <c r="FB55" i="14"/>
  <c r="FA55" i="14"/>
  <c r="EZ55" i="14"/>
  <c r="EW55" i="14"/>
  <c r="EV55" i="14"/>
  <c r="EU55" i="14"/>
  <c r="ER55" i="14"/>
  <c r="EQ55" i="14"/>
  <c r="EM55" i="14"/>
  <c r="EL55" i="14"/>
  <c r="EH55" i="14"/>
  <c r="EG55" i="14"/>
  <c r="IO53" i="14"/>
  <c r="IN53" i="14"/>
  <c r="IM53" i="14"/>
  <c r="IL53" i="14"/>
  <c r="IK53" i="14"/>
  <c r="IJ53" i="14"/>
  <c r="II53" i="14"/>
  <c r="IH53" i="14"/>
  <c r="IG53" i="14"/>
  <c r="IF53" i="14"/>
  <c r="IE53" i="14"/>
  <c r="ID53" i="14"/>
  <c r="IC53" i="14"/>
  <c r="IB53" i="14"/>
  <c r="IA53" i="14"/>
  <c r="HZ53" i="14"/>
  <c r="HW53" i="14"/>
  <c r="HV53" i="14"/>
  <c r="HU53" i="14"/>
  <c r="HR53" i="14"/>
  <c r="HQ53" i="14"/>
  <c r="HP53" i="14"/>
  <c r="HM53" i="14"/>
  <c r="HL53" i="14"/>
  <c r="HK53" i="14"/>
  <c r="HH53" i="14"/>
  <c r="HG53" i="14"/>
  <c r="HF53" i="14"/>
  <c r="HC53" i="14"/>
  <c r="HB53" i="14"/>
  <c r="HA53" i="14"/>
  <c r="GU53" i="14"/>
  <c r="GT53" i="14"/>
  <c r="GS53" i="14"/>
  <c r="GR53" i="14"/>
  <c r="GQ53" i="14"/>
  <c r="GP53" i="14"/>
  <c r="GO53" i="14"/>
  <c r="GL53" i="14"/>
  <c r="GK53" i="14"/>
  <c r="GJ53" i="14"/>
  <c r="GI53" i="14"/>
  <c r="GH53" i="14"/>
  <c r="GG53" i="14"/>
  <c r="GF53" i="14"/>
  <c r="GE53" i="14"/>
  <c r="GA53" i="14"/>
  <c r="FZ53" i="14"/>
  <c r="FY53" i="14"/>
  <c r="FV53" i="14"/>
  <c r="FU53" i="14"/>
  <c r="FT53" i="14"/>
  <c r="FS53" i="14"/>
  <c r="FR53" i="14"/>
  <c r="FQ53" i="14"/>
  <c r="FP53" i="14"/>
  <c r="FO53" i="14"/>
  <c r="FN53" i="14"/>
  <c r="FM53" i="14"/>
  <c r="FL53" i="14"/>
  <c r="FK53" i="14"/>
  <c r="FH53" i="14"/>
  <c r="FG53" i="14"/>
  <c r="FF53" i="14"/>
  <c r="FE53" i="14"/>
  <c r="FB53" i="14"/>
  <c r="FA53" i="14"/>
  <c r="EZ53" i="14"/>
  <c r="EW53" i="14"/>
  <c r="EV53" i="14"/>
  <c r="EU53" i="14"/>
  <c r="ER53" i="14"/>
  <c r="EQ53" i="14"/>
  <c r="EM53" i="14"/>
  <c r="EL53" i="14"/>
  <c r="EH53" i="14"/>
  <c r="EG53" i="14"/>
  <c r="IO52" i="14"/>
  <c r="IN52" i="14"/>
  <c r="IM52" i="14"/>
  <c r="IL52" i="14"/>
  <c r="IK52" i="14"/>
  <c r="IJ52" i="14"/>
  <c r="II52" i="14"/>
  <c r="IH52" i="14"/>
  <c r="IG52" i="14"/>
  <c r="IF52" i="14"/>
  <c r="IE52" i="14"/>
  <c r="ID52" i="14"/>
  <c r="IC52" i="14"/>
  <c r="IB52" i="14"/>
  <c r="IA52" i="14"/>
  <c r="HZ52" i="14"/>
  <c r="HW52" i="14"/>
  <c r="HV52" i="14"/>
  <c r="HU52" i="14"/>
  <c r="HR52" i="14"/>
  <c r="HQ52" i="14"/>
  <c r="HP52" i="14"/>
  <c r="HM52" i="14"/>
  <c r="HO52" i="14" s="1"/>
  <c r="HL52" i="14"/>
  <c r="HK52" i="14"/>
  <c r="HH52" i="14"/>
  <c r="HG52" i="14"/>
  <c r="HF52" i="14"/>
  <c r="HC52" i="14"/>
  <c r="HB52" i="14"/>
  <c r="HA52" i="14"/>
  <c r="GU52" i="14"/>
  <c r="GT52" i="14"/>
  <c r="GS52" i="14"/>
  <c r="GR52" i="14"/>
  <c r="GQ52" i="14"/>
  <c r="GP52" i="14"/>
  <c r="GO52" i="14"/>
  <c r="GL52" i="14"/>
  <c r="GX52" i="14" s="1"/>
  <c r="GK52" i="14"/>
  <c r="GM52" i="14" s="1"/>
  <c r="GJ52" i="14"/>
  <c r="GI52" i="14"/>
  <c r="GH52" i="14"/>
  <c r="GG52" i="14"/>
  <c r="GF52" i="14"/>
  <c r="GE52" i="14"/>
  <c r="GA52" i="14"/>
  <c r="GC52" i="14" s="1"/>
  <c r="FZ52" i="14"/>
  <c r="FY52" i="14"/>
  <c r="GB52" i="14" s="1"/>
  <c r="FV52" i="14"/>
  <c r="FU52" i="14"/>
  <c r="FT52" i="14"/>
  <c r="FW52" i="14" s="1"/>
  <c r="FS52" i="14"/>
  <c r="FR52" i="14"/>
  <c r="FQ52" i="14"/>
  <c r="FP52" i="14"/>
  <c r="FO52" i="14"/>
  <c r="FN52" i="14"/>
  <c r="FM52" i="14"/>
  <c r="FL52" i="14"/>
  <c r="FK52" i="14"/>
  <c r="FH52" i="14"/>
  <c r="FJ52" i="14" s="1"/>
  <c r="FG52" i="14"/>
  <c r="FI52" i="14" s="1"/>
  <c r="FF52" i="14"/>
  <c r="FE52" i="14"/>
  <c r="FB52" i="14"/>
  <c r="FA52" i="14"/>
  <c r="EZ52" i="14"/>
  <c r="FC52" i="14" s="1"/>
  <c r="EW52" i="14"/>
  <c r="EV52" i="14"/>
  <c r="EU52" i="14"/>
  <c r="EX52" i="14" s="1"/>
  <c r="ER52" i="14"/>
  <c r="EQ52" i="14"/>
  <c r="EM52" i="14"/>
  <c r="EL52" i="14"/>
  <c r="EH52" i="14"/>
  <c r="EC52" i="14" s="1"/>
  <c r="EG52" i="14"/>
  <c r="EF52" i="14" s="1"/>
  <c r="HY52" i="14"/>
  <c r="HX52" i="14"/>
  <c r="HJ52" i="14"/>
  <c r="HI52" i="14"/>
  <c r="GW52" i="14"/>
  <c r="GD52" i="14"/>
  <c r="IO51" i="14"/>
  <c r="IN51" i="14"/>
  <c r="IM51" i="14"/>
  <c r="IL51" i="14"/>
  <c r="IK51" i="14"/>
  <c r="IJ51" i="14"/>
  <c r="II51" i="14"/>
  <c r="IH51" i="14"/>
  <c r="IG51" i="14"/>
  <c r="IF51" i="14"/>
  <c r="IE51" i="14"/>
  <c r="ID51" i="14"/>
  <c r="IC51" i="14"/>
  <c r="IB51" i="14"/>
  <c r="IA51" i="14"/>
  <c r="HZ51" i="14"/>
  <c r="HW51" i="14"/>
  <c r="HV51" i="14"/>
  <c r="HU51" i="14"/>
  <c r="HR51" i="14"/>
  <c r="HQ51" i="14"/>
  <c r="HP51" i="14"/>
  <c r="HM51" i="14"/>
  <c r="HL51" i="14"/>
  <c r="HK51" i="14"/>
  <c r="HH51" i="14"/>
  <c r="HG51" i="14"/>
  <c r="HF51" i="14"/>
  <c r="HC51" i="14"/>
  <c r="HB51" i="14"/>
  <c r="HA51" i="14"/>
  <c r="GU51" i="14"/>
  <c r="GT51" i="14"/>
  <c r="GS51" i="14"/>
  <c r="GR51" i="14"/>
  <c r="GQ51" i="14"/>
  <c r="GP51" i="14"/>
  <c r="GO51" i="14"/>
  <c r="GL51" i="14"/>
  <c r="GK51" i="14"/>
  <c r="GJ51" i="14"/>
  <c r="GI51" i="14"/>
  <c r="GH51" i="14"/>
  <c r="GG51" i="14"/>
  <c r="GF51" i="14"/>
  <c r="GE51" i="14"/>
  <c r="GA51" i="14"/>
  <c r="FZ51" i="14"/>
  <c r="FY51" i="14"/>
  <c r="FV51" i="14"/>
  <c r="FU51" i="14"/>
  <c r="FT51" i="14"/>
  <c r="FS51" i="14"/>
  <c r="FR51" i="14"/>
  <c r="FQ51" i="14"/>
  <c r="FP51" i="14"/>
  <c r="FO51" i="14"/>
  <c r="FN51" i="14"/>
  <c r="FM51" i="14"/>
  <c r="FL51" i="14"/>
  <c r="FK51" i="14"/>
  <c r="FH51" i="14"/>
  <c r="FG51" i="14"/>
  <c r="FF51" i="14"/>
  <c r="FE51" i="14"/>
  <c r="FB51" i="14"/>
  <c r="FA51" i="14"/>
  <c r="EZ51" i="14"/>
  <c r="EW51" i="14"/>
  <c r="EV51" i="14"/>
  <c r="EU51" i="14"/>
  <c r="ER51" i="14"/>
  <c r="EQ51" i="14"/>
  <c r="EM51" i="14"/>
  <c r="EL51" i="14"/>
  <c r="EH51" i="14"/>
  <c r="EG51" i="14"/>
  <c r="IO45" i="14"/>
  <c r="IN45" i="14"/>
  <c r="IM45" i="14"/>
  <c r="IL45" i="14"/>
  <c r="IK45" i="14"/>
  <c r="IJ45" i="14"/>
  <c r="II45" i="14"/>
  <c r="IH45" i="14"/>
  <c r="IG45" i="14"/>
  <c r="IF45" i="14"/>
  <c r="IE45" i="14"/>
  <c r="ID45" i="14"/>
  <c r="IC45" i="14"/>
  <c r="IB45" i="14"/>
  <c r="IA45" i="14"/>
  <c r="HZ45" i="14"/>
  <c r="HW45" i="14"/>
  <c r="HV45" i="14"/>
  <c r="HU45" i="14"/>
  <c r="HR45" i="14"/>
  <c r="HQ45" i="14"/>
  <c r="HP45" i="14"/>
  <c r="HM45" i="14"/>
  <c r="HL45" i="14"/>
  <c r="HK45" i="14"/>
  <c r="HH45" i="14"/>
  <c r="HG45" i="14"/>
  <c r="HF45" i="14"/>
  <c r="HC45" i="14"/>
  <c r="HB45" i="14"/>
  <c r="HA45" i="14"/>
  <c r="GU45" i="14"/>
  <c r="GT45" i="14"/>
  <c r="GS45" i="14"/>
  <c r="GR45" i="14"/>
  <c r="GQ45" i="14"/>
  <c r="GP45" i="14"/>
  <c r="GO45" i="14"/>
  <c r="GL45" i="14"/>
  <c r="GK45" i="14"/>
  <c r="GJ45" i="14"/>
  <c r="GI45" i="14"/>
  <c r="GH45" i="14"/>
  <c r="GG45" i="14"/>
  <c r="GF45" i="14"/>
  <c r="GE45" i="14"/>
  <c r="GA45" i="14"/>
  <c r="FZ45" i="14"/>
  <c r="FY45" i="14"/>
  <c r="FV45" i="14"/>
  <c r="FU45" i="14"/>
  <c r="FT45" i="14"/>
  <c r="FS45" i="14"/>
  <c r="FR45" i="14"/>
  <c r="FQ45" i="14"/>
  <c r="FP45" i="14"/>
  <c r="FO45" i="14"/>
  <c r="FN45" i="14"/>
  <c r="FM45" i="14"/>
  <c r="FL45" i="14"/>
  <c r="FK45" i="14"/>
  <c r="FH45" i="14"/>
  <c r="FG45" i="14"/>
  <c r="FF45" i="14"/>
  <c r="FE45" i="14"/>
  <c r="FB45" i="14"/>
  <c r="FA45" i="14"/>
  <c r="EZ45" i="14"/>
  <c r="EW45" i="14"/>
  <c r="EV45" i="14"/>
  <c r="EU45" i="14"/>
  <c r="ER45" i="14"/>
  <c r="EQ45" i="14"/>
  <c r="EM45" i="14"/>
  <c r="EL45" i="14"/>
  <c r="EH45" i="14"/>
  <c r="EG45" i="14"/>
  <c r="IO42" i="14"/>
  <c r="IN42" i="14"/>
  <c r="IM42" i="14"/>
  <c r="IL42" i="14"/>
  <c r="IK42" i="14"/>
  <c r="IJ42" i="14"/>
  <c r="II42" i="14"/>
  <c r="IH42" i="14"/>
  <c r="IG42" i="14"/>
  <c r="IF42" i="14"/>
  <c r="IE42" i="14"/>
  <c r="ID42" i="14"/>
  <c r="IC42" i="14"/>
  <c r="IB42" i="14"/>
  <c r="IA42" i="14"/>
  <c r="HZ42" i="14"/>
  <c r="HW42" i="14"/>
  <c r="HV42" i="14"/>
  <c r="HU42" i="14"/>
  <c r="HR42" i="14"/>
  <c r="HQ42" i="14"/>
  <c r="HP42" i="14"/>
  <c r="HM42" i="14"/>
  <c r="HL42" i="14"/>
  <c r="HK42" i="14"/>
  <c r="HO42" i="14" s="1"/>
  <c r="HH42" i="14"/>
  <c r="HJ42" i="14" s="1"/>
  <c r="HG42" i="14"/>
  <c r="HI42" i="14" s="1"/>
  <c r="HF42" i="14"/>
  <c r="HC42" i="14"/>
  <c r="HB42" i="14"/>
  <c r="HA42" i="14"/>
  <c r="HE42" i="14" s="1"/>
  <c r="GU42" i="14"/>
  <c r="GT42" i="14"/>
  <c r="GS42" i="14"/>
  <c r="GR42" i="14"/>
  <c r="GQ42" i="14"/>
  <c r="GP42" i="14"/>
  <c r="GO42" i="14"/>
  <c r="GL42" i="14"/>
  <c r="GK42" i="14"/>
  <c r="GJ42" i="14"/>
  <c r="GI42" i="14"/>
  <c r="GH42" i="14"/>
  <c r="GG42" i="14"/>
  <c r="GF42" i="14"/>
  <c r="GE42" i="14"/>
  <c r="GA42" i="14"/>
  <c r="FZ42" i="14"/>
  <c r="FY42" i="14"/>
  <c r="GC42" i="14" s="1"/>
  <c r="FV42" i="14"/>
  <c r="FU42" i="14"/>
  <c r="FT42" i="14"/>
  <c r="FX42" i="14" s="1"/>
  <c r="FS42" i="14"/>
  <c r="FR42" i="14"/>
  <c r="FQ42" i="14"/>
  <c r="FP42" i="14"/>
  <c r="FO42" i="14"/>
  <c r="FN42" i="14"/>
  <c r="FM42" i="14"/>
  <c r="FL42" i="14"/>
  <c r="FK42" i="14"/>
  <c r="FH42" i="14"/>
  <c r="FG42" i="14"/>
  <c r="FF42" i="14"/>
  <c r="FE42" i="14"/>
  <c r="FB42" i="14"/>
  <c r="FA42" i="14"/>
  <c r="EZ42" i="14"/>
  <c r="EW42" i="14"/>
  <c r="EV42" i="14"/>
  <c r="EU42" i="14"/>
  <c r="ER42" i="14"/>
  <c r="EQ42" i="14"/>
  <c r="EM42" i="14"/>
  <c r="EL42" i="14"/>
  <c r="EH42" i="14"/>
  <c r="EG42" i="14"/>
  <c r="IO37" i="14"/>
  <c r="IN37" i="14"/>
  <c r="IM37" i="14"/>
  <c r="IL37" i="14"/>
  <c r="IK37" i="14"/>
  <c r="IJ37" i="14"/>
  <c r="II37" i="14"/>
  <c r="IH37" i="14"/>
  <c r="IG37" i="14"/>
  <c r="IF37" i="14"/>
  <c r="IE37" i="14"/>
  <c r="ID37" i="14"/>
  <c r="IC37" i="14"/>
  <c r="IB37" i="14"/>
  <c r="IA37" i="14"/>
  <c r="HZ37" i="14"/>
  <c r="HW37" i="14"/>
  <c r="HV37" i="14"/>
  <c r="HU37" i="14"/>
  <c r="HR37" i="14"/>
  <c r="HQ37" i="14"/>
  <c r="HP37" i="14"/>
  <c r="HM37" i="14"/>
  <c r="HL37" i="14"/>
  <c r="HK37" i="14"/>
  <c r="HH37" i="14"/>
  <c r="HG37" i="14"/>
  <c r="HF37" i="14"/>
  <c r="HC37" i="14"/>
  <c r="HB37" i="14"/>
  <c r="HA37" i="14"/>
  <c r="GU37" i="14"/>
  <c r="GT37" i="14"/>
  <c r="GS37" i="14"/>
  <c r="GR37" i="14"/>
  <c r="GQ37" i="14"/>
  <c r="GP37" i="14"/>
  <c r="GO37" i="14"/>
  <c r="GL37" i="14"/>
  <c r="GK37" i="14"/>
  <c r="GJ37" i="14"/>
  <c r="GI37" i="14"/>
  <c r="GH37" i="14"/>
  <c r="GG37" i="14"/>
  <c r="GF37" i="14"/>
  <c r="GE37" i="14"/>
  <c r="GA37" i="14"/>
  <c r="FZ37" i="14"/>
  <c r="FY37" i="14"/>
  <c r="FV37" i="14"/>
  <c r="FU37" i="14"/>
  <c r="FT37" i="14"/>
  <c r="FS37" i="14"/>
  <c r="FR37" i="14"/>
  <c r="FQ37" i="14"/>
  <c r="FP37" i="14"/>
  <c r="FO37" i="14"/>
  <c r="FN37" i="14"/>
  <c r="FM37" i="14"/>
  <c r="FL37" i="14"/>
  <c r="FK37" i="14"/>
  <c r="FH37" i="14"/>
  <c r="FG37" i="14"/>
  <c r="FF37" i="14"/>
  <c r="FE37" i="14"/>
  <c r="FB37" i="14"/>
  <c r="FA37" i="14"/>
  <c r="EZ37" i="14"/>
  <c r="EW37" i="14"/>
  <c r="EV37" i="14"/>
  <c r="EU37" i="14"/>
  <c r="ER37" i="14"/>
  <c r="EQ37" i="14"/>
  <c r="EM37" i="14"/>
  <c r="EL37" i="14"/>
  <c r="EH37" i="14"/>
  <c r="EG37" i="14"/>
  <c r="IO33" i="14"/>
  <c r="IN33" i="14"/>
  <c r="IM33" i="14"/>
  <c r="IL33" i="14"/>
  <c r="IK33" i="14"/>
  <c r="IJ33" i="14"/>
  <c r="II33" i="14"/>
  <c r="IH33" i="14"/>
  <c r="IG33" i="14"/>
  <c r="IF33" i="14"/>
  <c r="IE33" i="14"/>
  <c r="ID33" i="14"/>
  <c r="IC33" i="14"/>
  <c r="IB33" i="14"/>
  <c r="IA33" i="14"/>
  <c r="HZ33" i="14"/>
  <c r="HW33" i="14"/>
  <c r="HV33" i="14"/>
  <c r="HU33" i="14"/>
  <c r="HR33" i="14"/>
  <c r="HQ33" i="14"/>
  <c r="HP33" i="14"/>
  <c r="HM33" i="14"/>
  <c r="HL33" i="14"/>
  <c r="HK33" i="14"/>
  <c r="HH33" i="14"/>
  <c r="HG33" i="14"/>
  <c r="HF33" i="14"/>
  <c r="HC33" i="14"/>
  <c r="HB33" i="14"/>
  <c r="HA33" i="14"/>
  <c r="GU33" i="14"/>
  <c r="GT33" i="14"/>
  <c r="GS33" i="14"/>
  <c r="GR33" i="14"/>
  <c r="GQ33" i="14"/>
  <c r="GP33" i="14"/>
  <c r="GO33" i="14"/>
  <c r="GL33" i="14"/>
  <c r="GK33" i="14"/>
  <c r="GJ33" i="14"/>
  <c r="GI33" i="14"/>
  <c r="GH33" i="14"/>
  <c r="GG33" i="14"/>
  <c r="GF33" i="14"/>
  <c r="GE33" i="14"/>
  <c r="GA33" i="14"/>
  <c r="FZ33" i="14"/>
  <c r="FY33" i="14"/>
  <c r="FV33" i="14"/>
  <c r="FU33" i="14"/>
  <c r="FT33" i="14"/>
  <c r="FS33" i="14"/>
  <c r="FR33" i="14"/>
  <c r="FQ33" i="14"/>
  <c r="FP33" i="14"/>
  <c r="FO33" i="14"/>
  <c r="FN33" i="14"/>
  <c r="FM33" i="14"/>
  <c r="FL33" i="14"/>
  <c r="FK33" i="14"/>
  <c r="FH33" i="14"/>
  <c r="FG33" i="14"/>
  <c r="FF33" i="14"/>
  <c r="FE33" i="14"/>
  <c r="FB33" i="14"/>
  <c r="FA33" i="14"/>
  <c r="EZ33" i="14"/>
  <c r="EW33" i="14"/>
  <c r="EV33" i="14"/>
  <c r="EU33" i="14"/>
  <c r="ER33" i="14"/>
  <c r="EQ33" i="14"/>
  <c r="EM33" i="14"/>
  <c r="EL33" i="14"/>
  <c r="EH33" i="14"/>
  <c r="EG33" i="14"/>
  <c r="IO27" i="14"/>
  <c r="IN27" i="14"/>
  <c r="IM27" i="14"/>
  <c r="IL27" i="14"/>
  <c r="IK27" i="14"/>
  <c r="IJ27" i="14"/>
  <c r="II27" i="14"/>
  <c r="IH27" i="14"/>
  <c r="IG27" i="14"/>
  <c r="IF27" i="14"/>
  <c r="IE27" i="14"/>
  <c r="ID27" i="14"/>
  <c r="IC27" i="14"/>
  <c r="IB27" i="14"/>
  <c r="IA27" i="14"/>
  <c r="HZ27" i="14"/>
  <c r="HW27" i="14"/>
  <c r="HV27" i="14"/>
  <c r="HU27" i="14"/>
  <c r="HR27" i="14"/>
  <c r="HQ27" i="14"/>
  <c r="HP27" i="14"/>
  <c r="HM27" i="14"/>
  <c r="HL27" i="14"/>
  <c r="HK27" i="14"/>
  <c r="HH27" i="14"/>
  <c r="HG27" i="14"/>
  <c r="HF27" i="14"/>
  <c r="HC27" i="14"/>
  <c r="HB27" i="14"/>
  <c r="HA27" i="14"/>
  <c r="GU27" i="14"/>
  <c r="GT27" i="14"/>
  <c r="GS27" i="14"/>
  <c r="GR27" i="14"/>
  <c r="GQ27" i="14"/>
  <c r="GP27" i="14"/>
  <c r="GO27" i="14"/>
  <c r="GL27" i="14"/>
  <c r="GK27" i="14"/>
  <c r="GJ27" i="14"/>
  <c r="GI27" i="14"/>
  <c r="GH27" i="14"/>
  <c r="GG27" i="14"/>
  <c r="GF27" i="14"/>
  <c r="GE27" i="14"/>
  <c r="GA27" i="14"/>
  <c r="FZ27" i="14"/>
  <c r="FY27" i="14"/>
  <c r="FV27" i="14"/>
  <c r="FX27" i="14" s="1"/>
  <c r="FU27" i="14"/>
  <c r="FT27" i="14"/>
  <c r="FS27" i="14"/>
  <c r="FR27" i="14"/>
  <c r="FQ27" i="14"/>
  <c r="FP27" i="14"/>
  <c r="FO27" i="14"/>
  <c r="FN27" i="14"/>
  <c r="FM27" i="14"/>
  <c r="FL27" i="14"/>
  <c r="FK27" i="14"/>
  <c r="FH27" i="14"/>
  <c r="FG27" i="14"/>
  <c r="FF27" i="14"/>
  <c r="FE27" i="14"/>
  <c r="FB27" i="14"/>
  <c r="FA27" i="14"/>
  <c r="EZ27" i="14"/>
  <c r="EW27" i="14"/>
  <c r="EV27" i="14"/>
  <c r="EU27" i="14"/>
  <c r="ER27" i="14"/>
  <c r="EQ27" i="14"/>
  <c r="ES27" i="14" s="1"/>
  <c r="EM27" i="14"/>
  <c r="EL27" i="14"/>
  <c r="EH27" i="14"/>
  <c r="EG27" i="14"/>
  <c r="HT27" i="14"/>
  <c r="HJ27" i="14"/>
  <c r="HI27" i="14"/>
  <c r="IO24" i="14"/>
  <c r="IN24" i="14"/>
  <c r="IM24" i="14"/>
  <c r="IL24" i="14"/>
  <c r="IK24" i="14"/>
  <c r="IJ24" i="14"/>
  <c r="II24" i="14"/>
  <c r="IH24" i="14"/>
  <c r="IG24" i="14"/>
  <c r="IF24" i="14"/>
  <c r="IE24" i="14"/>
  <c r="ID24" i="14"/>
  <c r="IC24" i="14"/>
  <c r="IB24" i="14"/>
  <c r="IA24" i="14"/>
  <c r="HZ24" i="14"/>
  <c r="HW24" i="14"/>
  <c r="HV24" i="14"/>
  <c r="HU24" i="14"/>
  <c r="HR24" i="14"/>
  <c r="HQ24" i="14"/>
  <c r="HP24" i="14"/>
  <c r="HM24" i="14"/>
  <c r="HL24" i="14"/>
  <c r="HK24" i="14"/>
  <c r="HH24" i="14"/>
  <c r="HG24" i="14"/>
  <c r="HF24" i="14"/>
  <c r="HC24" i="14"/>
  <c r="HB24" i="14"/>
  <c r="HA24" i="14"/>
  <c r="HD24" i="14" s="1"/>
  <c r="GU24" i="14"/>
  <c r="GT24" i="14"/>
  <c r="GS24" i="14"/>
  <c r="GR24" i="14"/>
  <c r="GQ24" i="14"/>
  <c r="GP24" i="14"/>
  <c r="GO24" i="14"/>
  <c r="GL24" i="14"/>
  <c r="GK24" i="14"/>
  <c r="GJ24" i="14"/>
  <c r="GI24" i="14"/>
  <c r="GH24" i="14"/>
  <c r="GG24" i="14"/>
  <c r="GF24" i="14"/>
  <c r="GE24" i="14"/>
  <c r="GA24" i="14"/>
  <c r="FZ24" i="14"/>
  <c r="FY24" i="14"/>
  <c r="FV24" i="14"/>
  <c r="FU24" i="14"/>
  <c r="FT24" i="14"/>
  <c r="FS24" i="14"/>
  <c r="FR24" i="14"/>
  <c r="FQ24" i="14"/>
  <c r="FP24" i="14"/>
  <c r="FO24" i="14"/>
  <c r="FN24" i="14"/>
  <c r="FM24" i="14"/>
  <c r="FL24" i="14"/>
  <c r="FK24" i="14"/>
  <c r="FH24" i="14"/>
  <c r="FG24" i="14"/>
  <c r="FF24" i="14"/>
  <c r="FE24" i="14"/>
  <c r="FB24" i="14"/>
  <c r="FA24" i="14"/>
  <c r="EZ24" i="14"/>
  <c r="EW24" i="14"/>
  <c r="EV24" i="14"/>
  <c r="EU24" i="14"/>
  <c r="ER24" i="14"/>
  <c r="EQ24" i="14"/>
  <c r="ES24" i="14" s="1"/>
  <c r="EM24" i="14"/>
  <c r="EL24" i="14"/>
  <c r="EH24" i="14"/>
  <c r="EG24" i="14"/>
  <c r="IO23" i="14"/>
  <c r="IN23" i="14"/>
  <c r="IM23" i="14"/>
  <c r="IL23" i="14"/>
  <c r="IK23" i="14"/>
  <c r="IJ23" i="14"/>
  <c r="II23" i="14"/>
  <c r="IH23" i="14"/>
  <c r="IG23" i="14"/>
  <c r="IF23" i="14"/>
  <c r="IE23" i="14"/>
  <c r="ID23" i="14"/>
  <c r="IC23" i="14"/>
  <c r="IB23" i="14"/>
  <c r="IA23" i="14"/>
  <c r="HZ23" i="14"/>
  <c r="HW23" i="14"/>
  <c r="HV23" i="14"/>
  <c r="HU23" i="14"/>
  <c r="HR23" i="14"/>
  <c r="HQ23" i="14"/>
  <c r="HP23" i="14"/>
  <c r="HM23" i="14"/>
  <c r="HL23" i="14"/>
  <c r="HK23" i="14"/>
  <c r="HH23" i="14"/>
  <c r="HG23" i="14"/>
  <c r="HF23" i="14"/>
  <c r="HC23" i="14"/>
  <c r="HB23" i="14"/>
  <c r="HA23" i="14"/>
  <c r="GU23" i="14"/>
  <c r="GT23" i="14"/>
  <c r="GS23" i="14"/>
  <c r="GR23" i="14"/>
  <c r="GQ23" i="14"/>
  <c r="GP23" i="14"/>
  <c r="GO23" i="14"/>
  <c r="GL23" i="14"/>
  <c r="GK23" i="14"/>
  <c r="GJ23" i="14"/>
  <c r="GI23" i="14"/>
  <c r="GH23" i="14"/>
  <c r="GG23" i="14"/>
  <c r="GF23" i="14"/>
  <c r="GE23" i="14"/>
  <c r="GA23" i="14"/>
  <c r="FZ23" i="14"/>
  <c r="FY23" i="14"/>
  <c r="FV23" i="14"/>
  <c r="FU23" i="14"/>
  <c r="FT23" i="14"/>
  <c r="FS23" i="14"/>
  <c r="FR23" i="14"/>
  <c r="FQ23" i="14"/>
  <c r="FP23" i="14"/>
  <c r="FO23" i="14"/>
  <c r="FN23" i="14"/>
  <c r="FM23" i="14"/>
  <c r="FL23" i="14"/>
  <c r="FK23" i="14"/>
  <c r="FH23" i="14"/>
  <c r="FG23" i="14"/>
  <c r="FF23" i="14"/>
  <c r="FE23" i="14"/>
  <c r="FB23" i="14"/>
  <c r="FA23" i="14"/>
  <c r="EZ23" i="14"/>
  <c r="EW23" i="14"/>
  <c r="EV23" i="14"/>
  <c r="EU23" i="14"/>
  <c r="ER23" i="14"/>
  <c r="EQ23" i="14"/>
  <c r="EM23" i="14"/>
  <c r="EL23" i="14"/>
  <c r="EH23" i="14"/>
  <c r="EG23" i="14"/>
  <c r="IO21" i="14"/>
  <c r="IN21" i="14"/>
  <c r="IM21" i="14"/>
  <c r="IL21" i="14"/>
  <c r="IK21" i="14"/>
  <c r="IJ21" i="14"/>
  <c r="II21" i="14"/>
  <c r="IH21" i="14"/>
  <c r="IG21" i="14"/>
  <c r="IF21" i="14"/>
  <c r="IE21" i="14"/>
  <c r="ID21" i="14"/>
  <c r="IC21" i="14"/>
  <c r="IB21" i="14"/>
  <c r="IA21" i="14"/>
  <c r="HZ21" i="14"/>
  <c r="HW21" i="14"/>
  <c r="HV21" i="14"/>
  <c r="HU21" i="14"/>
  <c r="HR21" i="14"/>
  <c r="HQ21" i="14"/>
  <c r="HP21" i="14"/>
  <c r="HM21" i="14"/>
  <c r="HL21" i="14"/>
  <c r="HK21" i="14"/>
  <c r="HH21" i="14"/>
  <c r="HG21" i="14"/>
  <c r="HF21" i="14"/>
  <c r="HC21" i="14"/>
  <c r="HB21" i="14"/>
  <c r="HA21" i="14"/>
  <c r="GU21" i="14"/>
  <c r="GT21" i="14"/>
  <c r="GS21" i="14"/>
  <c r="GR21" i="14"/>
  <c r="GQ21" i="14"/>
  <c r="GP21" i="14"/>
  <c r="GO21" i="14"/>
  <c r="GL21" i="14"/>
  <c r="GK21" i="14"/>
  <c r="GJ21" i="14"/>
  <c r="GI21" i="14"/>
  <c r="GH21" i="14"/>
  <c r="GG21" i="14"/>
  <c r="GF21" i="14"/>
  <c r="GE21" i="14"/>
  <c r="GA21" i="14"/>
  <c r="FZ21" i="14"/>
  <c r="FY21" i="14"/>
  <c r="FV21" i="14"/>
  <c r="FU21" i="14"/>
  <c r="FT21" i="14"/>
  <c r="FS21" i="14"/>
  <c r="FR21" i="14"/>
  <c r="FQ21" i="14"/>
  <c r="FP21" i="14"/>
  <c r="FO21" i="14"/>
  <c r="FN21" i="14"/>
  <c r="FM21" i="14"/>
  <c r="FL21" i="14"/>
  <c r="FK21" i="14"/>
  <c r="FH21" i="14"/>
  <c r="FG21" i="14"/>
  <c r="FF21" i="14"/>
  <c r="FE21" i="14"/>
  <c r="FB21" i="14"/>
  <c r="FA21" i="14"/>
  <c r="EZ21" i="14"/>
  <c r="EW21" i="14"/>
  <c r="EV21" i="14"/>
  <c r="EU21" i="14"/>
  <c r="ER21" i="14"/>
  <c r="EQ21" i="14"/>
  <c r="EM21" i="14"/>
  <c r="EL21" i="14"/>
  <c r="EH21" i="14"/>
  <c r="EG21" i="14"/>
  <c r="IO20" i="14"/>
  <c r="IN20" i="14"/>
  <c r="IM20" i="14"/>
  <c r="IL20" i="14"/>
  <c r="IK20" i="14"/>
  <c r="IJ20" i="14"/>
  <c r="II20" i="14"/>
  <c r="IH20" i="14"/>
  <c r="IG20" i="14"/>
  <c r="IF20" i="14"/>
  <c r="IE20" i="14"/>
  <c r="ID20" i="14"/>
  <c r="IC20" i="14"/>
  <c r="IB20" i="14"/>
  <c r="IA20" i="14"/>
  <c r="HZ20" i="14"/>
  <c r="HW20" i="14"/>
  <c r="HV20" i="14"/>
  <c r="HU20" i="14"/>
  <c r="HR20" i="14"/>
  <c r="HQ20" i="14"/>
  <c r="HP20" i="14"/>
  <c r="HM20" i="14"/>
  <c r="HL20" i="14"/>
  <c r="HK20" i="14"/>
  <c r="HH20" i="14"/>
  <c r="HG20" i="14"/>
  <c r="HF20" i="14"/>
  <c r="HC20" i="14"/>
  <c r="HB20" i="14"/>
  <c r="HA20" i="14"/>
  <c r="GU20" i="14"/>
  <c r="GT20" i="14"/>
  <c r="GS20" i="14"/>
  <c r="GR20" i="14"/>
  <c r="GQ20" i="14"/>
  <c r="GP20" i="14"/>
  <c r="GO20" i="14"/>
  <c r="GL20" i="14"/>
  <c r="GK20" i="14"/>
  <c r="GJ20" i="14"/>
  <c r="GI20" i="14"/>
  <c r="GH20" i="14"/>
  <c r="GG20" i="14"/>
  <c r="GF20" i="14"/>
  <c r="GE20" i="14"/>
  <c r="GA20" i="14"/>
  <c r="FZ20" i="14"/>
  <c r="FY20" i="14"/>
  <c r="FV20" i="14"/>
  <c r="FU20" i="14"/>
  <c r="FT20" i="14"/>
  <c r="FS20" i="14"/>
  <c r="FR20" i="14"/>
  <c r="FQ20" i="14"/>
  <c r="FP20" i="14"/>
  <c r="FO20" i="14"/>
  <c r="FN20" i="14"/>
  <c r="FM20" i="14"/>
  <c r="FL20" i="14"/>
  <c r="FK20" i="14"/>
  <c r="FH20" i="14"/>
  <c r="FG20" i="14"/>
  <c r="FF20" i="14"/>
  <c r="FE20" i="14"/>
  <c r="FB20" i="14"/>
  <c r="FA20" i="14"/>
  <c r="EZ20" i="14"/>
  <c r="EW20" i="14"/>
  <c r="EV20" i="14"/>
  <c r="EU20" i="14"/>
  <c r="ER20" i="14"/>
  <c r="EQ20" i="14"/>
  <c r="EM20" i="14"/>
  <c r="EL20" i="14"/>
  <c r="EH20" i="14"/>
  <c r="EG20" i="14"/>
  <c r="IO15" i="14"/>
  <c r="IN15" i="14"/>
  <c r="IM15" i="14"/>
  <c r="IL15" i="14"/>
  <c r="IK15" i="14"/>
  <c r="IJ15" i="14"/>
  <c r="II15" i="14"/>
  <c r="IH15" i="14"/>
  <c r="IG15" i="14"/>
  <c r="IF15" i="14"/>
  <c r="IE15" i="14"/>
  <c r="ID15" i="14"/>
  <c r="IC15" i="14"/>
  <c r="IB15" i="14"/>
  <c r="IA15" i="14"/>
  <c r="HZ15" i="14"/>
  <c r="HW15" i="14"/>
  <c r="HV15" i="14"/>
  <c r="HU15" i="14"/>
  <c r="HR15" i="14"/>
  <c r="HQ15" i="14"/>
  <c r="HP15" i="14"/>
  <c r="HM15" i="14"/>
  <c r="HL15" i="14"/>
  <c r="HK15" i="14"/>
  <c r="HH15" i="14"/>
  <c r="HG15" i="14"/>
  <c r="HF15" i="14"/>
  <c r="HC15" i="14"/>
  <c r="HB15" i="14"/>
  <c r="HA15" i="14"/>
  <c r="GU15" i="14"/>
  <c r="GT15" i="14"/>
  <c r="GS15" i="14"/>
  <c r="GR15" i="14"/>
  <c r="GQ15" i="14"/>
  <c r="GP15" i="14"/>
  <c r="GO15" i="14"/>
  <c r="GL15" i="14"/>
  <c r="GK15" i="14"/>
  <c r="GJ15" i="14"/>
  <c r="GI15" i="14"/>
  <c r="GH15" i="14"/>
  <c r="GG15" i="14"/>
  <c r="GF15" i="14"/>
  <c r="GE15" i="14"/>
  <c r="GA15" i="14"/>
  <c r="FZ15" i="14"/>
  <c r="FY15" i="14"/>
  <c r="FV15" i="14"/>
  <c r="FU15" i="14"/>
  <c r="FT15" i="14"/>
  <c r="FS15" i="14"/>
  <c r="FR15" i="14"/>
  <c r="FQ15" i="14"/>
  <c r="FP15" i="14"/>
  <c r="FO15" i="14"/>
  <c r="FN15" i="14"/>
  <c r="FM15" i="14"/>
  <c r="FL15" i="14"/>
  <c r="FK15" i="14"/>
  <c r="FH15" i="14"/>
  <c r="FG15" i="14"/>
  <c r="FF15" i="14"/>
  <c r="FE15" i="14"/>
  <c r="FB15" i="14"/>
  <c r="FA15" i="14"/>
  <c r="EZ15" i="14"/>
  <c r="EW15" i="14"/>
  <c r="EV15" i="14"/>
  <c r="EU15" i="14"/>
  <c r="ER15" i="14"/>
  <c r="EQ15" i="14"/>
  <c r="EM15" i="14"/>
  <c r="EL15" i="14"/>
  <c r="EH15" i="14"/>
  <c r="EG15" i="14"/>
  <c r="EO48" i="14" l="1"/>
  <c r="EF48" i="14"/>
  <c r="EN48" i="14"/>
  <c r="FC48" i="14"/>
  <c r="GY48" i="14"/>
  <c r="GZ48" i="14"/>
  <c r="EA48" i="14"/>
  <c r="ED48" i="14" s="1"/>
  <c r="EI48" i="14"/>
  <c r="GM48" i="14"/>
  <c r="GN48" i="14"/>
  <c r="FI48" i="14"/>
  <c r="EP48" i="14"/>
  <c r="EJ48" i="14"/>
  <c r="ES43" i="14"/>
  <c r="FC43" i="14"/>
  <c r="EI43" i="14"/>
  <c r="EJ43" i="14"/>
  <c r="EN43" i="14"/>
  <c r="GY43" i="14"/>
  <c r="EO43" i="14"/>
  <c r="GZ43" i="14"/>
  <c r="EB43" i="14"/>
  <c r="EC43" i="14"/>
  <c r="EP43" i="14"/>
  <c r="EK43" i="14"/>
  <c r="GV52" i="14"/>
  <c r="EX42" i="14"/>
  <c r="HD52" i="14"/>
  <c r="HS27" i="14"/>
  <c r="HS52" i="14"/>
  <c r="HY24" i="14"/>
  <c r="HN42" i="14"/>
  <c r="GD42" i="14"/>
  <c r="GV27" i="14"/>
  <c r="HN52" i="14"/>
  <c r="GD27" i="14"/>
  <c r="EY52" i="14"/>
  <c r="HE52" i="14"/>
  <c r="GX27" i="14"/>
  <c r="GZ27" i="14" s="1"/>
  <c r="HY42" i="14"/>
  <c r="HT52" i="14"/>
  <c r="ET42" i="14"/>
  <c r="GB42" i="14"/>
  <c r="GM42" i="14"/>
  <c r="FW24" i="14"/>
  <c r="HX27" i="14"/>
  <c r="EY42" i="14"/>
  <c r="GX42" i="14"/>
  <c r="HS42" i="14"/>
  <c r="ET52" i="14"/>
  <c r="EC42" i="14"/>
  <c r="FD42" i="14"/>
  <c r="GV42" i="14"/>
  <c r="HT42" i="14"/>
  <c r="FX52" i="14"/>
  <c r="GM27" i="14"/>
  <c r="FW42" i="14"/>
  <c r="HX42" i="14"/>
  <c r="EK24" i="14"/>
  <c r="EN24" i="14" s="1"/>
  <c r="HJ24" i="14"/>
  <c r="EP42" i="14"/>
  <c r="FJ42" i="14"/>
  <c r="GW42" i="14"/>
  <c r="ES52" i="14"/>
  <c r="EK52" i="14"/>
  <c r="EN52" i="14" s="1"/>
  <c r="FD52" i="14"/>
  <c r="GZ52" i="14"/>
  <c r="GY52" i="14"/>
  <c r="EI52" i="14"/>
  <c r="GN52" i="14"/>
  <c r="EB52" i="14"/>
  <c r="EJ52" i="14"/>
  <c r="EP52" i="14"/>
  <c r="EB42" i="14"/>
  <c r="HY27" i="14"/>
  <c r="GX24" i="14"/>
  <c r="HX24" i="14"/>
  <c r="EY27" i="14"/>
  <c r="GC27" i="14"/>
  <c r="HD27" i="14"/>
  <c r="HO27" i="14"/>
  <c r="ES42" i="14"/>
  <c r="HT24" i="14"/>
  <c r="GW27" i="14"/>
  <c r="GY27" i="14" s="1"/>
  <c r="FC27" i="14"/>
  <c r="FW27" i="14"/>
  <c r="FI42" i="14"/>
  <c r="EK42" i="14"/>
  <c r="EN42" i="14" s="1"/>
  <c r="FC42" i="14"/>
  <c r="EA42" i="14"/>
  <c r="ED42" i="14" s="1"/>
  <c r="GN42" i="14"/>
  <c r="HD42" i="14"/>
  <c r="EF42" i="14"/>
  <c r="EI42" i="14" s="1"/>
  <c r="HE27" i="14"/>
  <c r="HS24" i="14"/>
  <c r="HI24" i="14"/>
  <c r="ET27" i="14"/>
  <c r="GB27" i="14"/>
  <c r="HN27" i="14"/>
  <c r="FI27" i="14"/>
  <c r="EX24" i="14"/>
  <c r="GD24" i="14"/>
  <c r="FJ27" i="14"/>
  <c r="FD24" i="14"/>
  <c r="FX24" i="14"/>
  <c r="EO24" i="14"/>
  <c r="EX27" i="14"/>
  <c r="EF27" i="14"/>
  <c r="EJ27" i="14" s="1"/>
  <c r="FD27" i="14"/>
  <c r="GC24" i="14"/>
  <c r="HO24" i="14"/>
  <c r="EP27" i="14"/>
  <c r="GN27" i="14"/>
  <c r="EB27" i="14"/>
  <c r="EC27" i="14"/>
  <c r="EK27" i="14"/>
  <c r="EN27" i="14" s="1"/>
  <c r="EP24" i="14"/>
  <c r="FI24" i="14"/>
  <c r="GB24" i="14"/>
  <c r="GW24" i="14"/>
  <c r="HN24" i="14"/>
  <c r="GV24" i="14"/>
  <c r="EF24" i="14"/>
  <c r="EI24" i="14" s="1"/>
  <c r="EY24" i="14"/>
  <c r="ET24" i="14"/>
  <c r="HE24" i="14"/>
  <c r="EB24" i="14"/>
  <c r="FC24" i="14"/>
  <c r="GM24" i="14"/>
  <c r="GN24" i="14"/>
  <c r="EC24" i="14"/>
  <c r="FJ24" i="14"/>
  <c r="HI37" i="14"/>
  <c r="ES37" i="14"/>
  <c r="IO14" i="14"/>
  <c r="IN14" i="14"/>
  <c r="IM14" i="14"/>
  <c r="IL14" i="14"/>
  <c r="IK14" i="14"/>
  <c r="IJ14" i="14"/>
  <c r="II14" i="14"/>
  <c r="IH14" i="14"/>
  <c r="IG14" i="14"/>
  <c r="IF14" i="14"/>
  <c r="IE14" i="14"/>
  <c r="ID14" i="14"/>
  <c r="IC14" i="14"/>
  <c r="IB14" i="14"/>
  <c r="IA14" i="14"/>
  <c r="HZ14" i="14"/>
  <c r="HW14" i="14"/>
  <c r="HV14" i="14"/>
  <c r="HU14" i="14"/>
  <c r="HR14" i="14"/>
  <c r="HQ14" i="14"/>
  <c r="HP14" i="14"/>
  <c r="HM14" i="14"/>
  <c r="HL14" i="14"/>
  <c r="HK14" i="14"/>
  <c r="HH14" i="14"/>
  <c r="HG14" i="14"/>
  <c r="HF14" i="14"/>
  <c r="HC14" i="14"/>
  <c r="HB14" i="14"/>
  <c r="HA14" i="14"/>
  <c r="GU14" i="14"/>
  <c r="GT14" i="14"/>
  <c r="GS14" i="14"/>
  <c r="GR14" i="14"/>
  <c r="GQ14" i="14"/>
  <c r="GP14" i="14"/>
  <c r="GO14" i="14"/>
  <c r="GL14" i="14"/>
  <c r="GK14" i="14"/>
  <c r="GJ14" i="14"/>
  <c r="GI14" i="14"/>
  <c r="GH14" i="14"/>
  <c r="GG14" i="14"/>
  <c r="GF14" i="14"/>
  <c r="GE14" i="14"/>
  <c r="GA14" i="14"/>
  <c r="FZ14" i="14"/>
  <c r="FY14" i="14"/>
  <c r="FV14" i="14"/>
  <c r="FU14" i="14"/>
  <c r="FT14" i="14"/>
  <c r="FS14" i="14"/>
  <c r="FR14" i="14"/>
  <c r="FQ14" i="14"/>
  <c r="FP14" i="14"/>
  <c r="FO14" i="14"/>
  <c r="FN14" i="14"/>
  <c r="FM14" i="14"/>
  <c r="FL14" i="14"/>
  <c r="FK14" i="14"/>
  <c r="FH14" i="14"/>
  <c r="FG14" i="14"/>
  <c r="FF14" i="14"/>
  <c r="FE14" i="14"/>
  <c r="FB14" i="14"/>
  <c r="FA14" i="14"/>
  <c r="EZ14" i="14"/>
  <c r="EW14" i="14"/>
  <c r="EV14" i="14"/>
  <c r="EU14" i="14"/>
  <c r="ER14" i="14"/>
  <c r="EQ14" i="14"/>
  <c r="EM14" i="14"/>
  <c r="EL14" i="14"/>
  <c r="EH14" i="14"/>
  <c r="EG14" i="14"/>
  <c r="EE48" i="14" l="1"/>
  <c r="EA43" i="14"/>
  <c r="EE43" i="14" s="1"/>
  <c r="GZ24" i="14"/>
  <c r="GY42" i="14"/>
  <c r="GZ42" i="14"/>
  <c r="EO52" i="14"/>
  <c r="EA52" i="14"/>
  <c r="EE52" i="14" s="1"/>
  <c r="EO42" i="14"/>
  <c r="EJ42" i="14"/>
  <c r="EE42" i="14"/>
  <c r="GY24" i="14"/>
  <c r="EA24" i="14"/>
  <c r="ED24" i="14" s="1"/>
  <c r="EO27" i="14"/>
  <c r="EI27" i="14"/>
  <c r="EA27" i="14"/>
  <c r="ED27" i="14" s="1"/>
  <c r="EJ24" i="14"/>
  <c r="FI37" i="14"/>
  <c r="HJ37" i="14"/>
  <c r="GB37" i="14"/>
  <c r="HN37" i="14"/>
  <c r="GN37" i="14"/>
  <c r="HO37" i="14"/>
  <c r="ET37" i="14"/>
  <c r="GC37" i="14"/>
  <c r="HY37" i="14"/>
  <c r="GM37" i="14"/>
  <c r="EY37" i="14"/>
  <c r="EX37" i="14"/>
  <c r="FJ37" i="14"/>
  <c r="GX37" i="14"/>
  <c r="FD37" i="14"/>
  <c r="FX37" i="14"/>
  <c r="HS37" i="14"/>
  <c r="GD37" i="14"/>
  <c r="HE37" i="14"/>
  <c r="GV37" i="14"/>
  <c r="HD37" i="14"/>
  <c r="HT37" i="14"/>
  <c r="EK37" i="14"/>
  <c r="EO37" i="14" s="1"/>
  <c r="FW37" i="14"/>
  <c r="HX37" i="14"/>
  <c r="EP37" i="14"/>
  <c r="FC37" i="14"/>
  <c r="EF37" i="14"/>
  <c r="EJ37" i="14" s="1"/>
  <c r="GW37" i="14"/>
  <c r="EC37" i="14"/>
  <c r="EB37" i="14"/>
  <c r="ED43" i="14" l="1"/>
  <c r="ED52" i="14"/>
  <c r="EE24" i="14"/>
  <c r="EE27" i="14"/>
  <c r="GY37" i="14"/>
  <c r="GZ37" i="14"/>
  <c r="EN37" i="14"/>
  <c r="EA37" i="14"/>
  <c r="ED37" i="14" s="1"/>
  <c r="EI37" i="14"/>
  <c r="EE37" i="14" l="1"/>
  <c r="S18" i="13"/>
  <c r="M18" i="13"/>
  <c r="G19" i="13"/>
  <c r="S15" i="13"/>
  <c r="GL54" i="14" l="1"/>
  <c r="GL50" i="14"/>
  <c r="GL49" i="14"/>
  <c r="GL47" i="14"/>
  <c r="GL46" i="14"/>
  <c r="GL44" i="14"/>
  <c r="GL41" i="14"/>
  <c r="GL38" i="14"/>
  <c r="GL36" i="14"/>
  <c r="GL35" i="14"/>
  <c r="GL34" i="14"/>
  <c r="GL32" i="14"/>
  <c r="GL31" i="14"/>
  <c r="GL30" i="14"/>
  <c r="GL29" i="14"/>
  <c r="GL28" i="14"/>
  <c r="GL22" i="14"/>
  <c r="GL19" i="14"/>
  <c r="GL18" i="14"/>
  <c r="GL17" i="14"/>
  <c r="GL16" i="14"/>
  <c r="GL13" i="14"/>
  <c r="GK54" i="14"/>
  <c r="GK50" i="14"/>
  <c r="GK49" i="14"/>
  <c r="GK47" i="14"/>
  <c r="GK46" i="14"/>
  <c r="GK44" i="14"/>
  <c r="GK41" i="14"/>
  <c r="GK38" i="14"/>
  <c r="GK36" i="14"/>
  <c r="GK35" i="14"/>
  <c r="GK34" i="14"/>
  <c r="GK32" i="14"/>
  <c r="GK31" i="14"/>
  <c r="GK30" i="14"/>
  <c r="GK29" i="14"/>
  <c r="GK28" i="14"/>
  <c r="GK22" i="14"/>
  <c r="GK19" i="14"/>
  <c r="GK18" i="14"/>
  <c r="GK17" i="14"/>
  <c r="GK16" i="14"/>
  <c r="GK13" i="14"/>
  <c r="FV54" i="14"/>
  <c r="FV50" i="14"/>
  <c r="FV49" i="14"/>
  <c r="FV47" i="14"/>
  <c r="FV46" i="14"/>
  <c r="FV44" i="14"/>
  <c r="FV41" i="14"/>
  <c r="FV38" i="14"/>
  <c r="FV36" i="14"/>
  <c r="FV35" i="14"/>
  <c r="FV34" i="14"/>
  <c r="FV32" i="14"/>
  <c r="FV31" i="14"/>
  <c r="FV30" i="14"/>
  <c r="FV29" i="14"/>
  <c r="FV28" i="14"/>
  <c r="FV22" i="14"/>
  <c r="FV19" i="14"/>
  <c r="FV18" i="14"/>
  <c r="FV17" i="14"/>
  <c r="FV16" i="14"/>
  <c r="FV13" i="14"/>
  <c r="FU54" i="14"/>
  <c r="FU50" i="14"/>
  <c r="FU49" i="14"/>
  <c r="FU47" i="14"/>
  <c r="FU46" i="14"/>
  <c r="FU44" i="14"/>
  <c r="FU41" i="14"/>
  <c r="FU38" i="14"/>
  <c r="FU36" i="14"/>
  <c r="FU35" i="14"/>
  <c r="FU34" i="14"/>
  <c r="FU32" i="14"/>
  <c r="FU31" i="14"/>
  <c r="FU30" i="14"/>
  <c r="FU29" i="14"/>
  <c r="FU28" i="14"/>
  <c r="FU22" i="14"/>
  <c r="FU19" i="14"/>
  <c r="FU18" i="14"/>
  <c r="FU17" i="14"/>
  <c r="FU16" i="14"/>
  <c r="FU13" i="14"/>
  <c r="FO54" i="14"/>
  <c r="FO50" i="14"/>
  <c r="FO49" i="14"/>
  <c r="FO47" i="14"/>
  <c r="FO46" i="14"/>
  <c r="FO44" i="14"/>
  <c r="FO41" i="14"/>
  <c r="FO38" i="14"/>
  <c r="FO36" i="14"/>
  <c r="FO35" i="14"/>
  <c r="FO34" i="14"/>
  <c r="FO32" i="14"/>
  <c r="FO31" i="14"/>
  <c r="FO30" i="14"/>
  <c r="FO29" i="14"/>
  <c r="FO28" i="14"/>
  <c r="FO22" i="14"/>
  <c r="FO19" i="14"/>
  <c r="FO18" i="14"/>
  <c r="FO17" i="14"/>
  <c r="FO16" i="14"/>
  <c r="FO13" i="14"/>
  <c r="HW54" i="14"/>
  <c r="HW50" i="14"/>
  <c r="HW49" i="14"/>
  <c r="HW47" i="14"/>
  <c r="HW46" i="14"/>
  <c r="HW44" i="14"/>
  <c r="HW41" i="14"/>
  <c r="HW38" i="14"/>
  <c r="HW36" i="14"/>
  <c r="HW35" i="14"/>
  <c r="HW34" i="14"/>
  <c r="HW32" i="14"/>
  <c r="HW31" i="14"/>
  <c r="HW30" i="14"/>
  <c r="HW29" i="14"/>
  <c r="HW28" i="14"/>
  <c r="HW22" i="14"/>
  <c r="HW19" i="14"/>
  <c r="HW18" i="14"/>
  <c r="HW17" i="14"/>
  <c r="HW16" i="14"/>
  <c r="HW13" i="14"/>
  <c r="HV54" i="14"/>
  <c r="HV50" i="14"/>
  <c r="HV49" i="14"/>
  <c r="HV47" i="14"/>
  <c r="HV46" i="14"/>
  <c r="HV44" i="14"/>
  <c r="HV41" i="14"/>
  <c r="HV38" i="14"/>
  <c r="HV36" i="14"/>
  <c r="HV35" i="14"/>
  <c r="HV34" i="14"/>
  <c r="HV32" i="14"/>
  <c r="HV31" i="14"/>
  <c r="HV30" i="14"/>
  <c r="HV29" i="14"/>
  <c r="HV28" i="14"/>
  <c r="HV22" i="14"/>
  <c r="HV19" i="14"/>
  <c r="HV18" i="14"/>
  <c r="HV17" i="14"/>
  <c r="HV16" i="14"/>
  <c r="HV13" i="14"/>
  <c r="HR54" i="14"/>
  <c r="HR50" i="14"/>
  <c r="HR49" i="14"/>
  <c r="HR47" i="14"/>
  <c r="HR46" i="14"/>
  <c r="HR44" i="14"/>
  <c r="HR41" i="14"/>
  <c r="HR38" i="14"/>
  <c r="HR36" i="14"/>
  <c r="HR35" i="14"/>
  <c r="HR34" i="14"/>
  <c r="HR32" i="14"/>
  <c r="HR31" i="14"/>
  <c r="HR30" i="14"/>
  <c r="HR29" i="14"/>
  <c r="HR28" i="14"/>
  <c r="HR22" i="14"/>
  <c r="HR19" i="14"/>
  <c r="HR18" i="14"/>
  <c r="HR17" i="14"/>
  <c r="HR16" i="14"/>
  <c r="HR13" i="14"/>
  <c r="HQ54" i="14"/>
  <c r="HQ50" i="14"/>
  <c r="HQ49" i="14"/>
  <c r="HQ47" i="14"/>
  <c r="HQ46" i="14"/>
  <c r="HQ44" i="14"/>
  <c r="HQ41" i="14"/>
  <c r="HQ38" i="14"/>
  <c r="HQ36" i="14"/>
  <c r="HQ35" i="14"/>
  <c r="HQ34" i="14"/>
  <c r="HQ32" i="14"/>
  <c r="HQ31" i="14"/>
  <c r="HQ30" i="14"/>
  <c r="HQ29" i="14"/>
  <c r="HQ28" i="14"/>
  <c r="HQ22" i="14"/>
  <c r="HQ19" i="14"/>
  <c r="HQ18" i="14"/>
  <c r="HQ17" i="14"/>
  <c r="HQ16" i="14"/>
  <c r="HQ13" i="14"/>
  <c r="HM54" i="14"/>
  <c r="HM50" i="14"/>
  <c r="HM49" i="14"/>
  <c r="HM47" i="14"/>
  <c r="HM46" i="14"/>
  <c r="HM44" i="14"/>
  <c r="HM41" i="14"/>
  <c r="HM38" i="14"/>
  <c r="HM36" i="14"/>
  <c r="HM35" i="14"/>
  <c r="HM34" i="14"/>
  <c r="HM32" i="14"/>
  <c r="HM31" i="14"/>
  <c r="HM30" i="14"/>
  <c r="HM29" i="14"/>
  <c r="HM28" i="14"/>
  <c r="HM22" i="14"/>
  <c r="HM19" i="14"/>
  <c r="HM18" i="14"/>
  <c r="HM17" i="14"/>
  <c r="HM16" i="14"/>
  <c r="HM13" i="14"/>
  <c r="HL54" i="14"/>
  <c r="HL50" i="14"/>
  <c r="HL49" i="14"/>
  <c r="HL47" i="14"/>
  <c r="HL46" i="14"/>
  <c r="HL44" i="14"/>
  <c r="HL41" i="14"/>
  <c r="HL38" i="14"/>
  <c r="HL36" i="14"/>
  <c r="HL35" i="14"/>
  <c r="HL34" i="14"/>
  <c r="HL32" i="14"/>
  <c r="HL31" i="14"/>
  <c r="HL30" i="14"/>
  <c r="HL29" i="14"/>
  <c r="HL28" i="14"/>
  <c r="HL22" i="14"/>
  <c r="HL19" i="14"/>
  <c r="HL18" i="14"/>
  <c r="HL17" i="14"/>
  <c r="HL16" i="14"/>
  <c r="HL13" i="14"/>
  <c r="HH54" i="14"/>
  <c r="HH50" i="14"/>
  <c r="HH49" i="14"/>
  <c r="HH47" i="14"/>
  <c r="HH46" i="14"/>
  <c r="HH44" i="14"/>
  <c r="HH41" i="14"/>
  <c r="HH38" i="14"/>
  <c r="HH36" i="14"/>
  <c r="HH35" i="14"/>
  <c r="HH34" i="14"/>
  <c r="HH32" i="14"/>
  <c r="HH31" i="14"/>
  <c r="HH30" i="14"/>
  <c r="HH29" i="14"/>
  <c r="HH28" i="14"/>
  <c r="HH22" i="14"/>
  <c r="HH19" i="14"/>
  <c r="HH18" i="14"/>
  <c r="HH17" i="14"/>
  <c r="HH16" i="14"/>
  <c r="HH13" i="14"/>
  <c r="HI56" i="14"/>
  <c r="HI55" i="14"/>
  <c r="HG54" i="14"/>
  <c r="HI54" i="14" s="1"/>
  <c r="HI53" i="14"/>
  <c r="HI51" i="14"/>
  <c r="HG50" i="14"/>
  <c r="HI50" i="14" s="1"/>
  <c r="HG49" i="14"/>
  <c r="HI49" i="14" s="1"/>
  <c r="HG47" i="14"/>
  <c r="HI47" i="14" s="1"/>
  <c r="HG46" i="14"/>
  <c r="HI46" i="14" s="1"/>
  <c r="HI45" i="14"/>
  <c r="HG44" i="14"/>
  <c r="HI44" i="14" s="1"/>
  <c r="HG41" i="14"/>
  <c r="HI41" i="14" s="1"/>
  <c r="HG38" i="14"/>
  <c r="HI38" i="14" s="1"/>
  <c r="HG36" i="14"/>
  <c r="HI36" i="14" s="1"/>
  <c r="HG35" i="14"/>
  <c r="HI35" i="14" s="1"/>
  <c r="HG34" i="14"/>
  <c r="HI34" i="14" s="1"/>
  <c r="HI33" i="14"/>
  <c r="HG32" i="14"/>
  <c r="HI32" i="14" s="1"/>
  <c r="HG31" i="14"/>
  <c r="HI31" i="14" s="1"/>
  <c r="HG30" i="14"/>
  <c r="HI30" i="14" s="1"/>
  <c r="HG29" i="14"/>
  <c r="HI29" i="14" s="1"/>
  <c r="HG28" i="14"/>
  <c r="HI28" i="14" s="1"/>
  <c r="HI23" i="14"/>
  <c r="HG22" i="14"/>
  <c r="HI22" i="14" s="1"/>
  <c r="HI21" i="14"/>
  <c r="HI20" i="14"/>
  <c r="HG19" i="14"/>
  <c r="HI19" i="14" s="1"/>
  <c r="HG18" i="14"/>
  <c r="HI18" i="14" s="1"/>
  <c r="HG17" i="14"/>
  <c r="HI17" i="14" s="1"/>
  <c r="HG16" i="14"/>
  <c r="HI16" i="14" s="1"/>
  <c r="HI15" i="14"/>
  <c r="HI14" i="14"/>
  <c r="HG13" i="14"/>
  <c r="HI13" i="14" s="1"/>
  <c r="HU54" i="14"/>
  <c r="HU50" i="14"/>
  <c r="HX50" i="14" s="1"/>
  <c r="HU49" i="14"/>
  <c r="HU47" i="14"/>
  <c r="HU46" i="14"/>
  <c r="HU44" i="14"/>
  <c r="HU41" i="14"/>
  <c r="HU38" i="14"/>
  <c r="HU36" i="14"/>
  <c r="HU35" i="14"/>
  <c r="HU34" i="14"/>
  <c r="HU32" i="14"/>
  <c r="HU31" i="14"/>
  <c r="HU30" i="14"/>
  <c r="HU29" i="14"/>
  <c r="HU28" i="14"/>
  <c r="HU22" i="14"/>
  <c r="HU19" i="14"/>
  <c r="HU18" i="14"/>
  <c r="HU17" i="14"/>
  <c r="HU16" i="14"/>
  <c r="HU13" i="14"/>
  <c r="HC54" i="14"/>
  <c r="HC50" i="14"/>
  <c r="HC49" i="14"/>
  <c r="HC47" i="14"/>
  <c r="HC46" i="14"/>
  <c r="HC44" i="14"/>
  <c r="HC41" i="14"/>
  <c r="HC38" i="14"/>
  <c r="HC36" i="14"/>
  <c r="HC35" i="14"/>
  <c r="HC34" i="14"/>
  <c r="HC32" i="14"/>
  <c r="HC31" i="14"/>
  <c r="HC30" i="14"/>
  <c r="HC29" i="14"/>
  <c r="HC28" i="14"/>
  <c r="HC22" i="14"/>
  <c r="HC19" i="14"/>
  <c r="HC18" i="14"/>
  <c r="HC17" i="14"/>
  <c r="HC16" i="14"/>
  <c r="HC13" i="14"/>
  <c r="HB54" i="14"/>
  <c r="HB49" i="14"/>
  <c r="HB22" i="14"/>
  <c r="HB18" i="14"/>
  <c r="HB50" i="14"/>
  <c r="HB47" i="14"/>
  <c r="HB46" i="14"/>
  <c r="HB44" i="14"/>
  <c r="HB41" i="14"/>
  <c r="HB38" i="14"/>
  <c r="HB36" i="14"/>
  <c r="HB35" i="14"/>
  <c r="HB34" i="14"/>
  <c r="HB32" i="14"/>
  <c r="HB31" i="14"/>
  <c r="HB30" i="14"/>
  <c r="HB29" i="14"/>
  <c r="HB28" i="14"/>
  <c r="HB19" i="14"/>
  <c r="HB17" i="14"/>
  <c r="HB16" i="14"/>
  <c r="HB13" i="14"/>
  <c r="HO55" i="14"/>
  <c r="IO54" i="14"/>
  <c r="IN54" i="14"/>
  <c r="IM54" i="14"/>
  <c r="IL54" i="14"/>
  <c r="IK54" i="14"/>
  <c r="IJ54" i="14"/>
  <c r="II54" i="14"/>
  <c r="IH54" i="14"/>
  <c r="IG54" i="14"/>
  <c r="IF54" i="14"/>
  <c r="IE54" i="14"/>
  <c r="ID54" i="14"/>
  <c r="IC54" i="14"/>
  <c r="IB54" i="14"/>
  <c r="IA54" i="14"/>
  <c r="HZ54" i="14"/>
  <c r="HP54" i="14"/>
  <c r="HT54" i="14" s="1"/>
  <c r="HK54" i="14"/>
  <c r="HF54" i="14"/>
  <c r="HA54" i="14"/>
  <c r="GU54" i="14"/>
  <c r="GT54" i="14"/>
  <c r="GS54" i="14"/>
  <c r="GR54" i="14"/>
  <c r="GQ54" i="14"/>
  <c r="GP54" i="14"/>
  <c r="GO54" i="14"/>
  <c r="GJ54" i="14"/>
  <c r="GI54" i="14"/>
  <c r="GH54" i="14"/>
  <c r="GG54" i="14"/>
  <c r="GF54" i="14"/>
  <c r="GE54" i="14"/>
  <c r="GA54" i="14"/>
  <c r="FZ54" i="14"/>
  <c r="FY54" i="14"/>
  <c r="FT54" i="14"/>
  <c r="FS54" i="14"/>
  <c r="FR54" i="14"/>
  <c r="FQ54" i="14"/>
  <c r="FP54" i="14"/>
  <c r="FN54" i="14"/>
  <c r="FM54" i="14"/>
  <c r="FL54" i="14"/>
  <c r="FK54" i="14"/>
  <c r="FH54" i="14"/>
  <c r="FG54" i="14"/>
  <c r="FF54" i="14"/>
  <c r="FE54" i="14"/>
  <c r="FB54" i="14"/>
  <c r="FA54" i="14"/>
  <c r="EZ54" i="14"/>
  <c r="EW54" i="14"/>
  <c r="EV54" i="14"/>
  <c r="EU54" i="14"/>
  <c r="ER54" i="14"/>
  <c r="EQ54" i="14"/>
  <c r="EM54" i="14"/>
  <c r="EL54" i="14"/>
  <c r="EH54" i="14"/>
  <c r="EG54" i="14"/>
  <c r="HT51" i="14"/>
  <c r="IO50" i="14"/>
  <c r="IN50" i="14"/>
  <c r="IM50" i="14"/>
  <c r="IL50" i="14"/>
  <c r="IK50" i="14"/>
  <c r="IJ50" i="14"/>
  <c r="II50" i="14"/>
  <c r="IH50" i="14"/>
  <c r="IG50" i="14"/>
  <c r="IF50" i="14"/>
  <c r="IE50" i="14"/>
  <c r="ID50" i="14"/>
  <c r="IC50" i="14"/>
  <c r="IB50" i="14"/>
  <c r="IA50" i="14"/>
  <c r="HZ50" i="14"/>
  <c r="HP50" i="14"/>
  <c r="HS50" i="14" s="1"/>
  <c r="HK50" i="14"/>
  <c r="HO50" i="14" s="1"/>
  <c r="HF50" i="14"/>
  <c r="HA50" i="14"/>
  <c r="GU50" i="14"/>
  <c r="GT50" i="14"/>
  <c r="GS50" i="14"/>
  <c r="GR50" i="14"/>
  <c r="GQ50" i="14"/>
  <c r="GP50" i="14"/>
  <c r="GO50" i="14"/>
  <c r="GJ50" i="14"/>
  <c r="GI50" i="14"/>
  <c r="GH50" i="14"/>
  <c r="GG50" i="14"/>
  <c r="GF50" i="14"/>
  <c r="GE50" i="14"/>
  <c r="GA50" i="14"/>
  <c r="FZ50" i="14"/>
  <c r="FY50" i="14"/>
  <c r="FT50" i="14"/>
  <c r="FS50" i="14"/>
  <c r="FR50" i="14"/>
  <c r="FQ50" i="14"/>
  <c r="FP50" i="14"/>
  <c r="FN50" i="14"/>
  <c r="FM50" i="14"/>
  <c r="FL50" i="14"/>
  <c r="FK50" i="14"/>
  <c r="FH50" i="14"/>
  <c r="FG50" i="14"/>
  <c r="FF50" i="14"/>
  <c r="FE50" i="14"/>
  <c r="FB50" i="14"/>
  <c r="FA50" i="14"/>
  <c r="EZ50" i="14"/>
  <c r="EW50" i="14"/>
  <c r="EV50" i="14"/>
  <c r="EU50" i="14"/>
  <c r="ER50" i="14"/>
  <c r="EQ50" i="14"/>
  <c r="EM50" i="14"/>
  <c r="EL50" i="14"/>
  <c r="EH50" i="14"/>
  <c r="EG50" i="14"/>
  <c r="IO49" i="14"/>
  <c r="IN49" i="14"/>
  <c r="IM49" i="14"/>
  <c r="IL49" i="14"/>
  <c r="IK49" i="14"/>
  <c r="IJ49" i="14"/>
  <c r="II49" i="14"/>
  <c r="IH49" i="14"/>
  <c r="IG49" i="14"/>
  <c r="IF49" i="14"/>
  <c r="IE49" i="14"/>
  <c r="ID49" i="14"/>
  <c r="IC49" i="14"/>
  <c r="IB49" i="14"/>
  <c r="IA49" i="14"/>
  <c r="HZ49" i="14"/>
  <c r="HP49" i="14"/>
  <c r="HT49" i="14" s="1"/>
  <c r="HK49" i="14"/>
  <c r="HO49" i="14" s="1"/>
  <c r="HF49" i="14"/>
  <c r="HA49" i="14"/>
  <c r="GU49" i="14"/>
  <c r="GT49" i="14"/>
  <c r="GS49" i="14"/>
  <c r="GR49" i="14"/>
  <c r="GQ49" i="14"/>
  <c r="GP49" i="14"/>
  <c r="GO49" i="14"/>
  <c r="GJ49" i="14"/>
  <c r="GI49" i="14"/>
  <c r="GH49" i="14"/>
  <c r="GG49" i="14"/>
  <c r="GF49" i="14"/>
  <c r="GE49" i="14"/>
  <c r="GA49" i="14"/>
  <c r="FZ49" i="14"/>
  <c r="FY49" i="14"/>
  <c r="FT49" i="14"/>
  <c r="FS49" i="14"/>
  <c r="FR49" i="14"/>
  <c r="FQ49" i="14"/>
  <c r="FP49" i="14"/>
  <c r="FN49" i="14"/>
  <c r="FM49" i="14"/>
  <c r="FL49" i="14"/>
  <c r="FK49" i="14"/>
  <c r="FH49" i="14"/>
  <c r="FG49" i="14"/>
  <c r="FF49" i="14"/>
  <c r="FE49" i="14"/>
  <c r="FB49" i="14"/>
  <c r="FA49" i="14"/>
  <c r="EZ49" i="14"/>
  <c r="EW49" i="14"/>
  <c r="EV49" i="14"/>
  <c r="EU49" i="14"/>
  <c r="ER49" i="14"/>
  <c r="EQ49" i="14"/>
  <c r="EM49" i="14"/>
  <c r="EL49" i="14"/>
  <c r="EH49" i="14"/>
  <c r="EG49" i="14"/>
  <c r="IO47" i="14"/>
  <c r="IN47" i="14"/>
  <c r="IM47" i="14"/>
  <c r="IL47" i="14"/>
  <c r="IK47" i="14"/>
  <c r="IJ47" i="14"/>
  <c r="II47" i="14"/>
  <c r="IH47" i="14"/>
  <c r="IG47" i="14"/>
  <c r="IF47" i="14"/>
  <c r="IE47" i="14"/>
  <c r="ID47" i="14"/>
  <c r="IC47" i="14"/>
  <c r="IB47" i="14"/>
  <c r="IA47" i="14"/>
  <c r="HZ47" i="14"/>
  <c r="HP47" i="14"/>
  <c r="HS47" i="14" s="1"/>
  <c r="HK47" i="14"/>
  <c r="HF47" i="14"/>
  <c r="HA47" i="14"/>
  <c r="GU47" i="14"/>
  <c r="GT47" i="14"/>
  <c r="GS47" i="14"/>
  <c r="GR47" i="14"/>
  <c r="GQ47" i="14"/>
  <c r="GP47" i="14"/>
  <c r="GO47" i="14"/>
  <c r="GJ47" i="14"/>
  <c r="GI47" i="14"/>
  <c r="GH47" i="14"/>
  <c r="GG47" i="14"/>
  <c r="GF47" i="14"/>
  <c r="GE47" i="14"/>
  <c r="GA47" i="14"/>
  <c r="FZ47" i="14"/>
  <c r="FY47" i="14"/>
  <c r="FT47" i="14"/>
  <c r="FS47" i="14"/>
  <c r="FR47" i="14"/>
  <c r="FQ47" i="14"/>
  <c r="FP47" i="14"/>
  <c r="FN47" i="14"/>
  <c r="FM47" i="14"/>
  <c r="FL47" i="14"/>
  <c r="FK47" i="14"/>
  <c r="FH47" i="14"/>
  <c r="FG47" i="14"/>
  <c r="FF47" i="14"/>
  <c r="FE47" i="14"/>
  <c r="FB47" i="14"/>
  <c r="FA47" i="14"/>
  <c r="EZ47" i="14"/>
  <c r="EW47" i="14"/>
  <c r="EV47" i="14"/>
  <c r="EU47" i="14"/>
  <c r="ER47" i="14"/>
  <c r="EQ47" i="14"/>
  <c r="EM47" i="14"/>
  <c r="EL47" i="14"/>
  <c r="EH47" i="14"/>
  <c r="EG47" i="14"/>
  <c r="IO46" i="14"/>
  <c r="IN46" i="14"/>
  <c r="IM46" i="14"/>
  <c r="IL46" i="14"/>
  <c r="IK46" i="14"/>
  <c r="IJ46" i="14"/>
  <c r="II46" i="14"/>
  <c r="IH46" i="14"/>
  <c r="IG46" i="14"/>
  <c r="IF46" i="14"/>
  <c r="IE46" i="14"/>
  <c r="ID46" i="14"/>
  <c r="IC46" i="14"/>
  <c r="IB46" i="14"/>
  <c r="IA46" i="14"/>
  <c r="HZ46" i="14"/>
  <c r="HP46" i="14"/>
  <c r="HT46" i="14" s="1"/>
  <c r="HK46" i="14"/>
  <c r="HF46" i="14"/>
  <c r="HA46" i="14"/>
  <c r="GU46" i="14"/>
  <c r="GT46" i="14"/>
  <c r="GS46" i="14"/>
  <c r="GR46" i="14"/>
  <c r="GQ46" i="14"/>
  <c r="GP46" i="14"/>
  <c r="GO46" i="14"/>
  <c r="GJ46" i="14"/>
  <c r="GI46" i="14"/>
  <c r="GH46" i="14"/>
  <c r="GG46" i="14"/>
  <c r="GF46" i="14"/>
  <c r="GE46" i="14"/>
  <c r="GA46" i="14"/>
  <c r="FZ46" i="14"/>
  <c r="FY46" i="14"/>
  <c r="FT46" i="14"/>
  <c r="FS46" i="14"/>
  <c r="FR46" i="14"/>
  <c r="FQ46" i="14"/>
  <c r="FP46" i="14"/>
  <c r="FN46" i="14"/>
  <c r="FM46" i="14"/>
  <c r="FL46" i="14"/>
  <c r="FK46" i="14"/>
  <c r="FH46" i="14"/>
  <c r="FG46" i="14"/>
  <c r="FF46" i="14"/>
  <c r="FE46" i="14"/>
  <c r="FB46" i="14"/>
  <c r="FA46" i="14"/>
  <c r="EZ46" i="14"/>
  <c r="EW46" i="14"/>
  <c r="EV46" i="14"/>
  <c r="EU46" i="14"/>
  <c r="ER46" i="14"/>
  <c r="EQ46" i="14"/>
  <c r="EM46" i="14"/>
  <c r="EL46" i="14"/>
  <c r="EH46" i="14"/>
  <c r="EG46" i="14"/>
  <c r="HT45" i="14"/>
  <c r="HO45" i="14"/>
  <c r="IO44" i="14"/>
  <c r="IN44" i="14"/>
  <c r="IM44" i="14"/>
  <c r="IL44" i="14"/>
  <c r="IK44" i="14"/>
  <c r="IJ44" i="14"/>
  <c r="II44" i="14"/>
  <c r="IH44" i="14"/>
  <c r="IG44" i="14"/>
  <c r="IF44" i="14"/>
  <c r="IE44" i="14"/>
  <c r="ID44" i="14"/>
  <c r="IC44" i="14"/>
  <c r="IB44" i="14"/>
  <c r="IA44" i="14"/>
  <c r="HZ44" i="14"/>
  <c r="HP44" i="14"/>
  <c r="HS44" i="14" s="1"/>
  <c r="HK44" i="14"/>
  <c r="HF44" i="14"/>
  <c r="HA44" i="14"/>
  <c r="HD44" i="14" s="1"/>
  <c r="GU44" i="14"/>
  <c r="GT44" i="14"/>
  <c r="GS44" i="14"/>
  <c r="GR44" i="14"/>
  <c r="GQ44" i="14"/>
  <c r="GP44" i="14"/>
  <c r="GO44" i="14"/>
  <c r="GJ44" i="14"/>
  <c r="GI44" i="14"/>
  <c r="GH44" i="14"/>
  <c r="GG44" i="14"/>
  <c r="GF44" i="14"/>
  <c r="GE44" i="14"/>
  <c r="GA44" i="14"/>
  <c r="FZ44" i="14"/>
  <c r="FY44" i="14"/>
  <c r="FT44" i="14"/>
  <c r="FS44" i="14"/>
  <c r="FR44" i="14"/>
  <c r="FQ44" i="14"/>
  <c r="FP44" i="14"/>
  <c r="FN44" i="14"/>
  <c r="FM44" i="14"/>
  <c r="FL44" i="14"/>
  <c r="FK44" i="14"/>
  <c r="FH44" i="14"/>
  <c r="FG44" i="14"/>
  <c r="FF44" i="14"/>
  <c r="FE44" i="14"/>
  <c r="FB44" i="14"/>
  <c r="FA44" i="14"/>
  <c r="EZ44" i="14"/>
  <c r="EW44" i="14"/>
  <c r="EV44" i="14"/>
  <c r="EU44" i="14"/>
  <c r="ER44" i="14"/>
  <c r="EQ44" i="14"/>
  <c r="EM44" i="14"/>
  <c r="EL44" i="14"/>
  <c r="EH44" i="14"/>
  <c r="EG44" i="14"/>
  <c r="IO41" i="14"/>
  <c r="IN41" i="14"/>
  <c r="IM41" i="14"/>
  <c r="IL41" i="14"/>
  <c r="IK41" i="14"/>
  <c r="IJ41" i="14"/>
  <c r="II41" i="14"/>
  <c r="IH41" i="14"/>
  <c r="IG41" i="14"/>
  <c r="IF41" i="14"/>
  <c r="IE41" i="14"/>
  <c r="ID41" i="14"/>
  <c r="IC41" i="14"/>
  <c r="IB41" i="14"/>
  <c r="IA41" i="14"/>
  <c r="HZ41" i="14"/>
  <c r="HP41" i="14"/>
  <c r="HT41" i="14" s="1"/>
  <c r="HK41" i="14"/>
  <c r="HF41" i="14"/>
  <c r="HA41" i="14"/>
  <c r="GU41" i="14"/>
  <c r="GT41" i="14"/>
  <c r="GS41" i="14"/>
  <c r="GR41" i="14"/>
  <c r="GQ41" i="14"/>
  <c r="GP41" i="14"/>
  <c r="GO41" i="14"/>
  <c r="GJ41" i="14"/>
  <c r="GI41" i="14"/>
  <c r="GH41" i="14"/>
  <c r="GG41" i="14"/>
  <c r="GF41" i="14"/>
  <c r="GE41" i="14"/>
  <c r="GA41" i="14"/>
  <c r="FZ41" i="14"/>
  <c r="FY41" i="14"/>
  <c r="FV4" i="14"/>
  <c r="FT41" i="14"/>
  <c r="FS41" i="14"/>
  <c r="FR41" i="14"/>
  <c r="FQ41" i="14"/>
  <c r="FP41" i="14"/>
  <c r="FN41" i="14"/>
  <c r="FM41" i="14"/>
  <c r="FL41" i="14"/>
  <c r="FK41" i="14"/>
  <c r="FH41" i="14"/>
  <c r="FG41" i="14"/>
  <c r="FF41" i="14"/>
  <c r="FE41" i="14"/>
  <c r="FB41" i="14"/>
  <c r="FA41" i="14"/>
  <c r="EZ41" i="14"/>
  <c r="EW41" i="14"/>
  <c r="EV41" i="14"/>
  <c r="EU41" i="14"/>
  <c r="ER41" i="14"/>
  <c r="EQ41" i="14"/>
  <c r="EM41" i="14"/>
  <c r="EL41" i="14"/>
  <c r="EH41" i="14"/>
  <c r="EG41" i="14"/>
  <c r="IO38" i="14"/>
  <c r="IN38" i="14"/>
  <c r="IM38" i="14"/>
  <c r="IL38" i="14"/>
  <c r="IK38" i="14"/>
  <c r="IJ38" i="14"/>
  <c r="II38" i="14"/>
  <c r="IH38" i="14"/>
  <c r="IG38" i="14"/>
  <c r="IF38" i="14"/>
  <c r="IE38" i="14"/>
  <c r="ID38" i="14"/>
  <c r="IC38" i="14"/>
  <c r="IB38" i="14"/>
  <c r="IA38" i="14"/>
  <c r="HZ38" i="14"/>
  <c r="HP38" i="14"/>
  <c r="HT38" i="14" s="1"/>
  <c r="HK38" i="14"/>
  <c r="HF38" i="14"/>
  <c r="HA38" i="14"/>
  <c r="GU38" i="14"/>
  <c r="GT38" i="14"/>
  <c r="GS38" i="14"/>
  <c r="GR38" i="14"/>
  <c r="GQ38" i="14"/>
  <c r="GP38" i="14"/>
  <c r="GO38" i="14"/>
  <c r="GJ38" i="14"/>
  <c r="GI38" i="14"/>
  <c r="GH38" i="14"/>
  <c r="GG38" i="14"/>
  <c r="GF38" i="14"/>
  <c r="GE38" i="14"/>
  <c r="GA38" i="14"/>
  <c r="FZ38" i="14"/>
  <c r="FY38" i="14"/>
  <c r="FT38" i="14"/>
  <c r="FS38" i="14"/>
  <c r="FR38" i="14"/>
  <c r="FQ38" i="14"/>
  <c r="FP38" i="14"/>
  <c r="FN38" i="14"/>
  <c r="FM38" i="14"/>
  <c r="FL38" i="14"/>
  <c r="FK38" i="14"/>
  <c r="FH38" i="14"/>
  <c r="FG38" i="14"/>
  <c r="FF38" i="14"/>
  <c r="FE38" i="14"/>
  <c r="FB38" i="14"/>
  <c r="FA38" i="14"/>
  <c r="EZ38" i="14"/>
  <c r="EW38" i="14"/>
  <c r="EV38" i="14"/>
  <c r="EU38" i="14"/>
  <c r="ER38" i="14"/>
  <c r="EQ38" i="14"/>
  <c r="EM38" i="14"/>
  <c r="EL38" i="14"/>
  <c r="EH38" i="14"/>
  <c r="EG38" i="14"/>
  <c r="IO36" i="14"/>
  <c r="IN36" i="14"/>
  <c r="IM36" i="14"/>
  <c r="IL36" i="14"/>
  <c r="IK36" i="14"/>
  <c r="IJ36" i="14"/>
  <c r="II36" i="14"/>
  <c r="IH36" i="14"/>
  <c r="IG36" i="14"/>
  <c r="IF36" i="14"/>
  <c r="IE36" i="14"/>
  <c r="ID36" i="14"/>
  <c r="IC36" i="14"/>
  <c r="IB36" i="14"/>
  <c r="IA36" i="14"/>
  <c r="HZ36" i="14"/>
  <c r="HP36" i="14"/>
  <c r="HK36" i="14"/>
  <c r="HO36" i="14" s="1"/>
  <c r="HF36" i="14"/>
  <c r="HA36" i="14"/>
  <c r="GU36" i="14"/>
  <c r="GT36" i="14"/>
  <c r="GS36" i="14"/>
  <c r="GR36" i="14"/>
  <c r="GQ36" i="14"/>
  <c r="GP36" i="14"/>
  <c r="GO36" i="14"/>
  <c r="GJ36" i="14"/>
  <c r="GI36" i="14"/>
  <c r="GH36" i="14"/>
  <c r="GG36" i="14"/>
  <c r="GF36" i="14"/>
  <c r="GE36" i="14"/>
  <c r="GA36" i="14"/>
  <c r="FZ36" i="14"/>
  <c r="FY36" i="14"/>
  <c r="FT36" i="14"/>
  <c r="FS36" i="14"/>
  <c r="FR36" i="14"/>
  <c r="FQ36" i="14"/>
  <c r="FP36" i="14"/>
  <c r="FN36" i="14"/>
  <c r="FM36" i="14"/>
  <c r="FL36" i="14"/>
  <c r="FK36" i="14"/>
  <c r="FH36" i="14"/>
  <c r="FG36" i="14"/>
  <c r="FF36" i="14"/>
  <c r="FE36" i="14"/>
  <c r="FB36" i="14"/>
  <c r="FA36" i="14"/>
  <c r="EZ36" i="14"/>
  <c r="EW36" i="14"/>
  <c r="EV36" i="14"/>
  <c r="EU36" i="14"/>
  <c r="ER36" i="14"/>
  <c r="EQ36" i="14"/>
  <c r="EM36" i="14"/>
  <c r="EL36" i="14"/>
  <c r="EH36" i="14"/>
  <c r="EG36" i="14"/>
  <c r="IO35" i="14"/>
  <c r="IN35" i="14"/>
  <c r="IM35" i="14"/>
  <c r="IL35" i="14"/>
  <c r="IK35" i="14"/>
  <c r="IJ35" i="14"/>
  <c r="II35" i="14"/>
  <c r="IH35" i="14"/>
  <c r="IG35" i="14"/>
  <c r="IF35" i="14"/>
  <c r="IE35" i="14"/>
  <c r="ID35" i="14"/>
  <c r="IC35" i="14"/>
  <c r="IB35" i="14"/>
  <c r="IA35" i="14"/>
  <c r="HZ35" i="14"/>
  <c r="HP35" i="14"/>
  <c r="HT35" i="14" s="1"/>
  <c r="HK35" i="14"/>
  <c r="HF35" i="14"/>
  <c r="HA35" i="14"/>
  <c r="GU35" i="14"/>
  <c r="GT35" i="14"/>
  <c r="GS35" i="14"/>
  <c r="GR35" i="14"/>
  <c r="GQ35" i="14"/>
  <c r="GP35" i="14"/>
  <c r="GO35" i="14"/>
  <c r="GJ35" i="14"/>
  <c r="GI35" i="14"/>
  <c r="GH35" i="14"/>
  <c r="GG35" i="14"/>
  <c r="GF35" i="14"/>
  <c r="GE35" i="14"/>
  <c r="GA35" i="14"/>
  <c r="FZ35" i="14"/>
  <c r="FY35" i="14"/>
  <c r="FT35" i="14"/>
  <c r="FS35" i="14"/>
  <c r="FR35" i="14"/>
  <c r="FQ35" i="14"/>
  <c r="FP35" i="14"/>
  <c r="FN35" i="14"/>
  <c r="FM35" i="14"/>
  <c r="FL35" i="14"/>
  <c r="FK35" i="14"/>
  <c r="FH35" i="14"/>
  <c r="FG35" i="14"/>
  <c r="FF35" i="14"/>
  <c r="FE35" i="14"/>
  <c r="FB35" i="14"/>
  <c r="FA35" i="14"/>
  <c r="EZ35" i="14"/>
  <c r="EW35" i="14"/>
  <c r="EV35" i="14"/>
  <c r="EU35" i="14"/>
  <c r="ER35" i="14"/>
  <c r="EQ35" i="14"/>
  <c r="EM35" i="14"/>
  <c r="EL35" i="14"/>
  <c r="EH35" i="14"/>
  <c r="EG35" i="14"/>
  <c r="IO34" i="14"/>
  <c r="IN34" i="14"/>
  <c r="IM34" i="14"/>
  <c r="IL34" i="14"/>
  <c r="IK34" i="14"/>
  <c r="IJ34" i="14"/>
  <c r="II34" i="14"/>
  <c r="IH34" i="14"/>
  <c r="IG34" i="14"/>
  <c r="IF34" i="14"/>
  <c r="IE34" i="14"/>
  <c r="ID34" i="14"/>
  <c r="IC34" i="14"/>
  <c r="IB34" i="14"/>
  <c r="IA34" i="14"/>
  <c r="HZ34" i="14"/>
  <c r="HP34" i="14"/>
  <c r="HT34" i="14" s="1"/>
  <c r="HK34" i="14"/>
  <c r="HO34" i="14" s="1"/>
  <c r="HF34" i="14"/>
  <c r="HA34" i="14"/>
  <c r="GU34" i="14"/>
  <c r="GT34" i="14"/>
  <c r="GS34" i="14"/>
  <c r="GR34" i="14"/>
  <c r="GQ34" i="14"/>
  <c r="GP34" i="14"/>
  <c r="GO34" i="14"/>
  <c r="GJ34" i="14"/>
  <c r="GI34" i="14"/>
  <c r="GH34" i="14"/>
  <c r="GG34" i="14"/>
  <c r="GF34" i="14"/>
  <c r="GE34" i="14"/>
  <c r="GA34" i="14"/>
  <c r="FZ34" i="14"/>
  <c r="FY34" i="14"/>
  <c r="FT34" i="14"/>
  <c r="FS34" i="14"/>
  <c r="FR34" i="14"/>
  <c r="FQ34" i="14"/>
  <c r="FP34" i="14"/>
  <c r="FN34" i="14"/>
  <c r="FM34" i="14"/>
  <c r="FL34" i="14"/>
  <c r="FK34" i="14"/>
  <c r="FH34" i="14"/>
  <c r="FG34" i="14"/>
  <c r="FF34" i="14"/>
  <c r="FE34" i="14"/>
  <c r="FB34" i="14"/>
  <c r="FA34" i="14"/>
  <c r="EZ34" i="14"/>
  <c r="EW34" i="14"/>
  <c r="EV34" i="14"/>
  <c r="EU34" i="14"/>
  <c r="ER34" i="14"/>
  <c r="EQ34" i="14"/>
  <c r="EM34" i="14"/>
  <c r="EL34" i="14"/>
  <c r="EH34" i="14"/>
  <c r="EG34" i="14"/>
  <c r="HD33" i="14"/>
  <c r="IO32" i="14"/>
  <c r="IN32" i="14"/>
  <c r="IM32" i="14"/>
  <c r="IL32" i="14"/>
  <c r="IK32" i="14"/>
  <c r="IJ32" i="14"/>
  <c r="II32" i="14"/>
  <c r="IH32" i="14"/>
  <c r="IG32" i="14"/>
  <c r="IF32" i="14"/>
  <c r="IE32" i="14"/>
  <c r="ID32" i="14"/>
  <c r="IC32" i="14"/>
  <c r="IB32" i="14"/>
  <c r="IA32" i="14"/>
  <c r="HZ32" i="14"/>
  <c r="HP32" i="14"/>
  <c r="HT32" i="14" s="1"/>
  <c r="HK32" i="14"/>
  <c r="HF32" i="14"/>
  <c r="HA32" i="14"/>
  <c r="HD32" i="14" s="1"/>
  <c r="GU32" i="14"/>
  <c r="GT32" i="14"/>
  <c r="GS32" i="14"/>
  <c r="GR32" i="14"/>
  <c r="GQ32" i="14"/>
  <c r="GP32" i="14"/>
  <c r="GO32" i="14"/>
  <c r="GJ32" i="14"/>
  <c r="GI32" i="14"/>
  <c r="GH32" i="14"/>
  <c r="GG32" i="14"/>
  <c r="GF32" i="14"/>
  <c r="GE32" i="14"/>
  <c r="GA32" i="14"/>
  <c r="FZ32" i="14"/>
  <c r="FY32" i="14"/>
  <c r="FT32" i="14"/>
  <c r="FS32" i="14"/>
  <c r="FR32" i="14"/>
  <c r="FQ32" i="14"/>
  <c r="FP32" i="14"/>
  <c r="FN32" i="14"/>
  <c r="FM32" i="14"/>
  <c r="FL32" i="14"/>
  <c r="FK32" i="14"/>
  <c r="FH32" i="14"/>
  <c r="FG32" i="14"/>
  <c r="FF32" i="14"/>
  <c r="FE32" i="14"/>
  <c r="FB32" i="14"/>
  <c r="FA32" i="14"/>
  <c r="EZ32" i="14"/>
  <c r="EW32" i="14"/>
  <c r="EV32" i="14"/>
  <c r="EU32" i="14"/>
  <c r="ER32" i="14"/>
  <c r="EQ32" i="14"/>
  <c r="EM32" i="14"/>
  <c r="EL32" i="14"/>
  <c r="EH32" i="14"/>
  <c r="EG32" i="14"/>
  <c r="IO31" i="14"/>
  <c r="IN31" i="14"/>
  <c r="IM31" i="14"/>
  <c r="IL31" i="14"/>
  <c r="IK31" i="14"/>
  <c r="IJ31" i="14"/>
  <c r="II31" i="14"/>
  <c r="IH31" i="14"/>
  <c r="IG31" i="14"/>
  <c r="IF31" i="14"/>
  <c r="IE31" i="14"/>
  <c r="ID31" i="14"/>
  <c r="IC31" i="14"/>
  <c r="IB31" i="14"/>
  <c r="IA31" i="14"/>
  <c r="HZ31" i="14"/>
  <c r="HP31" i="14"/>
  <c r="HT31" i="14" s="1"/>
  <c r="HK31" i="14"/>
  <c r="HO31" i="14" s="1"/>
  <c r="HF31" i="14"/>
  <c r="HA31" i="14"/>
  <c r="GU31" i="14"/>
  <c r="GT31" i="14"/>
  <c r="GS31" i="14"/>
  <c r="GR31" i="14"/>
  <c r="GQ31" i="14"/>
  <c r="GP31" i="14"/>
  <c r="GO31" i="14"/>
  <c r="GJ31" i="14"/>
  <c r="GI31" i="14"/>
  <c r="GH31" i="14"/>
  <c r="GG31" i="14"/>
  <c r="GF31" i="14"/>
  <c r="GE31" i="14"/>
  <c r="GA31" i="14"/>
  <c r="FZ31" i="14"/>
  <c r="FY31" i="14"/>
  <c r="FT31" i="14"/>
  <c r="FS31" i="14"/>
  <c r="FR31" i="14"/>
  <c r="FQ31" i="14"/>
  <c r="FP31" i="14"/>
  <c r="FN31" i="14"/>
  <c r="FM31" i="14"/>
  <c r="FL31" i="14"/>
  <c r="FK31" i="14"/>
  <c r="FH31" i="14"/>
  <c r="FG31" i="14"/>
  <c r="FF31" i="14"/>
  <c r="FE31" i="14"/>
  <c r="FB31" i="14"/>
  <c r="FA31" i="14"/>
  <c r="EZ31" i="14"/>
  <c r="EW31" i="14"/>
  <c r="EV31" i="14"/>
  <c r="EU31" i="14"/>
  <c r="ER31" i="14"/>
  <c r="EQ31" i="14"/>
  <c r="EM31" i="14"/>
  <c r="EL31" i="14"/>
  <c r="EH31" i="14"/>
  <c r="EG31" i="14"/>
  <c r="IO30" i="14"/>
  <c r="IN30" i="14"/>
  <c r="IM30" i="14"/>
  <c r="IL30" i="14"/>
  <c r="IK30" i="14"/>
  <c r="IJ30" i="14"/>
  <c r="II30" i="14"/>
  <c r="IH30" i="14"/>
  <c r="IG30" i="14"/>
  <c r="IF30" i="14"/>
  <c r="IE30" i="14"/>
  <c r="ID30" i="14"/>
  <c r="IC30" i="14"/>
  <c r="IB30" i="14"/>
  <c r="IA30" i="14"/>
  <c r="HZ30" i="14"/>
  <c r="HP30" i="14"/>
  <c r="HS30" i="14" s="1"/>
  <c r="HK30" i="14"/>
  <c r="HO30" i="14" s="1"/>
  <c r="HF30" i="14"/>
  <c r="HA30" i="14"/>
  <c r="GU30" i="14"/>
  <c r="GT30" i="14"/>
  <c r="GS30" i="14"/>
  <c r="GR30" i="14"/>
  <c r="GQ30" i="14"/>
  <c r="GP30" i="14"/>
  <c r="GO30" i="14"/>
  <c r="GJ30" i="14"/>
  <c r="GI30" i="14"/>
  <c r="GH30" i="14"/>
  <c r="GG30" i="14"/>
  <c r="GF30" i="14"/>
  <c r="GE30" i="14"/>
  <c r="GA30" i="14"/>
  <c r="FZ30" i="14"/>
  <c r="FY30" i="14"/>
  <c r="FT30" i="14"/>
  <c r="FS30" i="14"/>
  <c r="FR30" i="14"/>
  <c r="FQ30" i="14"/>
  <c r="FP30" i="14"/>
  <c r="FN30" i="14"/>
  <c r="FM30" i="14"/>
  <c r="FL30" i="14"/>
  <c r="FK30" i="14"/>
  <c r="FH30" i="14"/>
  <c r="FG30" i="14"/>
  <c r="FF30" i="14"/>
  <c r="FE30" i="14"/>
  <c r="FB30" i="14"/>
  <c r="FA30" i="14"/>
  <c r="EZ30" i="14"/>
  <c r="EW30" i="14"/>
  <c r="EV30" i="14"/>
  <c r="EU30" i="14"/>
  <c r="ER30" i="14"/>
  <c r="EQ30" i="14"/>
  <c r="EM30" i="14"/>
  <c r="EL30" i="14"/>
  <c r="EH30" i="14"/>
  <c r="EG30" i="14"/>
  <c r="IO29" i="14"/>
  <c r="IN29" i="14"/>
  <c r="IM29" i="14"/>
  <c r="IL29" i="14"/>
  <c r="IK29" i="14"/>
  <c r="IJ29" i="14"/>
  <c r="II29" i="14"/>
  <c r="IH29" i="14"/>
  <c r="IG29" i="14"/>
  <c r="IF29" i="14"/>
  <c r="IE29" i="14"/>
  <c r="ID29" i="14"/>
  <c r="IC29" i="14"/>
  <c r="IB29" i="14"/>
  <c r="IA29" i="14"/>
  <c r="HZ29" i="14"/>
  <c r="HP29" i="14"/>
  <c r="HK29" i="14"/>
  <c r="HF29" i="14"/>
  <c r="HA29" i="14"/>
  <c r="GU29" i="14"/>
  <c r="GT29" i="14"/>
  <c r="GS29" i="14"/>
  <c r="GR29" i="14"/>
  <c r="GQ29" i="14"/>
  <c r="GP29" i="14"/>
  <c r="GO29" i="14"/>
  <c r="GJ29" i="14"/>
  <c r="GI29" i="14"/>
  <c r="GH29" i="14"/>
  <c r="GG29" i="14"/>
  <c r="GF29" i="14"/>
  <c r="GE29" i="14"/>
  <c r="GA29" i="14"/>
  <c r="FZ29" i="14"/>
  <c r="FY29" i="14"/>
  <c r="FT29" i="14"/>
  <c r="FS29" i="14"/>
  <c r="FR29" i="14"/>
  <c r="FQ29" i="14"/>
  <c r="FP29" i="14"/>
  <c r="FN29" i="14"/>
  <c r="FM29" i="14"/>
  <c r="FL29" i="14"/>
  <c r="FK29" i="14"/>
  <c r="FH29" i="14"/>
  <c r="FG29" i="14"/>
  <c r="FF29" i="14"/>
  <c r="FE29" i="14"/>
  <c r="FB29" i="14"/>
  <c r="FA29" i="14"/>
  <c r="EZ29" i="14"/>
  <c r="EW29" i="14"/>
  <c r="EV29" i="14"/>
  <c r="EU29" i="14"/>
  <c r="ER29" i="14"/>
  <c r="EQ29" i="14"/>
  <c r="EM29" i="14"/>
  <c r="EL29" i="14"/>
  <c r="EH29" i="14"/>
  <c r="EG29" i="14"/>
  <c r="IO28" i="14"/>
  <c r="IN28" i="14"/>
  <c r="IM28" i="14"/>
  <c r="IL28" i="14"/>
  <c r="IK28" i="14"/>
  <c r="IJ28" i="14"/>
  <c r="II28" i="14"/>
  <c r="IH28" i="14"/>
  <c r="IG28" i="14"/>
  <c r="IF28" i="14"/>
  <c r="IE28" i="14"/>
  <c r="ID28" i="14"/>
  <c r="IC28" i="14"/>
  <c r="IB28" i="14"/>
  <c r="IA28" i="14"/>
  <c r="HZ28" i="14"/>
  <c r="HP28" i="14"/>
  <c r="HK28" i="14"/>
  <c r="HF28" i="14"/>
  <c r="HA28" i="14"/>
  <c r="GU28" i="14"/>
  <c r="GT28" i="14"/>
  <c r="GS28" i="14"/>
  <c r="GR28" i="14"/>
  <c r="GQ28" i="14"/>
  <c r="GP28" i="14"/>
  <c r="GO28" i="14"/>
  <c r="GJ28" i="14"/>
  <c r="GI28" i="14"/>
  <c r="GH28" i="14"/>
  <c r="GG28" i="14"/>
  <c r="GF28" i="14"/>
  <c r="GE28" i="14"/>
  <c r="GA28" i="14"/>
  <c r="FZ28" i="14"/>
  <c r="FY28" i="14"/>
  <c r="FT28" i="14"/>
  <c r="FS28" i="14"/>
  <c r="FR28" i="14"/>
  <c r="FQ28" i="14"/>
  <c r="FP28" i="14"/>
  <c r="FN28" i="14"/>
  <c r="FM28" i="14"/>
  <c r="FL28" i="14"/>
  <c r="FK28" i="14"/>
  <c r="FH28" i="14"/>
  <c r="FG28" i="14"/>
  <c r="FF28" i="14"/>
  <c r="FE28" i="14"/>
  <c r="FB28" i="14"/>
  <c r="FA28" i="14"/>
  <c r="EZ28" i="14"/>
  <c r="EW28" i="14"/>
  <c r="EV28" i="14"/>
  <c r="EU28" i="14"/>
  <c r="ER28" i="14"/>
  <c r="EQ28" i="14"/>
  <c r="EM28" i="14"/>
  <c r="EL28" i="14"/>
  <c r="EH28" i="14"/>
  <c r="EG28" i="14"/>
  <c r="IO18" i="14"/>
  <c r="IN18" i="14"/>
  <c r="IM18" i="14"/>
  <c r="IL18" i="14"/>
  <c r="IK18" i="14"/>
  <c r="IJ18" i="14"/>
  <c r="II18" i="14"/>
  <c r="IH18" i="14"/>
  <c r="IG18" i="14"/>
  <c r="IF18" i="14"/>
  <c r="IE18" i="14"/>
  <c r="ID18" i="14"/>
  <c r="IC18" i="14"/>
  <c r="IB18" i="14"/>
  <c r="IA18" i="14"/>
  <c r="HZ18" i="14"/>
  <c r="HP18" i="14"/>
  <c r="HT18" i="14" s="1"/>
  <c r="HK18" i="14"/>
  <c r="HO18" i="14" s="1"/>
  <c r="HF18" i="14"/>
  <c r="HA18" i="14"/>
  <c r="GU18" i="14"/>
  <c r="GT18" i="14"/>
  <c r="GS18" i="14"/>
  <c r="GR18" i="14"/>
  <c r="GQ18" i="14"/>
  <c r="GP18" i="14"/>
  <c r="GO18" i="14"/>
  <c r="GJ18" i="14"/>
  <c r="GI18" i="14"/>
  <c r="GH18" i="14"/>
  <c r="GG18" i="14"/>
  <c r="GF18" i="14"/>
  <c r="GE18" i="14"/>
  <c r="GA18" i="14"/>
  <c r="FZ18" i="14"/>
  <c r="FY18" i="14"/>
  <c r="FT18" i="14"/>
  <c r="FS18" i="14"/>
  <c r="FR18" i="14"/>
  <c r="FQ18" i="14"/>
  <c r="FP18" i="14"/>
  <c r="FN18" i="14"/>
  <c r="FM18" i="14"/>
  <c r="FL18" i="14"/>
  <c r="FK18" i="14"/>
  <c r="FH18" i="14"/>
  <c r="FG18" i="14"/>
  <c r="FF18" i="14"/>
  <c r="FE18" i="14"/>
  <c r="FB18" i="14"/>
  <c r="FA18" i="14"/>
  <c r="EZ18" i="14"/>
  <c r="EW18" i="14"/>
  <c r="EV18" i="14"/>
  <c r="EU18" i="14"/>
  <c r="ER18" i="14"/>
  <c r="EQ18" i="14"/>
  <c r="EM18" i="14"/>
  <c r="EL18" i="14"/>
  <c r="EH18" i="14"/>
  <c r="EG18" i="14"/>
  <c r="HE23" i="14"/>
  <c r="IO22" i="14"/>
  <c r="IN22" i="14"/>
  <c r="IM22" i="14"/>
  <c r="IL22" i="14"/>
  <c r="IK22" i="14"/>
  <c r="IJ22" i="14"/>
  <c r="II22" i="14"/>
  <c r="IH22" i="14"/>
  <c r="IG22" i="14"/>
  <c r="IF22" i="14"/>
  <c r="IE22" i="14"/>
  <c r="ID22" i="14"/>
  <c r="IC22" i="14"/>
  <c r="IB22" i="14"/>
  <c r="IA22" i="14"/>
  <c r="HZ22" i="14"/>
  <c r="HP22" i="14"/>
  <c r="HS22" i="14" s="1"/>
  <c r="HK22" i="14"/>
  <c r="HF22" i="14"/>
  <c r="HA22" i="14"/>
  <c r="HD22" i="14" s="1"/>
  <c r="GU22" i="14"/>
  <c r="GT22" i="14"/>
  <c r="GS22" i="14"/>
  <c r="GR22" i="14"/>
  <c r="GQ22" i="14"/>
  <c r="GP22" i="14"/>
  <c r="GO22" i="14"/>
  <c r="GJ22" i="14"/>
  <c r="GI22" i="14"/>
  <c r="GH22" i="14"/>
  <c r="GG22" i="14"/>
  <c r="GF22" i="14"/>
  <c r="GE22" i="14"/>
  <c r="GA22" i="14"/>
  <c r="FZ22" i="14"/>
  <c r="FY22" i="14"/>
  <c r="FT22" i="14"/>
  <c r="FS22" i="14"/>
  <c r="FR22" i="14"/>
  <c r="FQ22" i="14"/>
  <c r="FP22" i="14"/>
  <c r="FN22" i="14"/>
  <c r="FM22" i="14"/>
  <c r="FL22" i="14"/>
  <c r="FK22" i="14"/>
  <c r="FH22" i="14"/>
  <c r="FG22" i="14"/>
  <c r="FF22" i="14"/>
  <c r="FE22" i="14"/>
  <c r="FB22" i="14"/>
  <c r="FA22" i="14"/>
  <c r="EZ22" i="14"/>
  <c r="EW22" i="14"/>
  <c r="EV22" i="14"/>
  <c r="EU22" i="14"/>
  <c r="ER22" i="14"/>
  <c r="EQ22" i="14"/>
  <c r="EM22" i="14"/>
  <c r="EL22" i="14"/>
  <c r="EH22" i="14"/>
  <c r="EG22" i="14"/>
  <c r="HT20" i="14"/>
  <c r="IO19" i="14"/>
  <c r="IN19" i="14"/>
  <c r="IM19" i="14"/>
  <c r="IL19" i="14"/>
  <c r="IK19" i="14"/>
  <c r="IJ19" i="14"/>
  <c r="II19" i="14"/>
  <c r="IH19" i="14"/>
  <c r="IG19" i="14"/>
  <c r="IF19" i="14"/>
  <c r="IE19" i="14"/>
  <c r="ID19" i="14"/>
  <c r="IC19" i="14"/>
  <c r="IB19" i="14"/>
  <c r="IA19" i="14"/>
  <c r="HZ19" i="14"/>
  <c r="HP19" i="14"/>
  <c r="HT19" i="14" s="1"/>
  <c r="HK19" i="14"/>
  <c r="HO19" i="14" s="1"/>
  <c r="HF19" i="14"/>
  <c r="HA19" i="14"/>
  <c r="HD19" i="14" s="1"/>
  <c r="GU19" i="14"/>
  <c r="GT19" i="14"/>
  <c r="GS19" i="14"/>
  <c r="GR19" i="14"/>
  <c r="GQ19" i="14"/>
  <c r="GP19" i="14"/>
  <c r="GO19" i="14"/>
  <c r="GJ19" i="14"/>
  <c r="GI19" i="14"/>
  <c r="GH19" i="14"/>
  <c r="GG19" i="14"/>
  <c r="GF19" i="14"/>
  <c r="GE19" i="14"/>
  <c r="GA19" i="14"/>
  <c r="FZ19" i="14"/>
  <c r="FY19" i="14"/>
  <c r="FT19" i="14"/>
  <c r="FS19" i="14"/>
  <c r="FR19" i="14"/>
  <c r="FQ19" i="14"/>
  <c r="FP19" i="14"/>
  <c r="FN19" i="14"/>
  <c r="FM19" i="14"/>
  <c r="FL19" i="14"/>
  <c r="FK19" i="14"/>
  <c r="FH19" i="14"/>
  <c r="FG19" i="14"/>
  <c r="FF19" i="14"/>
  <c r="FE19" i="14"/>
  <c r="FB19" i="14"/>
  <c r="FA19" i="14"/>
  <c r="EZ19" i="14"/>
  <c r="EW19" i="14"/>
  <c r="EV19" i="14"/>
  <c r="EU19" i="14"/>
  <c r="ER19" i="14"/>
  <c r="EQ19" i="14"/>
  <c r="EM19" i="14"/>
  <c r="EL19" i="14"/>
  <c r="EH19" i="14"/>
  <c r="EG19" i="14"/>
  <c r="IO17" i="14"/>
  <c r="IN17" i="14"/>
  <c r="IM17" i="14"/>
  <c r="IL17" i="14"/>
  <c r="IK17" i="14"/>
  <c r="IJ17" i="14"/>
  <c r="II17" i="14"/>
  <c r="IH17" i="14"/>
  <c r="IG17" i="14"/>
  <c r="IF17" i="14"/>
  <c r="IE17" i="14"/>
  <c r="ID17" i="14"/>
  <c r="IC17" i="14"/>
  <c r="IB17" i="14"/>
  <c r="IA17" i="14"/>
  <c r="HZ17" i="14"/>
  <c r="HP17" i="14"/>
  <c r="HK17" i="14"/>
  <c r="HF17" i="14"/>
  <c r="HA17" i="14"/>
  <c r="GU17" i="14"/>
  <c r="GT17" i="14"/>
  <c r="GS17" i="14"/>
  <c r="GR17" i="14"/>
  <c r="GQ17" i="14"/>
  <c r="GP17" i="14"/>
  <c r="GO17" i="14"/>
  <c r="GJ17" i="14"/>
  <c r="GI17" i="14"/>
  <c r="GH17" i="14"/>
  <c r="GG17" i="14"/>
  <c r="GF17" i="14"/>
  <c r="GE17" i="14"/>
  <c r="GA17" i="14"/>
  <c r="FZ17" i="14"/>
  <c r="FY17" i="14"/>
  <c r="FT17" i="14"/>
  <c r="FS17" i="14"/>
  <c r="FR17" i="14"/>
  <c r="FQ17" i="14"/>
  <c r="FP17" i="14"/>
  <c r="FN17" i="14"/>
  <c r="FM17" i="14"/>
  <c r="FL17" i="14"/>
  <c r="FK17" i="14"/>
  <c r="FH17" i="14"/>
  <c r="FG17" i="14"/>
  <c r="FF17" i="14"/>
  <c r="FE17" i="14"/>
  <c r="FB17" i="14"/>
  <c r="FA17" i="14"/>
  <c r="EZ17" i="14"/>
  <c r="EW17" i="14"/>
  <c r="EV17" i="14"/>
  <c r="EU17" i="14"/>
  <c r="ER17" i="14"/>
  <c r="EQ17" i="14"/>
  <c r="EM17" i="14"/>
  <c r="EL17" i="14"/>
  <c r="EH17" i="14"/>
  <c r="EG17" i="14"/>
  <c r="IO16" i="14"/>
  <c r="IN16" i="14"/>
  <c r="IM16" i="14"/>
  <c r="IL16" i="14"/>
  <c r="IK16" i="14"/>
  <c r="IJ16" i="14"/>
  <c r="II16" i="14"/>
  <c r="IH16" i="14"/>
  <c r="IG16" i="14"/>
  <c r="IF16" i="14"/>
  <c r="IE16" i="14"/>
  <c r="ID16" i="14"/>
  <c r="IC16" i="14"/>
  <c r="IB16" i="14"/>
  <c r="IA16" i="14"/>
  <c r="HZ16" i="14"/>
  <c r="HP16" i="14"/>
  <c r="HK16" i="14"/>
  <c r="HF16" i="14"/>
  <c r="HA16" i="14"/>
  <c r="GU16" i="14"/>
  <c r="GT16" i="14"/>
  <c r="GS16" i="14"/>
  <c r="GR16" i="14"/>
  <c r="GQ16" i="14"/>
  <c r="GP16" i="14"/>
  <c r="GO16" i="14"/>
  <c r="GJ16" i="14"/>
  <c r="GI16" i="14"/>
  <c r="GH16" i="14"/>
  <c r="GG16" i="14"/>
  <c r="GF16" i="14"/>
  <c r="GE16" i="14"/>
  <c r="GA16" i="14"/>
  <c r="FZ16" i="14"/>
  <c r="FY16" i="14"/>
  <c r="FT16" i="14"/>
  <c r="FS16" i="14"/>
  <c r="FR16" i="14"/>
  <c r="FQ16" i="14"/>
  <c r="FP16" i="14"/>
  <c r="FN16" i="14"/>
  <c r="FM16" i="14"/>
  <c r="FL16" i="14"/>
  <c r="FK16" i="14"/>
  <c r="FH16" i="14"/>
  <c r="FG16" i="14"/>
  <c r="FF16" i="14"/>
  <c r="FE16" i="14"/>
  <c r="FB16" i="14"/>
  <c r="FA16" i="14"/>
  <c r="EZ16" i="14"/>
  <c r="EW16" i="14"/>
  <c r="EV16" i="14"/>
  <c r="EU16" i="14"/>
  <c r="ER16" i="14"/>
  <c r="EQ16" i="14"/>
  <c r="EM16" i="14"/>
  <c r="EL16" i="14"/>
  <c r="EH16" i="14"/>
  <c r="EG16" i="14"/>
  <c r="HT15" i="14"/>
  <c r="HO15" i="14"/>
  <c r="HE15" i="14"/>
  <c r="HS14" i="14"/>
  <c r="HE14" i="14"/>
  <c r="IB13" i="14"/>
  <c r="IG13" i="14"/>
  <c r="IF13" i="14"/>
  <c r="IE13" i="14"/>
  <c r="ID13" i="14"/>
  <c r="IC13" i="14"/>
  <c r="IA13" i="14"/>
  <c r="HZ13" i="14"/>
  <c r="HP13" i="14"/>
  <c r="HK13" i="14"/>
  <c r="HF13" i="14"/>
  <c r="HA13" i="14"/>
  <c r="GU13" i="14"/>
  <c r="GT13" i="14"/>
  <c r="GS13" i="14"/>
  <c r="GR13" i="14"/>
  <c r="GQ13" i="14"/>
  <c r="GP13" i="14"/>
  <c r="GO13" i="14"/>
  <c r="GJ13" i="14"/>
  <c r="GI13" i="14"/>
  <c r="GH13" i="14"/>
  <c r="GG13" i="14"/>
  <c r="GF13" i="14"/>
  <c r="GE13" i="14"/>
  <c r="GA13" i="14"/>
  <c r="FZ13" i="14"/>
  <c r="FY13" i="14"/>
  <c r="FT13" i="14"/>
  <c r="FS13" i="14"/>
  <c r="FN13" i="14"/>
  <c r="FM13" i="14"/>
  <c r="FL13" i="14"/>
  <c r="FK13" i="14"/>
  <c r="FH13" i="14"/>
  <c r="FG13" i="14"/>
  <c r="FF13" i="14"/>
  <c r="FE13" i="14"/>
  <c r="FB13" i="14"/>
  <c r="FA13" i="14"/>
  <c r="EZ13" i="14"/>
  <c r="EW13" i="14"/>
  <c r="EV13" i="14"/>
  <c r="EU13" i="14"/>
  <c r="ER13" i="14"/>
  <c r="EQ13" i="14"/>
  <c r="EM13" i="14"/>
  <c r="EL13" i="14"/>
  <c r="EH13" i="14"/>
  <c r="EG13" i="14"/>
  <c r="IO13" i="14"/>
  <c r="IN13" i="14"/>
  <c r="IM13" i="14"/>
  <c r="IL13" i="14"/>
  <c r="IK13" i="14"/>
  <c r="IJ13" i="14"/>
  <c r="II13" i="14"/>
  <c r="IH13" i="14"/>
  <c r="FR13" i="14"/>
  <c r="FQ13" i="14"/>
  <c r="FP13" i="14"/>
  <c r="DR4" i="14"/>
  <c r="DQ4" i="14"/>
  <c r="DP4" i="14"/>
  <c r="DO4" i="14"/>
  <c r="DN4" i="14"/>
  <c r="DM4" i="14"/>
  <c r="DL4" i="14"/>
  <c r="DK4" i="14"/>
  <c r="DJ4" i="14"/>
  <c r="DI4" i="14"/>
  <c r="DH4" i="14"/>
  <c r="DG4" i="14"/>
  <c r="DF4" i="14"/>
  <c r="DE4" i="14"/>
  <c r="DD4" i="14"/>
  <c r="DC4" i="14"/>
  <c r="DR3" i="14"/>
  <c r="DQ3" i="14"/>
  <c r="DP3" i="14"/>
  <c r="DO3" i="14"/>
  <c r="DN3" i="14"/>
  <c r="DM3" i="14"/>
  <c r="DL3" i="14"/>
  <c r="DK3" i="14"/>
  <c r="DJ3" i="14"/>
  <c r="DI3" i="14"/>
  <c r="DH3" i="14"/>
  <c r="DG3" i="14"/>
  <c r="DF3" i="14"/>
  <c r="DE3" i="14"/>
  <c r="DD3" i="14"/>
  <c r="DC3" i="14"/>
  <c r="DR2" i="14"/>
  <c r="DQ2" i="14"/>
  <c r="DP2" i="14"/>
  <c r="DO2" i="14"/>
  <c r="DN2" i="14"/>
  <c r="DM2" i="14"/>
  <c r="DL2" i="14"/>
  <c r="DK2" i="14"/>
  <c r="DJ2" i="14"/>
  <c r="DI2" i="14"/>
  <c r="DH2" i="14"/>
  <c r="DG2" i="14"/>
  <c r="DF2" i="14"/>
  <c r="DE2" i="14"/>
  <c r="DD2" i="14"/>
  <c r="DC2" i="14"/>
  <c r="DB4" i="14"/>
  <c r="DA4" i="14"/>
  <c r="CZ4" i="14"/>
  <c r="CY4" i="14"/>
  <c r="CW4" i="14"/>
  <c r="CV4" i="14"/>
  <c r="CU4" i="14"/>
  <c r="CT4" i="14"/>
  <c r="DB3" i="14"/>
  <c r="DA3" i="14"/>
  <c r="CZ3" i="14"/>
  <c r="CY3" i="14"/>
  <c r="CW3" i="14"/>
  <c r="CV3" i="14"/>
  <c r="CU3" i="14"/>
  <c r="CT3" i="14"/>
  <c r="DB2" i="14"/>
  <c r="DA2" i="14"/>
  <c r="CZ2" i="14"/>
  <c r="CY2" i="14"/>
  <c r="CW2" i="14"/>
  <c r="CV2" i="14"/>
  <c r="CU2" i="14"/>
  <c r="CT2" i="14"/>
  <c r="CH4" i="14"/>
  <c r="CH3" i="14"/>
  <c r="CH2" i="14"/>
  <c r="CG4" i="14"/>
  <c r="CF4" i="14"/>
  <c r="CG3" i="14"/>
  <c r="CF3" i="14"/>
  <c r="CG2" i="14"/>
  <c r="CF2" i="14"/>
  <c r="BK4" i="14"/>
  <c r="BJ4" i="14"/>
  <c r="BI4" i="14"/>
  <c r="BK3" i="14"/>
  <c r="BJ3" i="14"/>
  <c r="BI3" i="14"/>
  <c r="BK2" i="14"/>
  <c r="BJ2" i="14"/>
  <c r="BI2" i="14"/>
  <c r="CP4" i="14"/>
  <c r="CO4" i="14"/>
  <c r="CK4" i="14"/>
  <c r="CJ4" i="14"/>
  <c r="CC4" i="14"/>
  <c r="CB4" i="14"/>
  <c r="BX4" i="14"/>
  <c r="BW4" i="14"/>
  <c r="BS4" i="14"/>
  <c r="BR4" i="14"/>
  <c r="BN4" i="14"/>
  <c r="BM4" i="14"/>
  <c r="BF4" i="14"/>
  <c r="BE4" i="14"/>
  <c r="CP3" i="14"/>
  <c r="CO3" i="14"/>
  <c r="CK3" i="14"/>
  <c r="CJ3" i="14"/>
  <c r="CC3" i="14"/>
  <c r="CB3" i="14"/>
  <c r="BX3" i="14"/>
  <c r="BW3" i="14"/>
  <c r="BS3" i="14"/>
  <c r="BR3" i="14"/>
  <c r="BN3" i="14"/>
  <c r="BM3" i="14"/>
  <c r="BF3" i="14"/>
  <c r="BE3" i="14"/>
  <c r="CP2" i="14"/>
  <c r="CO2" i="14"/>
  <c r="CK2" i="14"/>
  <c r="CJ2" i="14"/>
  <c r="CC2" i="14"/>
  <c r="CB2" i="14"/>
  <c r="BX2" i="14"/>
  <c r="BW2" i="14"/>
  <c r="BS2" i="14"/>
  <c r="BR2" i="14"/>
  <c r="BN2" i="14"/>
  <c r="BM2" i="14"/>
  <c r="BF2" i="14"/>
  <c r="BE2" i="14"/>
  <c r="BC4" i="14"/>
  <c r="BB4" i="14"/>
  <c r="BA4" i="14"/>
  <c r="AZ4" i="14"/>
  <c r="AY4" i="14"/>
  <c r="AX4" i="14"/>
  <c r="AW4" i="14"/>
  <c r="AV4" i="14"/>
  <c r="BC3" i="14"/>
  <c r="BB3" i="14"/>
  <c r="BA3" i="14"/>
  <c r="AZ3" i="14"/>
  <c r="AY3" i="14"/>
  <c r="AX3" i="14"/>
  <c r="AW3" i="14"/>
  <c r="AV3" i="14"/>
  <c r="BC2" i="14"/>
  <c r="BB2" i="14"/>
  <c r="BA2" i="14"/>
  <c r="AZ2" i="14"/>
  <c r="AY2" i="14"/>
  <c r="AX2" i="14"/>
  <c r="AW2" i="14"/>
  <c r="AV2" i="14"/>
  <c r="AR4" i="14"/>
  <c r="AQ4" i="14"/>
  <c r="AP4" i="14"/>
  <c r="AM4" i="14"/>
  <c r="AL4" i="14"/>
  <c r="AK4" i="14"/>
  <c r="AJ4" i="14"/>
  <c r="AI4" i="14"/>
  <c r="AH4" i="14"/>
  <c r="AG4" i="14"/>
  <c r="AF4" i="14"/>
  <c r="AR3" i="14"/>
  <c r="AQ3" i="14"/>
  <c r="AP3" i="14"/>
  <c r="AM3" i="14"/>
  <c r="AL3" i="14"/>
  <c r="AK3" i="14"/>
  <c r="AJ3" i="14"/>
  <c r="AI3" i="14"/>
  <c r="AH3" i="14"/>
  <c r="AG3" i="14"/>
  <c r="AF3" i="14"/>
  <c r="AR2" i="14"/>
  <c r="AQ2" i="14"/>
  <c r="AP2" i="14"/>
  <c r="AM2" i="14"/>
  <c r="AL2" i="14"/>
  <c r="AK2" i="14"/>
  <c r="AJ2" i="14"/>
  <c r="AI2" i="14"/>
  <c r="AH2" i="14"/>
  <c r="AG2" i="14"/>
  <c r="AF2" i="14"/>
  <c r="AB4" i="14"/>
  <c r="AA4" i="14"/>
  <c r="Z4" i="14"/>
  <c r="AB3" i="14"/>
  <c r="AA3" i="14"/>
  <c r="Z3" i="14"/>
  <c r="AB2" i="14"/>
  <c r="AA2" i="14"/>
  <c r="Z2" i="14"/>
  <c r="DY3" i="14"/>
  <c r="DX3" i="14"/>
  <c r="DV3" i="14"/>
  <c r="DT3" i="14"/>
  <c r="CN3" i="14"/>
  <c r="CI3" i="14"/>
  <c r="CA3" i="14"/>
  <c r="BV3" i="14"/>
  <c r="BQ3" i="14"/>
  <c r="BL3" i="14"/>
  <c r="BD3" i="14"/>
  <c r="AN3" i="14"/>
  <c r="X3" i="14"/>
  <c r="U3" i="14"/>
  <c r="T3" i="14"/>
  <c r="Q3" i="14"/>
  <c r="P3" i="14"/>
  <c r="N3" i="14"/>
  <c r="M3" i="14"/>
  <c r="DY2" i="14"/>
  <c r="DX2" i="14"/>
  <c r="DV2" i="14"/>
  <c r="DT2" i="14"/>
  <c r="CN2" i="14"/>
  <c r="CI2" i="14"/>
  <c r="CA2" i="14"/>
  <c r="BV2" i="14"/>
  <c r="BQ2" i="14"/>
  <c r="BL2" i="14"/>
  <c r="BD2" i="14"/>
  <c r="AN2" i="14"/>
  <c r="X2" i="14"/>
  <c r="U2" i="14"/>
  <c r="T2" i="14"/>
  <c r="Q2" i="14"/>
  <c r="P2" i="14"/>
  <c r="N2" i="14"/>
  <c r="M2" i="14"/>
  <c r="HO54" i="14" l="1"/>
  <c r="HE45" i="14"/>
  <c r="HE55" i="14"/>
  <c r="HX45" i="14"/>
  <c r="HX55" i="14"/>
  <c r="HE54" i="14"/>
  <c r="HT55" i="14"/>
  <c r="HE34" i="14"/>
  <c r="HO23" i="14"/>
  <c r="HT23" i="14"/>
  <c r="HT33" i="14"/>
  <c r="HD30" i="14"/>
  <c r="HD36" i="14"/>
  <c r="HX19" i="14"/>
  <c r="HX31" i="14"/>
  <c r="HT28" i="14"/>
  <c r="GL4" i="14"/>
  <c r="FO4" i="14"/>
  <c r="FU4" i="14"/>
  <c r="EC33" i="14"/>
  <c r="HT56" i="14"/>
  <c r="FB4" i="14"/>
  <c r="FN4" i="14"/>
  <c r="EP44" i="14"/>
  <c r="EK46" i="14"/>
  <c r="EK13" i="14"/>
  <c r="HT53" i="14"/>
  <c r="EC13" i="14"/>
  <c r="EC21" i="14"/>
  <c r="EC53" i="14"/>
  <c r="EP54" i="14"/>
  <c r="EP19" i="14"/>
  <c r="EK21" i="14"/>
  <c r="EK28" i="14"/>
  <c r="EC32" i="14"/>
  <c r="EZ4" i="14"/>
  <c r="FL4" i="14"/>
  <c r="FT4" i="14"/>
  <c r="GG4" i="14"/>
  <c r="GS4" i="14"/>
  <c r="IA4" i="14"/>
  <c r="II4" i="14"/>
  <c r="EC44" i="14"/>
  <c r="EP45" i="14"/>
  <c r="EK47" i="14"/>
  <c r="EP55" i="14"/>
  <c r="EP28" i="14"/>
  <c r="EK30" i="14"/>
  <c r="EC34" i="14"/>
  <c r="GI4" i="14"/>
  <c r="GU4" i="14"/>
  <c r="IC4" i="14"/>
  <c r="IK4" i="14"/>
  <c r="EC46" i="14"/>
  <c r="HU4" i="14"/>
  <c r="HH4" i="14"/>
  <c r="EC14" i="14"/>
  <c r="EP15" i="14"/>
  <c r="EK17" i="14"/>
  <c r="EC23" i="14"/>
  <c r="EP18" i="14"/>
  <c r="EC35" i="14"/>
  <c r="ER4" i="14"/>
  <c r="FF4" i="14"/>
  <c r="FZ4" i="14"/>
  <c r="GO4" i="14"/>
  <c r="HF4" i="14"/>
  <c r="IE4" i="14"/>
  <c r="IM4" i="14"/>
  <c r="EP50" i="14"/>
  <c r="EK53" i="14"/>
  <c r="HJ14" i="14"/>
  <c r="HJ22" i="14"/>
  <c r="HJ33" i="14"/>
  <c r="HJ44" i="14"/>
  <c r="HJ54" i="14"/>
  <c r="EP21" i="14"/>
  <c r="EK29" i="14"/>
  <c r="EP34" i="14"/>
  <c r="EK35" i="14"/>
  <c r="HK4" i="14"/>
  <c r="U54" i="10" s="1"/>
  <c r="IF4" i="14"/>
  <c r="IN4" i="14"/>
  <c r="EP56" i="14"/>
  <c r="IG4" i="14"/>
  <c r="IO4" i="14"/>
  <c r="HJ16" i="14"/>
  <c r="HJ28" i="14"/>
  <c r="HJ46" i="14"/>
  <c r="HJ56" i="14"/>
  <c r="EP14" i="14"/>
  <c r="EK16" i="14"/>
  <c r="EP23" i="14"/>
  <c r="EC28" i="14"/>
  <c r="EW4" i="14"/>
  <c r="HZ4" i="14"/>
  <c r="IH4" i="14"/>
  <c r="HB4" i="14"/>
  <c r="HL4" i="14"/>
  <c r="HV4" i="14"/>
  <c r="EC15" i="14"/>
  <c r="EC18" i="14"/>
  <c r="EP31" i="14"/>
  <c r="EK32" i="14"/>
  <c r="IB4" i="14"/>
  <c r="AA51" i="10" s="1"/>
  <c r="IJ4" i="14"/>
  <c r="HJ19" i="14"/>
  <c r="HJ31" i="14"/>
  <c r="HJ50" i="14"/>
  <c r="EK15" i="14"/>
  <c r="EP22" i="14"/>
  <c r="EK18" i="14"/>
  <c r="EK36" i="14"/>
  <c r="HA4" i="14"/>
  <c r="ID4" i="14"/>
  <c r="IL4" i="14"/>
  <c r="HR4" i="14"/>
  <c r="EP13" i="14"/>
  <c r="EK14" i="14"/>
  <c r="EF16" i="14"/>
  <c r="EB16" i="14"/>
  <c r="EC20" i="14"/>
  <c r="EK23" i="14"/>
  <c r="EF29" i="14"/>
  <c r="EB29" i="14"/>
  <c r="EP32" i="14"/>
  <c r="EK34" i="14"/>
  <c r="EF35" i="14"/>
  <c r="EI35" i="14" s="1"/>
  <c r="EB35" i="14"/>
  <c r="EC38" i="14"/>
  <c r="EH4" i="14"/>
  <c r="EC41" i="14"/>
  <c r="EV4" i="14"/>
  <c r="FH4" i="14"/>
  <c r="FR4" i="14"/>
  <c r="GE4" i="14"/>
  <c r="GQ4" i="14"/>
  <c r="EK45" i="14"/>
  <c r="EF47" i="14"/>
  <c r="EB47" i="14"/>
  <c r="EC51" i="14"/>
  <c r="EP53" i="14"/>
  <c r="EK55" i="14"/>
  <c r="EK56" i="14"/>
  <c r="HD21" i="14"/>
  <c r="HD34" i="14"/>
  <c r="HD46" i="14"/>
  <c r="HE16" i="14"/>
  <c r="HE28" i="14"/>
  <c r="HE46" i="14"/>
  <c r="HE56" i="14"/>
  <c r="HJ20" i="14"/>
  <c r="HJ38" i="14"/>
  <c r="HJ51" i="14"/>
  <c r="HN16" i="14"/>
  <c r="HN28" i="14"/>
  <c r="HN46" i="14"/>
  <c r="HN56" i="14"/>
  <c r="HO20" i="14"/>
  <c r="HO38" i="14"/>
  <c r="HO51" i="14"/>
  <c r="HX16" i="14"/>
  <c r="HX28" i="14"/>
  <c r="HX46" i="14"/>
  <c r="HX56" i="14"/>
  <c r="HY20" i="14"/>
  <c r="HY38" i="14"/>
  <c r="HY51" i="14"/>
  <c r="EC16" i="14"/>
  <c r="EP17" i="14"/>
  <c r="EK20" i="14"/>
  <c r="EF22" i="14"/>
  <c r="EB22" i="14"/>
  <c r="EC29" i="14"/>
  <c r="EP30" i="14"/>
  <c r="EF33" i="14"/>
  <c r="EB33" i="14"/>
  <c r="EP36" i="14"/>
  <c r="EK38" i="14"/>
  <c r="FK4" i="14"/>
  <c r="FS4" i="14"/>
  <c r="GF4" i="14"/>
  <c r="GR4" i="14"/>
  <c r="EB44" i="14"/>
  <c r="EF44" i="14"/>
  <c r="EC47" i="14"/>
  <c r="EP49" i="14"/>
  <c r="EK51" i="14"/>
  <c r="EB54" i="14"/>
  <c r="EF54" i="14"/>
  <c r="EJ54" i="14" s="1"/>
  <c r="HD13" i="14"/>
  <c r="HD28" i="14"/>
  <c r="HD47" i="14"/>
  <c r="HD49" i="14"/>
  <c r="HE17" i="14"/>
  <c r="HE29" i="14"/>
  <c r="HE35" i="14"/>
  <c r="HE47" i="14"/>
  <c r="HJ13" i="14"/>
  <c r="HJ21" i="14"/>
  <c r="HJ32" i="14"/>
  <c r="HJ41" i="14"/>
  <c r="HJ53" i="14"/>
  <c r="HN17" i="14"/>
  <c r="HN29" i="14"/>
  <c r="HN35" i="14"/>
  <c r="HN47" i="14"/>
  <c r="HO13" i="14"/>
  <c r="HO21" i="14"/>
  <c r="HO32" i="14"/>
  <c r="HO41" i="14"/>
  <c r="HO53" i="14"/>
  <c r="HS17" i="14"/>
  <c r="HS29" i="14"/>
  <c r="HX17" i="14"/>
  <c r="HX29" i="14"/>
  <c r="HX35" i="14"/>
  <c r="HX47" i="14"/>
  <c r="HY13" i="14"/>
  <c r="HY21" i="14"/>
  <c r="HY32" i="14"/>
  <c r="HY41" i="14"/>
  <c r="HY53" i="14"/>
  <c r="HW4" i="14"/>
  <c r="EB19" i="14"/>
  <c r="EF19" i="14"/>
  <c r="EC22" i="14"/>
  <c r="EF31" i="14"/>
  <c r="EB31" i="14"/>
  <c r="EL4" i="14"/>
  <c r="EK41" i="14"/>
  <c r="EB50" i="14"/>
  <c r="EF50" i="14"/>
  <c r="EC54" i="14"/>
  <c r="HD14" i="14"/>
  <c r="HD29" i="14"/>
  <c r="HD35" i="14"/>
  <c r="HD50" i="14"/>
  <c r="HD54" i="14"/>
  <c r="HE18" i="14"/>
  <c r="HE30" i="14"/>
  <c r="HE36" i="14"/>
  <c r="HE49" i="14"/>
  <c r="HN18" i="14"/>
  <c r="HN30" i="14"/>
  <c r="HN36" i="14"/>
  <c r="HN49" i="14"/>
  <c r="HO14" i="14"/>
  <c r="HO22" i="14"/>
  <c r="HO33" i="14"/>
  <c r="HO44" i="14"/>
  <c r="HS18" i="14"/>
  <c r="HS36" i="14"/>
  <c r="HS49" i="14"/>
  <c r="HT22" i="14"/>
  <c r="HT44" i="14"/>
  <c r="HX18" i="14"/>
  <c r="HX30" i="14"/>
  <c r="HX36" i="14"/>
  <c r="HX49" i="14"/>
  <c r="HY14" i="14"/>
  <c r="HY22" i="14"/>
  <c r="HY33" i="14"/>
  <c r="HY44" i="14"/>
  <c r="HY54" i="14"/>
  <c r="EF15" i="14"/>
  <c r="EB15" i="14"/>
  <c r="EC19" i="14"/>
  <c r="EP20" i="14"/>
  <c r="EK22" i="14"/>
  <c r="EB18" i="14"/>
  <c r="EF18" i="14"/>
  <c r="EF28" i="14"/>
  <c r="EB28" i="14"/>
  <c r="EC31" i="14"/>
  <c r="EK33" i="14"/>
  <c r="EP38" i="14"/>
  <c r="EM4" i="14"/>
  <c r="FA4" i="14"/>
  <c r="FM4" i="14"/>
  <c r="GH4" i="14"/>
  <c r="GT4" i="14"/>
  <c r="EK44" i="14"/>
  <c r="EF46" i="14"/>
  <c r="EB46" i="14"/>
  <c r="EC50" i="14"/>
  <c r="EP51" i="14"/>
  <c r="EK54" i="14"/>
  <c r="EO54" i="14" s="1"/>
  <c r="HD15" i="14"/>
  <c r="HD51" i="14"/>
  <c r="HD55" i="14"/>
  <c r="HE19" i="14"/>
  <c r="HE31" i="14"/>
  <c r="HE50" i="14"/>
  <c r="HJ15" i="14"/>
  <c r="HJ23" i="14"/>
  <c r="HJ34" i="14"/>
  <c r="HJ45" i="14"/>
  <c r="HJ55" i="14"/>
  <c r="HY15" i="14"/>
  <c r="HY23" i="14"/>
  <c r="HY34" i="14"/>
  <c r="HY45" i="14"/>
  <c r="HY55" i="14"/>
  <c r="HM4" i="14"/>
  <c r="GK4" i="14"/>
  <c r="EF13" i="14"/>
  <c r="EB13" i="14"/>
  <c r="EP16" i="14"/>
  <c r="EK19" i="14"/>
  <c r="EF21" i="14"/>
  <c r="EB21" i="14"/>
  <c r="EP29" i="14"/>
  <c r="EK31" i="14"/>
  <c r="EF32" i="14"/>
  <c r="EB32" i="14"/>
  <c r="EP35" i="14"/>
  <c r="EP47" i="14"/>
  <c r="EK50" i="14"/>
  <c r="EB53" i="14"/>
  <c r="EF53" i="14"/>
  <c r="HD16" i="14"/>
  <c r="HD31" i="14"/>
  <c r="HD38" i="14"/>
  <c r="HD53" i="14"/>
  <c r="HE20" i="14"/>
  <c r="HE38" i="14"/>
  <c r="HE51" i="14"/>
  <c r="HN20" i="14"/>
  <c r="HN38" i="14"/>
  <c r="HN51" i="14"/>
  <c r="HO16" i="14"/>
  <c r="HO28" i="14"/>
  <c r="HO46" i="14"/>
  <c r="HO56" i="14"/>
  <c r="HX20" i="14"/>
  <c r="HX38" i="14"/>
  <c r="HX51" i="14"/>
  <c r="HY16" i="14"/>
  <c r="HY28" i="14"/>
  <c r="HY46" i="14"/>
  <c r="HY56" i="14"/>
  <c r="HP4" i="14"/>
  <c r="EB17" i="14"/>
  <c r="EF17" i="14"/>
  <c r="EF30" i="14"/>
  <c r="EB30" i="14"/>
  <c r="EP33" i="14"/>
  <c r="EF36" i="14"/>
  <c r="EB36" i="14"/>
  <c r="EQ4" i="14"/>
  <c r="EP41" i="14"/>
  <c r="FE4" i="14"/>
  <c r="FY4" i="14"/>
  <c r="GJ4" i="14"/>
  <c r="EB49" i="14"/>
  <c r="EF49" i="14"/>
  <c r="HD17" i="14"/>
  <c r="HD41" i="14"/>
  <c r="HD56" i="14"/>
  <c r="HD18" i="14"/>
  <c r="HE13" i="14"/>
  <c r="HE21" i="14"/>
  <c r="HE32" i="14"/>
  <c r="HE41" i="14"/>
  <c r="HE53" i="14"/>
  <c r="HJ17" i="14"/>
  <c r="HJ29" i="14"/>
  <c r="HJ35" i="14"/>
  <c r="HJ47" i="14"/>
  <c r="HN13" i="14"/>
  <c r="HN21" i="14"/>
  <c r="HN32" i="14"/>
  <c r="HN41" i="14"/>
  <c r="HN53" i="14"/>
  <c r="HO17" i="14"/>
  <c r="HO29" i="14"/>
  <c r="HO35" i="14"/>
  <c r="HO47" i="14"/>
  <c r="HS21" i="14"/>
  <c r="HS32" i="14"/>
  <c r="HS41" i="14"/>
  <c r="HX13" i="14"/>
  <c r="HX21" i="14"/>
  <c r="HX32" i="14"/>
  <c r="HX41" i="14"/>
  <c r="HX53" i="14"/>
  <c r="HY17" i="14"/>
  <c r="HY29" i="14"/>
  <c r="HY35" i="14"/>
  <c r="HY47" i="14"/>
  <c r="HC4" i="14"/>
  <c r="HQ4" i="14"/>
  <c r="EF14" i="14"/>
  <c r="EB14" i="14"/>
  <c r="EC17" i="14"/>
  <c r="EB23" i="14"/>
  <c r="EF23" i="14"/>
  <c r="EC30" i="14"/>
  <c r="EF34" i="14"/>
  <c r="EB34" i="14"/>
  <c r="EC36" i="14"/>
  <c r="FP4" i="14"/>
  <c r="EF45" i="14"/>
  <c r="EB45" i="14"/>
  <c r="EC49" i="14"/>
  <c r="EF55" i="14"/>
  <c r="EJ55" i="14" s="1"/>
  <c r="EB55" i="14"/>
  <c r="EB56" i="14"/>
  <c r="EF56" i="14"/>
  <c r="EJ56" i="14" s="1"/>
  <c r="HJ18" i="14"/>
  <c r="HJ30" i="14"/>
  <c r="HJ36" i="14"/>
  <c r="HJ49" i="14"/>
  <c r="HN14" i="14"/>
  <c r="HN22" i="14"/>
  <c r="HN33" i="14"/>
  <c r="HN44" i="14"/>
  <c r="HN54" i="14"/>
  <c r="HT30" i="14"/>
  <c r="HT36" i="14"/>
  <c r="HX14" i="14"/>
  <c r="HX22" i="14"/>
  <c r="HX33" i="14"/>
  <c r="HX44" i="14"/>
  <c r="HX54" i="14"/>
  <c r="HY18" i="14"/>
  <c r="HY30" i="14"/>
  <c r="HY36" i="14"/>
  <c r="HY49" i="14"/>
  <c r="EB20" i="14"/>
  <c r="EF20" i="14"/>
  <c r="EB38" i="14"/>
  <c r="EF38" i="14"/>
  <c r="EI38" i="14" s="1"/>
  <c r="EG4" i="14"/>
  <c r="EF41" i="14"/>
  <c r="EB41" i="14"/>
  <c r="EU4" i="14"/>
  <c r="FG4" i="14"/>
  <c r="FQ4" i="14"/>
  <c r="GA4" i="14"/>
  <c r="GP4" i="14"/>
  <c r="EC45" i="14"/>
  <c r="EP46" i="14"/>
  <c r="EK49" i="14"/>
  <c r="EB51" i="14"/>
  <c r="EF51" i="14"/>
  <c r="EC55" i="14"/>
  <c r="EC56" i="14"/>
  <c r="HD20" i="14"/>
  <c r="HD45" i="14"/>
  <c r="HD23" i="14"/>
  <c r="HS45" i="14"/>
  <c r="HT50" i="14"/>
  <c r="HX15" i="14"/>
  <c r="HX23" i="14"/>
  <c r="HX34" i="14"/>
  <c r="HY19" i="14"/>
  <c r="HY31" i="14"/>
  <c r="HY50" i="14"/>
  <c r="HG4" i="14"/>
  <c r="HS53" i="14"/>
  <c r="HS13" i="14"/>
  <c r="HT17" i="14"/>
  <c r="HT29" i="14"/>
  <c r="HT47" i="14"/>
  <c r="HE22" i="14"/>
  <c r="HE33" i="14"/>
  <c r="HE44" i="14"/>
  <c r="HN15" i="14"/>
  <c r="HN19" i="14"/>
  <c r="HN23" i="14"/>
  <c r="HN31" i="14"/>
  <c r="HN34" i="14"/>
  <c r="HN45" i="14"/>
  <c r="HN50" i="14"/>
  <c r="HN55" i="14"/>
  <c r="HS19" i="14"/>
  <c r="HS33" i="14"/>
  <c r="HS54" i="14"/>
  <c r="HS15" i="14"/>
  <c r="HS23" i="14"/>
  <c r="HS34" i="14"/>
  <c r="HS16" i="14"/>
  <c r="HS28" i="14"/>
  <c r="HS46" i="14"/>
  <c r="HS56" i="14"/>
  <c r="HS31" i="14"/>
  <c r="HS55" i="14"/>
  <c r="HS35" i="14"/>
  <c r="HT13" i="14"/>
  <c r="HT21" i="14"/>
  <c r="HT14" i="14"/>
  <c r="HS20" i="14"/>
  <c r="HS38" i="14"/>
  <c r="HS51" i="14"/>
  <c r="HT16" i="14"/>
  <c r="GM55" i="14"/>
  <c r="GN54" i="14"/>
  <c r="GN51" i="14"/>
  <c r="FX56" i="14"/>
  <c r="ES56" i="14"/>
  <c r="ES55" i="14"/>
  <c r="FX54" i="14"/>
  <c r="ES54" i="14"/>
  <c r="ES53" i="14"/>
  <c r="ES51" i="14"/>
  <c r="ES49" i="14"/>
  <c r="ES44" i="14"/>
  <c r="GC56" i="14"/>
  <c r="EX56" i="14"/>
  <c r="ET56" i="14"/>
  <c r="GV55" i="14"/>
  <c r="GB54" i="14"/>
  <c r="GV53" i="14"/>
  <c r="FX38" i="14"/>
  <c r="FX36" i="14"/>
  <c r="ES34" i="14"/>
  <c r="ES32" i="14"/>
  <c r="ES31" i="14"/>
  <c r="ES30" i="14"/>
  <c r="ES29" i="14"/>
  <c r="ES28" i="14"/>
  <c r="GX38" i="14"/>
  <c r="FI38" i="14"/>
  <c r="FD38" i="14"/>
  <c r="FC38" i="14"/>
  <c r="ES36" i="14"/>
  <c r="GB35" i="14"/>
  <c r="ES35" i="14"/>
  <c r="GV34" i="14"/>
  <c r="FW34" i="14"/>
  <c r="GN32" i="14"/>
  <c r="ES22" i="14"/>
  <c r="ES21" i="14"/>
  <c r="ES20" i="14"/>
  <c r="ES19" i="14"/>
  <c r="ES18" i="14"/>
  <c r="ES17" i="14"/>
  <c r="ES16" i="14"/>
  <c r="ES15" i="14"/>
  <c r="ES14" i="14"/>
  <c r="ES23" i="14"/>
  <c r="DY4" i="14"/>
  <c r="T21" i="10" s="1"/>
  <c r="DX4" i="14"/>
  <c r="I21" i="10" s="1"/>
  <c r="DV4" i="14"/>
  <c r="Y18" i="10" s="1"/>
  <c r="DT4" i="14"/>
  <c r="C18" i="10" s="1"/>
  <c r="Z45" i="10"/>
  <c r="E45" i="10"/>
  <c r="Z44" i="10"/>
  <c r="E44" i="10"/>
  <c r="Y20" i="10"/>
  <c r="Z43" i="10"/>
  <c r="C20" i="10"/>
  <c r="E43" i="10"/>
  <c r="Z42" i="10"/>
  <c r="E42" i="10"/>
  <c r="T43" i="10"/>
  <c r="T44" i="10"/>
  <c r="T45" i="10"/>
  <c r="T46" i="10"/>
  <c r="K45" i="10"/>
  <c r="K44" i="10"/>
  <c r="C22" i="10"/>
  <c r="K46" i="10"/>
  <c r="Z40" i="10"/>
  <c r="Z39" i="10"/>
  <c r="CN4" i="14"/>
  <c r="Z38" i="10" s="1"/>
  <c r="Z35" i="10"/>
  <c r="Z34" i="10"/>
  <c r="CI4" i="14"/>
  <c r="Z33" i="10" s="1"/>
  <c r="V35" i="10"/>
  <c r="V34" i="10"/>
  <c r="V33" i="10"/>
  <c r="S35" i="10"/>
  <c r="S34" i="10"/>
  <c r="CA4" i="14"/>
  <c r="S33" i="10" s="1"/>
  <c r="S40" i="10"/>
  <c r="S39" i="10"/>
  <c r="BV4" i="14"/>
  <c r="S38" i="10" s="1"/>
  <c r="L40" i="10"/>
  <c r="L39" i="10"/>
  <c r="BQ4" i="14"/>
  <c r="L38" i="10" s="1"/>
  <c r="D35" i="10"/>
  <c r="D34" i="10"/>
  <c r="BL4" i="14"/>
  <c r="D33" i="10" s="1"/>
  <c r="I35" i="10"/>
  <c r="I34" i="10"/>
  <c r="I33" i="10"/>
  <c r="L35" i="10"/>
  <c r="L34" i="10"/>
  <c r="BD4" i="14"/>
  <c r="L33" i="10" s="1"/>
  <c r="U31" i="10"/>
  <c r="U29" i="10"/>
  <c r="U27" i="10"/>
  <c r="X29" i="10"/>
  <c r="X27" i="10"/>
  <c r="X25" i="10"/>
  <c r="U25" i="10"/>
  <c r="R30" i="10"/>
  <c r="R29" i="10"/>
  <c r="R28" i="10"/>
  <c r="R27" i="10"/>
  <c r="AN4" i="14"/>
  <c r="P24" i="10" s="1"/>
  <c r="G31" i="10"/>
  <c r="G29" i="10"/>
  <c r="G27" i="10"/>
  <c r="D29" i="10"/>
  <c r="D27" i="10"/>
  <c r="D25" i="10"/>
  <c r="G25" i="10"/>
  <c r="L30" i="10"/>
  <c r="L29" i="10"/>
  <c r="L28" i="10"/>
  <c r="L27" i="10"/>
  <c r="X4" i="14"/>
  <c r="M24" i="10" s="1"/>
  <c r="U4" i="14"/>
  <c r="T4" i="14"/>
  <c r="Q4" i="14"/>
  <c r="P4" i="14"/>
  <c r="F11" i="10" s="1"/>
  <c r="N4" i="14"/>
  <c r="P11" i="10" s="1"/>
  <c r="M4" i="14"/>
  <c r="M11" i="10" s="1"/>
  <c r="G18" i="13"/>
  <c r="G13" i="13"/>
  <c r="I12" i="13"/>
  <c r="G21" i="13"/>
  <c r="S22" i="13"/>
  <c r="M19" i="13"/>
  <c r="M12" i="13"/>
  <c r="H15" i="13"/>
  <c r="S21" i="13"/>
  <c r="O12" i="13"/>
  <c r="G11" i="13"/>
  <c r="H16" i="13"/>
  <c r="N11" i="13"/>
  <c r="H11" i="13"/>
  <c r="I18" i="13"/>
  <c r="M21" i="13"/>
  <c r="W17" i="13"/>
  <c r="I10" i="13"/>
  <c r="O10" i="13"/>
  <c r="S11" i="13"/>
  <c r="N12" i="13"/>
  <c r="W12" i="13"/>
  <c r="W13" i="13"/>
  <c r="H10" i="13"/>
  <c r="S19" i="13"/>
  <c r="M14" i="13"/>
  <c r="G20" i="13"/>
  <c r="W24" i="13"/>
  <c r="I13" i="13"/>
  <c r="M17" i="13"/>
  <c r="S10" i="13"/>
  <c r="H13" i="13"/>
  <c r="S20" i="13"/>
  <c r="G12" i="13"/>
  <c r="G17" i="13"/>
  <c r="N14" i="13"/>
  <c r="O13" i="13"/>
  <c r="I14" i="13"/>
  <c r="M20" i="13"/>
  <c r="G14" i="13"/>
  <c r="O11" i="13"/>
  <c r="O18" i="13"/>
  <c r="I15" i="13"/>
  <c r="M15" i="13"/>
  <c r="N13" i="13"/>
  <c r="W14" i="13"/>
  <c r="W9" i="13"/>
  <c r="S12" i="13"/>
  <c r="H14" i="13"/>
  <c r="S13" i="13"/>
  <c r="G16" i="13"/>
  <c r="I11" i="13"/>
  <c r="W18" i="13"/>
  <c r="H17" i="13"/>
  <c r="M10" i="13"/>
  <c r="H18" i="13"/>
  <c r="M13" i="13"/>
  <c r="O14" i="13"/>
  <c r="H12" i="13"/>
  <c r="W19" i="13"/>
  <c r="W20" i="13"/>
  <c r="M11" i="13"/>
  <c r="W21" i="13"/>
  <c r="W10" i="13"/>
  <c r="S14" i="13"/>
  <c r="G10" i="13"/>
  <c r="N10" i="13"/>
  <c r="G15" i="13"/>
  <c r="W22" i="13"/>
  <c r="I16" i="13"/>
  <c r="I17" i="13"/>
  <c r="W23" i="13"/>
  <c r="M16" i="13"/>
  <c r="W11" i="13"/>
  <c r="EF4" i="14" l="1"/>
  <c r="H48" i="10" s="1"/>
  <c r="EP4" i="14"/>
  <c r="EK4" i="14"/>
  <c r="EB4" i="14"/>
  <c r="M48" i="10" s="1"/>
  <c r="EC4" i="14"/>
  <c r="EJ53" i="14"/>
  <c r="EI34" i="14"/>
  <c r="EI36" i="14"/>
  <c r="FJ55" i="14"/>
  <c r="FJ56" i="14"/>
  <c r="EY36" i="14"/>
  <c r="EY38" i="14"/>
  <c r="FI55" i="14"/>
  <c r="FI56" i="14"/>
  <c r="GD38" i="14"/>
  <c r="EN56" i="14"/>
  <c r="EX34" i="14"/>
  <c r="GD55" i="14"/>
  <c r="FX55" i="14"/>
  <c r="GB51" i="14"/>
  <c r="GB55" i="14"/>
  <c r="GC53" i="14"/>
  <c r="EN54" i="14"/>
  <c r="GC54" i="14"/>
  <c r="GC50" i="14"/>
  <c r="GB53" i="14"/>
  <c r="FI54" i="14"/>
  <c r="GB56" i="14"/>
  <c r="GC55" i="14"/>
  <c r="GW53" i="14"/>
  <c r="GY53" i="14" s="1"/>
  <c r="FX53" i="14"/>
  <c r="GW47" i="14"/>
  <c r="GX35" i="14"/>
  <c r="GD33" i="14"/>
  <c r="FI51" i="14"/>
  <c r="EO50" i="14"/>
  <c r="GV33" i="14"/>
  <c r="EO51" i="14"/>
  <c r="EO53" i="14"/>
  <c r="FC56" i="14"/>
  <c r="E51" i="10"/>
  <c r="ET33" i="14"/>
  <c r="EN55" i="14"/>
  <c r="FJ35" i="14"/>
  <c r="FC36" i="14"/>
  <c r="EY50" i="14"/>
  <c r="EY51" i="14"/>
  <c r="EY53" i="14"/>
  <c r="EY56" i="14"/>
  <c r="EJ34" i="14"/>
  <c r="EJ38" i="14"/>
  <c r="GB38" i="14"/>
  <c r="EX47" i="14"/>
  <c r="EX54" i="14"/>
  <c r="EX55" i="14"/>
  <c r="GD35" i="14"/>
  <c r="FJ53" i="14"/>
  <c r="FJ54" i="14"/>
  <c r="GD54" i="14"/>
  <c r="GD56" i="14"/>
  <c r="AB43" i="10"/>
  <c r="GC38" i="14"/>
  <c r="EX51" i="14"/>
  <c r="EY54" i="14"/>
  <c r="EY55" i="14"/>
  <c r="GM32" i="14"/>
  <c r="K43" i="10"/>
  <c r="FW56" i="14"/>
  <c r="GV49" i="14"/>
  <c r="FW55" i="14"/>
  <c r="Y22" i="10"/>
  <c r="FI35" i="14"/>
  <c r="C43" i="10"/>
  <c r="D43" i="10" s="1"/>
  <c r="FI34" i="14"/>
  <c r="EX35" i="14"/>
  <c r="FI36" i="14"/>
  <c r="GB36" i="14"/>
  <c r="EY34" i="14"/>
  <c r="EY35" i="14"/>
  <c r="EY33" i="14"/>
  <c r="GB32" i="14"/>
  <c r="FI33" i="14"/>
  <c r="GB34" i="14"/>
  <c r="ET35" i="14"/>
  <c r="ET38" i="14"/>
  <c r="GW34" i="14"/>
  <c r="GY34" i="14" s="1"/>
  <c r="GX32" i="14"/>
  <c r="GX36" i="14"/>
  <c r="FD36" i="14"/>
  <c r="GM51" i="14"/>
  <c r="FI47" i="14"/>
  <c r="FI50" i="14"/>
  <c r="GB50" i="14"/>
  <c r="GW50" i="14"/>
  <c r="GN55" i="14"/>
  <c r="GW38" i="14"/>
  <c r="GX56" i="14"/>
  <c r="GX33" i="14"/>
  <c r="FC35" i="14"/>
  <c r="EI47" i="14"/>
  <c r="EJ50" i="14"/>
  <c r="EX53" i="14"/>
  <c r="GC33" i="14"/>
  <c r="FJ34" i="14"/>
  <c r="GC35" i="14"/>
  <c r="EN36" i="14"/>
  <c r="FJ36" i="14"/>
  <c r="GC36" i="14"/>
  <c r="EN38" i="14"/>
  <c r="FJ38" i="14"/>
  <c r="EO55" i="14"/>
  <c r="EO56" i="14"/>
  <c r="GV56" i="14"/>
  <c r="EO33" i="14"/>
  <c r="EO34" i="14"/>
  <c r="EO35" i="14"/>
  <c r="EO36" i="14"/>
  <c r="GV38" i="14"/>
  <c r="GZ38" i="14" s="1"/>
  <c r="FD51" i="14"/>
  <c r="GW51" i="14"/>
  <c r="GX54" i="14"/>
  <c r="GN36" i="14"/>
  <c r="EN33" i="14"/>
  <c r="EN34" i="14"/>
  <c r="EN35" i="14"/>
  <c r="EX50" i="14"/>
  <c r="EI53" i="14"/>
  <c r="EI55" i="14"/>
  <c r="EI56" i="14"/>
  <c r="FJ51" i="14"/>
  <c r="GC51" i="14"/>
  <c r="FI53" i="14"/>
  <c r="FC53" i="14"/>
  <c r="FC54" i="14"/>
  <c r="FC55" i="14"/>
  <c r="EJ32" i="14"/>
  <c r="EJ35" i="14"/>
  <c r="EX36" i="14"/>
  <c r="EX38" i="14"/>
  <c r="FD54" i="14"/>
  <c r="EA36" i="14"/>
  <c r="EE36" i="14" s="1"/>
  <c r="EA38" i="14"/>
  <c r="ED38" i="14" s="1"/>
  <c r="ET34" i="14"/>
  <c r="EY47" i="14"/>
  <c r="GC49" i="14"/>
  <c r="GD53" i="14"/>
  <c r="GW54" i="14"/>
  <c r="EJ51" i="14"/>
  <c r="EI54" i="14"/>
  <c r="ET32" i="14"/>
  <c r="FJ33" i="14"/>
  <c r="GB33" i="14"/>
  <c r="GC34" i="14"/>
  <c r="FC49" i="14"/>
  <c r="EN50" i="14"/>
  <c r="FC50" i="14"/>
  <c r="GD32" i="14"/>
  <c r="FC34" i="14"/>
  <c r="GD34" i="14"/>
  <c r="GD36" i="14"/>
  <c r="EO38" i="14"/>
  <c r="FD53" i="14"/>
  <c r="FD55" i="14"/>
  <c r="EA56" i="14"/>
  <c r="EE56" i="14" s="1"/>
  <c r="FD56" i="14"/>
  <c r="EA33" i="14"/>
  <c r="ED33" i="14" s="1"/>
  <c r="GW33" i="14"/>
  <c r="FD35" i="14"/>
  <c r="GW35" i="14"/>
  <c r="GW36" i="14"/>
  <c r="EI49" i="14"/>
  <c r="EI50" i="14"/>
  <c r="ET51" i="14"/>
  <c r="GX51" i="14"/>
  <c r="ET53" i="14"/>
  <c r="ET54" i="14"/>
  <c r="GV35" i="14"/>
  <c r="GW32" i="14"/>
  <c r="GW55" i="14"/>
  <c r="GY55" i="14" s="1"/>
  <c r="GX55" i="14"/>
  <c r="GZ55" i="14" s="1"/>
  <c r="FD47" i="14"/>
  <c r="ET55" i="14"/>
  <c r="FJ50" i="14"/>
  <c r="EY32" i="14"/>
  <c r="EI32" i="14"/>
  <c r="EY49" i="14"/>
  <c r="FI46" i="14"/>
  <c r="FW36" i="14"/>
  <c r="FX49" i="14"/>
  <c r="FW33" i="14"/>
  <c r="FC51" i="14"/>
  <c r="EN53" i="14"/>
  <c r="GN53" i="14"/>
  <c r="GC32" i="14"/>
  <c r="FD50" i="14"/>
  <c r="GD50" i="14"/>
  <c r="FD32" i="14"/>
  <c r="FD33" i="14"/>
  <c r="FD34" i="14"/>
  <c r="GX34" i="14"/>
  <c r="GZ34" i="14" s="1"/>
  <c r="GX50" i="14"/>
  <c r="EI33" i="14"/>
  <c r="GD51" i="14"/>
  <c r="GW49" i="14"/>
  <c r="EN31" i="14"/>
  <c r="EA53" i="14"/>
  <c r="EE53" i="14" s="1"/>
  <c r="EA34" i="14"/>
  <c r="EE34" i="14" s="1"/>
  <c r="FJ46" i="14"/>
  <c r="GC47" i="14"/>
  <c r="GW56" i="14"/>
  <c r="FX46" i="14"/>
  <c r="FX47" i="14"/>
  <c r="FC33" i="14"/>
  <c r="ET36" i="14"/>
  <c r="EJ47" i="14"/>
  <c r="EX49" i="14"/>
  <c r="FW51" i="14"/>
  <c r="FW53" i="14"/>
  <c r="EX33" i="14"/>
  <c r="FW54" i="14"/>
  <c r="EJ36" i="14"/>
  <c r="FJ32" i="14"/>
  <c r="EO46" i="14"/>
  <c r="EO47" i="14"/>
  <c r="EN51" i="14"/>
  <c r="FW35" i="14"/>
  <c r="FX33" i="14"/>
  <c r="FD49" i="14"/>
  <c r="FX34" i="14"/>
  <c r="FX50" i="14"/>
  <c r="EA32" i="14"/>
  <c r="ED32" i="14" s="1"/>
  <c r="FX51" i="14"/>
  <c r="FW38" i="14"/>
  <c r="FW50" i="14"/>
  <c r="FX35" i="14"/>
  <c r="EX32" i="14"/>
  <c r="GV32" i="14"/>
  <c r="EJ33" i="14"/>
  <c r="GD46" i="14"/>
  <c r="EA47" i="14"/>
  <c r="ED47" i="14" s="1"/>
  <c r="ET47" i="14"/>
  <c r="GX47" i="14"/>
  <c r="EA49" i="14"/>
  <c r="EE49" i="14" s="1"/>
  <c r="GD49" i="14"/>
  <c r="GX49" i="14"/>
  <c r="EA50" i="14"/>
  <c r="EE50" i="14" s="1"/>
  <c r="ET50" i="14"/>
  <c r="ES47" i="14"/>
  <c r="EJ46" i="14"/>
  <c r="EN46" i="14"/>
  <c r="FW46" i="14"/>
  <c r="EJ49" i="14"/>
  <c r="EO32" i="14"/>
  <c r="FX32" i="14"/>
  <c r="GW46" i="14"/>
  <c r="FJ49" i="14"/>
  <c r="FW49" i="14"/>
  <c r="EO49" i="14"/>
  <c r="GB47" i="14"/>
  <c r="GN47" i="14"/>
  <c r="FD31" i="14"/>
  <c r="GB31" i="14"/>
  <c r="GV31" i="14"/>
  <c r="FI32" i="14"/>
  <c r="FX31" i="14"/>
  <c r="EN32" i="14"/>
  <c r="ET46" i="14"/>
  <c r="GM46" i="14"/>
  <c r="FC47" i="14"/>
  <c r="EN49" i="14"/>
  <c r="EO31" i="14"/>
  <c r="FI31" i="14"/>
  <c r="FJ47" i="14"/>
  <c r="ES46" i="14"/>
  <c r="GD31" i="14"/>
  <c r="EA30" i="14"/>
  <c r="EE30" i="14" s="1"/>
  <c r="GD30" i="14"/>
  <c r="GX30" i="14"/>
  <c r="GB44" i="14"/>
  <c r="FC45" i="14"/>
  <c r="EJ31" i="14"/>
  <c r="FX44" i="14"/>
  <c r="EY31" i="14"/>
  <c r="EA31" i="14"/>
  <c r="EE31" i="14" s="1"/>
  <c r="GX31" i="14"/>
  <c r="FC32" i="14"/>
  <c r="FX30" i="14"/>
  <c r="EX31" i="14"/>
  <c r="GB46" i="14"/>
  <c r="EO45" i="14"/>
  <c r="GW30" i="14"/>
  <c r="EI45" i="14"/>
  <c r="FD30" i="14"/>
  <c r="EJ44" i="14"/>
  <c r="FD46" i="14"/>
  <c r="FW30" i="14"/>
  <c r="FC30" i="14"/>
  <c r="FW31" i="14"/>
  <c r="FJ45" i="14"/>
  <c r="EN47" i="14"/>
  <c r="GM31" i="14"/>
  <c r="GC46" i="14"/>
  <c r="ET29" i="14"/>
  <c r="GN29" i="14"/>
  <c r="EX45" i="14"/>
  <c r="EI46" i="14"/>
  <c r="GX46" i="14"/>
  <c r="M51" i="10"/>
  <c r="ET44" i="14"/>
  <c r="GC45" i="14"/>
  <c r="ET30" i="14"/>
  <c r="EN29" i="14"/>
  <c r="EX30" i="14"/>
  <c r="ET31" i="14"/>
  <c r="GC31" i="14"/>
  <c r="FW32" i="14"/>
  <c r="EO30" i="14"/>
  <c r="GC44" i="14"/>
  <c r="GN44" i="14"/>
  <c r="FD45" i="14"/>
  <c r="GV46" i="14"/>
  <c r="GC29" i="14"/>
  <c r="GB30" i="14"/>
  <c r="FC31" i="14"/>
  <c r="FJ31" i="14"/>
  <c r="FC44" i="14"/>
  <c r="FJ44" i="14"/>
  <c r="EJ45" i="14"/>
  <c r="GV29" i="14"/>
  <c r="FI30" i="14"/>
  <c r="EI31" i="14"/>
  <c r="GW31" i="14"/>
  <c r="EI29" i="14"/>
  <c r="GC30" i="14"/>
  <c r="GB29" i="14"/>
  <c r="EI28" i="14"/>
  <c r="FI44" i="14"/>
  <c r="GX45" i="14"/>
  <c r="EA46" i="14"/>
  <c r="EE46" i="14" s="1"/>
  <c r="EX29" i="14"/>
  <c r="GX29" i="14"/>
  <c r="EY30" i="14"/>
  <c r="GN28" i="14"/>
  <c r="FD29" i="14"/>
  <c r="FJ30" i="14"/>
  <c r="GV44" i="14"/>
  <c r="FJ29" i="14"/>
  <c r="EJ30" i="14"/>
  <c r="EI44" i="14"/>
  <c r="EY44" i="14"/>
  <c r="GD44" i="14"/>
  <c r="EA45" i="14"/>
  <c r="ED45" i="14" s="1"/>
  <c r="ET45" i="14"/>
  <c r="GB45" i="14"/>
  <c r="GV45" i="14"/>
  <c r="EN44" i="14"/>
  <c r="GD28" i="14"/>
  <c r="GX41" i="14"/>
  <c r="ET41" i="14"/>
  <c r="GB28" i="14"/>
  <c r="FC29" i="14"/>
  <c r="GC28" i="14"/>
  <c r="GX28" i="14"/>
  <c r="GW28" i="14"/>
  <c r="GV28" i="14"/>
  <c r="EO29" i="14"/>
  <c r="FX29" i="14"/>
  <c r="EN30" i="14"/>
  <c r="FD44" i="14"/>
  <c r="EO41" i="14"/>
  <c r="FI41" i="14"/>
  <c r="GW45" i="14"/>
  <c r="GD47" i="14"/>
  <c r="FC41" i="14"/>
  <c r="FJ41" i="14"/>
  <c r="FW41" i="14"/>
  <c r="ET28" i="14"/>
  <c r="ES45" i="14"/>
  <c r="GW29" i="14"/>
  <c r="EJ28" i="14"/>
  <c r="EX28" i="14"/>
  <c r="FI28" i="14"/>
  <c r="EJ29" i="14"/>
  <c r="FD41" i="14"/>
  <c r="E48" i="10"/>
  <c r="E52" i="10"/>
  <c r="U48" i="10"/>
  <c r="EN28" i="14"/>
  <c r="FW28" i="14"/>
  <c r="FC28" i="14"/>
  <c r="FX28" i="14"/>
  <c r="EY29" i="14"/>
  <c r="GX44" i="14"/>
  <c r="EI41" i="14"/>
  <c r="EY41" i="14"/>
  <c r="GD41" i="14"/>
  <c r="EA28" i="14"/>
  <c r="FD28" i="14"/>
  <c r="FW29" i="14"/>
  <c r="EJ41" i="14"/>
  <c r="EX44" i="14"/>
  <c r="FW44" i="14"/>
  <c r="EO28" i="14"/>
  <c r="EY28" i="14"/>
  <c r="GM41" i="14"/>
  <c r="EO44" i="14"/>
  <c r="GW44" i="14"/>
  <c r="AA50" i="10"/>
  <c r="EN45" i="14"/>
  <c r="EY45" i="14"/>
  <c r="FI45" i="14"/>
  <c r="FX45" i="14"/>
  <c r="GD45" i="14"/>
  <c r="EY46" i="14"/>
  <c r="FJ28" i="14"/>
  <c r="GD29" i="14"/>
  <c r="GN30" i="14"/>
  <c r="GC41" i="14"/>
  <c r="EA44" i="14"/>
  <c r="ED44" i="14" s="1"/>
  <c r="Q51" i="10"/>
  <c r="FW45" i="14"/>
  <c r="EN41" i="14"/>
  <c r="GB41" i="14"/>
  <c r="GW41" i="14"/>
  <c r="EA41" i="14"/>
  <c r="EX46" i="14"/>
  <c r="I54" i="10"/>
  <c r="ET49" i="14"/>
  <c r="GV50" i="14"/>
  <c r="GX53" i="14"/>
  <c r="GZ53" i="14" s="1"/>
  <c r="GM56" i="14"/>
  <c r="GN41" i="14"/>
  <c r="GN46" i="14"/>
  <c r="GM50" i="14"/>
  <c r="EA54" i="14"/>
  <c r="EE54" i="14" s="1"/>
  <c r="GV54" i="14"/>
  <c r="GN56" i="14"/>
  <c r="R48" i="10"/>
  <c r="ES41" i="14"/>
  <c r="FX41" i="14"/>
  <c r="GM44" i="14"/>
  <c r="GV47" i="14"/>
  <c r="ES50" i="14"/>
  <c r="GN50" i="14"/>
  <c r="GM54" i="14"/>
  <c r="FC46" i="14"/>
  <c r="FW47" i="14"/>
  <c r="GM47" i="14"/>
  <c r="FI49" i="14"/>
  <c r="GB49" i="14"/>
  <c r="EA51" i="14"/>
  <c r="EE51" i="14" s="1"/>
  <c r="EI51" i="14"/>
  <c r="GV51" i="14"/>
  <c r="EA55" i="14"/>
  <c r="EE55" i="14" s="1"/>
  <c r="L54" i="10"/>
  <c r="EX41" i="14"/>
  <c r="GM45" i="14"/>
  <c r="GV41" i="14"/>
  <c r="GN45" i="14"/>
  <c r="GM49" i="14"/>
  <c r="GN49" i="14"/>
  <c r="GM53" i="14"/>
  <c r="EI30" i="14"/>
  <c r="FI29" i="14"/>
  <c r="EA29" i="14"/>
  <c r="ED29" i="14" s="1"/>
  <c r="GN31" i="14"/>
  <c r="GM33" i="14"/>
  <c r="EA35" i="14"/>
  <c r="EE35" i="14" s="1"/>
  <c r="GM29" i="14"/>
  <c r="ES33" i="14"/>
  <c r="GN33" i="14"/>
  <c r="GM35" i="14"/>
  <c r="GN35" i="14"/>
  <c r="GM38" i="14"/>
  <c r="GV30" i="14"/>
  <c r="GM34" i="14"/>
  <c r="GV36" i="14"/>
  <c r="ES38" i="14"/>
  <c r="GN38" i="14"/>
  <c r="GM30" i="14"/>
  <c r="GN34" i="14"/>
  <c r="GM36" i="14"/>
  <c r="GM28" i="14"/>
  <c r="E53" i="10"/>
  <c r="V48" i="10"/>
  <c r="U51" i="10"/>
  <c r="AA53" i="10"/>
  <c r="I48" i="10"/>
  <c r="L51" i="10"/>
  <c r="E54" i="10"/>
  <c r="V51" i="10"/>
  <c r="AA54" i="10"/>
  <c r="H51" i="10"/>
  <c r="Q54" i="10"/>
  <c r="V54" i="10"/>
  <c r="AA49" i="10"/>
  <c r="I51" i="10"/>
  <c r="R54" i="10"/>
  <c r="Q48" i="10"/>
  <c r="AA48" i="10"/>
  <c r="D48" i="10"/>
  <c r="H54" i="10"/>
  <c r="R51" i="10"/>
  <c r="AA52" i="10"/>
  <c r="EA21" i="14"/>
  <c r="EE21" i="14" s="1"/>
  <c r="GW22" i="14"/>
  <c r="BO2" i="14"/>
  <c r="EA20" i="14"/>
  <c r="ED20" i="14" s="1"/>
  <c r="GD16" i="14"/>
  <c r="EO18" i="14"/>
  <c r="FX18" i="14"/>
  <c r="EY19" i="14"/>
  <c r="EN16" i="14"/>
  <c r="EX17" i="14"/>
  <c r="ET18" i="14"/>
  <c r="EA23" i="14"/>
  <c r="ED23" i="14" s="1"/>
  <c r="BG3" i="14"/>
  <c r="FW16" i="14"/>
  <c r="EN20" i="14"/>
  <c r="EN22" i="14"/>
  <c r="FW22" i="14"/>
  <c r="EX23" i="14"/>
  <c r="GD15" i="14"/>
  <c r="ET16" i="14"/>
  <c r="EN18" i="14"/>
  <c r="FW18" i="14"/>
  <c r="EX19" i="14"/>
  <c r="ET20" i="14"/>
  <c r="EO22" i="14"/>
  <c r="FX22" i="14"/>
  <c r="EY23" i="14"/>
  <c r="AO4" i="14"/>
  <c r="AU4" i="14" s="1"/>
  <c r="CM4" i="14"/>
  <c r="GX13" i="14"/>
  <c r="EA14" i="14"/>
  <c r="ED14" i="14" s="1"/>
  <c r="GB14" i="14"/>
  <c r="GM14" i="14"/>
  <c r="EO15" i="14"/>
  <c r="FC15" i="14"/>
  <c r="FX15" i="14"/>
  <c r="EY16" i="14"/>
  <c r="FI16" i="14"/>
  <c r="EI17" i="14"/>
  <c r="GB18" i="14"/>
  <c r="FC19" i="14"/>
  <c r="EY20" i="14"/>
  <c r="FI20" i="14"/>
  <c r="GW14" i="14"/>
  <c r="FD15" i="14"/>
  <c r="FJ16" i="14"/>
  <c r="EJ17" i="14"/>
  <c r="GC18" i="14"/>
  <c r="FD19" i="14"/>
  <c r="CQ4" i="14"/>
  <c r="GD22" i="14"/>
  <c r="CR4" i="14"/>
  <c r="CM2" i="14"/>
  <c r="BH3" i="14"/>
  <c r="CD3" i="14"/>
  <c r="CR3" i="14"/>
  <c r="V2" i="14"/>
  <c r="Y3" i="14"/>
  <c r="AE3" i="14" s="1"/>
  <c r="GV14" i="14"/>
  <c r="EA17" i="14"/>
  <c r="ED17" i="14" s="1"/>
  <c r="GD19" i="14"/>
  <c r="GD20" i="14"/>
  <c r="EI21" i="14"/>
  <c r="GB22" i="14"/>
  <c r="GM22" i="14"/>
  <c r="EO23" i="14"/>
  <c r="FC23" i="14"/>
  <c r="FX23" i="14"/>
  <c r="FJ20" i="14"/>
  <c r="FW20" i="14"/>
  <c r="EJ21" i="14"/>
  <c r="EX21" i="14"/>
  <c r="ET22" i="14"/>
  <c r="GC22" i="14"/>
  <c r="GN22" i="14"/>
  <c r="FD23" i="14"/>
  <c r="GD23" i="14"/>
  <c r="DS2" i="14"/>
  <c r="V3" i="14"/>
  <c r="Y4" i="14"/>
  <c r="AC4" i="14" s="1"/>
  <c r="BT4" i="14"/>
  <c r="GN18" i="14"/>
  <c r="GX18" i="14"/>
  <c r="BZ2" i="14"/>
  <c r="DZ2" i="14"/>
  <c r="EI14" i="14"/>
  <c r="GB15" i="14"/>
  <c r="EO16" i="14"/>
  <c r="FC16" i="14"/>
  <c r="FX16" i="14"/>
  <c r="EY17" i="14"/>
  <c r="FI17" i="14"/>
  <c r="GD17" i="14"/>
  <c r="EI18" i="14"/>
  <c r="GB19" i="14"/>
  <c r="GM19" i="14"/>
  <c r="EO20" i="14"/>
  <c r="FC20" i="14"/>
  <c r="FX20" i="14"/>
  <c r="EY21" i="14"/>
  <c r="FI21" i="14"/>
  <c r="EI22" i="14"/>
  <c r="GB23" i="14"/>
  <c r="GM23" i="14"/>
  <c r="GM15" i="14"/>
  <c r="EJ14" i="14"/>
  <c r="EX14" i="14"/>
  <c r="ET15" i="14"/>
  <c r="GC15" i="14"/>
  <c r="GN15" i="14"/>
  <c r="FD16" i="14"/>
  <c r="GV16" i="14"/>
  <c r="EN17" i="14"/>
  <c r="FJ17" i="14"/>
  <c r="FW17" i="14"/>
  <c r="EJ18" i="14"/>
  <c r="EX18" i="14"/>
  <c r="ET19" i="14"/>
  <c r="GC19" i="14"/>
  <c r="FD20" i="14"/>
  <c r="GV20" i="14"/>
  <c r="EN21" i="14"/>
  <c r="FJ21" i="14"/>
  <c r="FW21" i="14"/>
  <c r="GV21" i="14"/>
  <c r="EJ22" i="14"/>
  <c r="ET23" i="14"/>
  <c r="GC23" i="14"/>
  <c r="GN23" i="14"/>
  <c r="GW19" i="14"/>
  <c r="BT2" i="14"/>
  <c r="CX2" i="14"/>
  <c r="BH4" i="14"/>
  <c r="EO14" i="14"/>
  <c r="FC14" i="14"/>
  <c r="FX14" i="14"/>
  <c r="EY15" i="14"/>
  <c r="FI15" i="14"/>
  <c r="EI16" i="14"/>
  <c r="GB17" i="14"/>
  <c r="GM17" i="14"/>
  <c r="FC18" i="14"/>
  <c r="FI19" i="14"/>
  <c r="EI20" i="14"/>
  <c r="GB21" i="14"/>
  <c r="GM21" i="14"/>
  <c r="FC22" i="14"/>
  <c r="FD14" i="14"/>
  <c r="EN15" i="14"/>
  <c r="FJ15" i="14"/>
  <c r="FW15" i="14"/>
  <c r="EJ16" i="14"/>
  <c r="EX16" i="14"/>
  <c r="ET17" i="14"/>
  <c r="GC17" i="14"/>
  <c r="GN17" i="14"/>
  <c r="FD18" i="14"/>
  <c r="FJ19" i="14"/>
  <c r="EJ20" i="14"/>
  <c r="EX20" i="14"/>
  <c r="ET21" i="14"/>
  <c r="GC21" i="14"/>
  <c r="GN21" i="14"/>
  <c r="FD22" i="14"/>
  <c r="EN23" i="14"/>
  <c r="FJ23" i="14"/>
  <c r="FW23" i="14"/>
  <c r="CL3" i="14"/>
  <c r="ET13" i="14"/>
  <c r="GC13" i="14"/>
  <c r="GN13" i="14"/>
  <c r="GV15" i="14"/>
  <c r="EA18" i="14"/>
  <c r="EE18" i="14" s="1"/>
  <c r="EN19" i="14"/>
  <c r="FW19" i="14"/>
  <c r="GV19" i="14"/>
  <c r="GV22" i="14"/>
  <c r="EI13" i="14"/>
  <c r="GD13" i="14"/>
  <c r="GW18" i="14"/>
  <c r="GM18" i="14"/>
  <c r="EO19" i="14"/>
  <c r="FX19" i="14"/>
  <c r="EJ13" i="14"/>
  <c r="EX13" i="14"/>
  <c r="ET14" i="14"/>
  <c r="GC14" i="14"/>
  <c r="GN14" i="14"/>
  <c r="EY13" i="14"/>
  <c r="FI13" i="14"/>
  <c r="GD14" i="14"/>
  <c r="EA15" i="14"/>
  <c r="EE15" i="14" s="1"/>
  <c r="GD18" i="14"/>
  <c r="EN13" i="14"/>
  <c r="FJ13" i="14"/>
  <c r="FW13" i="14"/>
  <c r="GX16" i="14"/>
  <c r="GX19" i="14"/>
  <c r="GN19" i="14"/>
  <c r="EX22" i="14"/>
  <c r="EA16" i="14"/>
  <c r="EE16" i="14" s="1"/>
  <c r="EO13" i="14"/>
  <c r="FC13" i="14"/>
  <c r="FX13" i="14"/>
  <c r="EY14" i="14"/>
  <c r="FI14" i="14"/>
  <c r="EI15" i="14"/>
  <c r="GB16" i="14"/>
  <c r="GM16" i="14"/>
  <c r="EO17" i="14"/>
  <c r="FC17" i="14"/>
  <c r="FX17" i="14"/>
  <c r="EY18" i="14"/>
  <c r="FI18" i="14"/>
  <c r="EI19" i="14"/>
  <c r="GB20" i="14"/>
  <c r="GM20" i="14"/>
  <c r="EO21" i="14"/>
  <c r="FC21" i="14"/>
  <c r="FX21" i="14"/>
  <c r="EY22" i="14"/>
  <c r="FI22" i="14"/>
  <c r="EI23" i="14"/>
  <c r="EA13" i="14"/>
  <c r="FD13" i="14"/>
  <c r="GV13" i="14"/>
  <c r="EN14" i="14"/>
  <c r="FJ14" i="14"/>
  <c r="FW14" i="14"/>
  <c r="EJ15" i="14"/>
  <c r="EX15" i="14"/>
  <c r="GC16" i="14"/>
  <c r="GN16" i="14"/>
  <c r="FD17" i="14"/>
  <c r="GV17" i="14"/>
  <c r="FJ18" i="14"/>
  <c r="EJ19" i="14"/>
  <c r="GC20" i="14"/>
  <c r="GN20" i="14"/>
  <c r="FD21" i="14"/>
  <c r="FJ22" i="14"/>
  <c r="EJ23" i="14"/>
  <c r="GW13" i="14"/>
  <c r="ES13" i="14"/>
  <c r="GB13" i="14"/>
  <c r="GM13" i="14"/>
  <c r="FI23" i="14"/>
  <c r="EA19" i="14"/>
  <c r="ED19" i="14" s="1"/>
  <c r="GW15" i="14"/>
  <c r="GX14" i="14"/>
  <c r="GX21" i="14"/>
  <c r="GX22" i="14"/>
  <c r="GW16" i="14"/>
  <c r="GV18" i="14"/>
  <c r="GW20" i="14"/>
  <c r="GX20" i="14"/>
  <c r="GX15" i="14"/>
  <c r="GX17" i="14"/>
  <c r="GW17" i="14"/>
  <c r="GW21" i="14"/>
  <c r="GV23" i="14"/>
  <c r="GW23" i="14"/>
  <c r="GD21" i="14"/>
  <c r="EA22" i="14"/>
  <c r="ED22" i="14" s="1"/>
  <c r="GX23" i="14"/>
  <c r="Y2" i="14"/>
  <c r="AD2" i="14" s="1"/>
  <c r="BZ3" i="14"/>
  <c r="DU3" i="14"/>
  <c r="W4" i="14"/>
  <c r="T15" i="10" s="1"/>
  <c r="L2" i="14" a="1"/>
  <c r="L2" i="14" s="1"/>
  <c r="BH2" i="14"/>
  <c r="CR2" i="14"/>
  <c r="AO3" i="14"/>
  <c r="AU3" i="14" s="1"/>
  <c r="CM3" i="14"/>
  <c r="CX4" i="14"/>
  <c r="T42" i="10" s="1"/>
  <c r="O2" i="14"/>
  <c r="S2" i="14" s="1"/>
  <c r="CS2" i="14"/>
  <c r="L4" i="14" a="1"/>
  <c r="L4" i="14" s="1"/>
  <c r="CX3" i="14"/>
  <c r="BU4" i="14"/>
  <c r="CS4" i="14"/>
  <c r="K42" i="10" s="1"/>
  <c r="CL2" i="14"/>
  <c r="BT3" i="14"/>
  <c r="BY4" i="14"/>
  <c r="CD2" i="14"/>
  <c r="BZ4" i="14"/>
  <c r="BU3" i="14"/>
  <c r="CD4" i="14"/>
  <c r="W2" i="14"/>
  <c r="AO2" i="14"/>
  <c r="AT2" i="14" s="1"/>
  <c r="BY2" i="14"/>
  <c r="DU2" i="14"/>
  <c r="O3" i="14"/>
  <c r="R3" i="14" s="1"/>
  <c r="CE4" i="14"/>
  <c r="BO3" i="14"/>
  <c r="CS3" i="14"/>
  <c r="BO4" i="14"/>
  <c r="DU4" i="14"/>
  <c r="T18" i="10" s="1"/>
  <c r="BG2" i="14"/>
  <c r="BP2" i="14"/>
  <c r="CE2" i="14"/>
  <c r="W3" i="14"/>
  <c r="DS4" i="14"/>
  <c r="I18" i="10" s="1"/>
  <c r="BP3" i="14"/>
  <c r="CE3" i="14"/>
  <c r="DS3" i="14"/>
  <c r="DZ3" i="14"/>
  <c r="BP4" i="14"/>
  <c r="BG4" i="14"/>
  <c r="CL4" i="14"/>
  <c r="DZ4" i="14"/>
  <c r="BU2" i="14"/>
  <c r="CQ2" i="14"/>
  <c r="L3" i="14" a="1"/>
  <c r="L3" i="14" s="1"/>
  <c r="CQ3" i="14"/>
  <c r="BY3" i="14"/>
  <c r="V4" i="14"/>
  <c r="I15" i="10" s="1"/>
  <c r="O4" i="14"/>
  <c r="S4" i="14" s="1"/>
  <c r="E39" i="10"/>
  <c r="E38" i="10"/>
  <c r="GZ49" i="14" l="1"/>
  <c r="GY23" i="14"/>
  <c r="GY17" i="14"/>
  <c r="GZ23" i="14"/>
  <c r="GY21" i="14"/>
  <c r="GY14" i="14"/>
  <c r="GZ29" i="14"/>
  <c r="GZ13" i="14"/>
  <c r="GY44" i="14"/>
  <c r="GZ33" i="14"/>
  <c r="GY33" i="14"/>
  <c r="GZ56" i="14"/>
  <c r="GZ21" i="14"/>
  <c r="GY31" i="14"/>
  <c r="GZ17" i="14"/>
  <c r="GZ14" i="14"/>
  <c r="GV4" i="14"/>
  <c r="GX4" i="14"/>
  <c r="GZ31" i="14"/>
  <c r="GY15" i="14"/>
  <c r="GZ15" i="14"/>
  <c r="GY29" i="14"/>
  <c r="GY46" i="14"/>
  <c r="GZ28" i="14"/>
  <c r="GW4" i="14"/>
  <c r="GY19" i="14"/>
  <c r="GY22" i="14"/>
  <c r="GZ44" i="14"/>
  <c r="GY50" i="14"/>
  <c r="GZ32" i="14"/>
  <c r="GY32" i="14"/>
  <c r="GY36" i="14"/>
  <c r="GZ45" i="14"/>
  <c r="GY35" i="14"/>
  <c r="GY49" i="14"/>
  <c r="GZ20" i="14"/>
  <c r="ED2" i="14"/>
  <c r="GY16" i="14"/>
  <c r="GZ16" i="14"/>
  <c r="GD4" i="14"/>
  <c r="GZ46" i="14"/>
  <c r="GZ30" i="14"/>
  <c r="GY56" i="14"/>
  <c r="GZ51" i="14"/>
  <c r="GZ54" i="14"/>
  <c r="GY38" i="14"/>
  <c r="GZ35" i="14"/>
  <c r="GY20" i="14"/>
  <c r="GZ22" i="14"/>
  <c r="GY18" i="14"/>
  <c r="ED41" i="14"/>
  <c r="EA4" i="14"/>
  <c r="GZ41" i="14"/>
  <c r="GZ50" i="14"/>
  <c r="GY54" i="14"/>
  <c r="GY51" i="14"/>
  <c r="GY47" i="14"/>
  <c r="GZ19" i="14"/>
  <c r="EE28" i="14"/>
  <c r="EE3" i="14"/>
  <c r="GY13" i="14"/>
  <c r="GZ18" i="14"/>
  <c r="GY41" i="14"/>
  <c r="GY45" i="14"/>
  <c r="GY28" i="14"/>
  <c r="GY30" i="14"/>
  <c r="GZ47" i="14"/>
  <c r="GZ36" i="14"/>
  <c r="EE38" i="14"/>
  <c r="S54" i="10"/>
  <c r="ED56" i="14"/>
  <c r="ED36" i="14"/>
  <c r="DW2" i="14"/>
  <c r="ED21" i="14"/>
  <c r="S51" i="10"/>
  <c r="EE33" i="14"/>
  <c r="J54" i="10"/>
  <c r="N51" i="10"/>
  <c r="J48" i="10"/>
  <c r="EE47" i="14"/>
  <c r="ED34" i="14"/>
  <c r="ED53" i="14"/>
  <c r="ED50" i="14"/>
  <c r="ED49" i="14"/>
  <c r="ED31" i="14"/>
  <c r="EE32" i="14"/>
  <c r="ED30" i="14"/>
  <c r="ED46" i="14"/>
  <c r="AE4" i="14"/>
  <c r="AD4" i="14"/>
  <c r="EE45" i="14"/>
  <c r="AS4" i="14"/>
  <c r="AT4" i="14"/>
  <c r="HI4" i="14"/>
  <c r="EE44" i="14"/>
  <c r="ED28" i="14"/>
  <c r="ED55" i="14"/>
  <c r="EE41" i="14"/>
  <c r="ED51" i="14"/>
  <c r="ED54" i="14"/>
  <c r="EE29" i="14"/>
  <c r="ED35" i="14"/>
  <c r="EO2" i="14"/>
  <c r="EN2" i="14"/>
  <c r="HS3" i="14"/>
  <c r="FX2" i="14"/>
  <c r="HY2" i="14"/>
  <c r="HJ4" i="14"/>
  <c r="EE17" i="14"/>
  <c r="HT3" i="14"/>
  <c r="FW2" i="14"/>
  <c r="FI2" i="14"/>
  <c r="HE2" i="14"/>
  <c r="AC3" i="14"/>
  <c r="AD3" i="14"/>
  <c r="EE23" i="14"/>
  <c r="EE14" i="14"/>
  <c r="HD2" i="14"/>
  <c r="EE20" i="14"/>
  <c r="AE2" i="14"/>
  <c r="EE13" i="14"/>
  <c r="EI4" i="14"/>
  <c r="GN2" i="14"/>
  <c r="HN4" i="14"/>
  <c r="HX2" i="14"/>
  <c r="EX4" i="14"/>
  <c r="EY4" i="14"/>
  <c r="GC2" i="14"/>
  <c r="EN4" i="14"/>
  <c r="EJ4" i="14"/>
  <c r="ET4" i="14"/>
  <c r="AT3" i="14"/>
  <c r="FC4" i="14"/>
  <c r="R2" i="14"/>
  <c r="GN3" i="14"/>
  <c r="HS2" i="14"/>
  <c r="FD2" i="14"/>
  <c r="GM4" i="14"/>
  <c r="HS4" i="14"/>
  <c r="HX3" i="14"/>
  <c r="ED18" i="14"/>
  <c r="HI2" i="14"/>
  <c r="EI3" i="14"/>
  <c r="GB3" i="14"/>
  <c r="FD4" i="14"/>
  <c r="GC3" i="14"/>
  <c r="ED13" i="14"/>
  <c r="EI2" i="14"/>
  <c r="EY2" i="14"/>
  <c r="EX2" i="14"/>
  <c r="GM2" i="14"/>
  <c r="EN3" i="14"/>
  <c r="FI3" i="14"/>
  <c r="HY3" i="14"/>
  <c r="HE4" i="14"/>
  <c r="FJ3" i="14"/>
  <c r="ES4" i="14"/>
  <c r="FC2" i="14"/>
  <c r="EO3" i="14"/>
  <c r="ED15" i="14"/>
  <c r="FJ2" i="14"/>
  <c r="EJ2" i="14"/>
  <c r="GC4" i="14"/>
  <c r="HT4" i="14"/>
  <c r="ES3" i="14"/>
  <c r="AC2" i="14"/>
  <c r="HD4" i="14"/>
  <c r="ET3" i="14"/>
  <c r="FX3" i="14"/>
  <c r="HJ2" i="14"/>
  <c r="HY4" i="14"/>
  <c r="GM3" i="14"/>
  <c r="HX4" i="14"/>
  <c r="GB2" i="14"/>
  <c r="GB4" i="14"/>
  <c r="FW4" i="14"/>
  <c r="FX4" i="14"/>
  <c r="GN4" i="14"/>
  <c r="FC3" i="14"/>
  <c r="FW3" i="14"/>
  <c r="FI4" i="14"/>
  <c r="HD3" i="14"/>
  <c r="EX3" i="14"/>
  <c r="EO4" i="14"/>
  <c r="EE22" i="14"/>
  <c r="EJ3" i="14"/>
  <c r="ED16" i="14"/>
  <c r="DW3" i="14"/>
  <c r="HO4" i="14"/>
  <c r="FJ4" i="14"/>
  <c r="HT2" i="14"/>
  <c r="HE3" i="14"/>
  <c r="HO2" i="14"/>
  <c r="HN2" i="14"/>
  <c r="ET2" i="14"/>
  <c r="HJ3" i="14"/>
  <c r="HO3" i="14"/>
  <c r="FD3" i="14"/>
  <c r="HN3" i="14"/>
  <c r="EY3" i="14"/>
  <c r="ES2" i="14"/>
  <c r="HI3" i="14"/>
  <c r="EE19" i="14"/>
  <c r="AS3" i="14"/>
  <c r="DW4" i="14"/>
  <c r="AS2" i="14"/>
  <c r="AU2" i="14"/>
  <c r="S3" i="14"/>
  <c r="R4" i="14"/>
  <c r="P11" i="13"/>
  <c r="P12" i="13"/>
  <c r="P13" i="13"/>
  <c r="P14" i="13"/>
  <c r="J10" i="13"/>
  <c r="J11" i="13"/>
  <c r="J12" i="13"/>
  <c r="J13" i="13"/>
  <c r="J14" i="13"/>
  <c r="J15" i="13"/>
  <c r="J16" i="13"/>
  <c r="J17" i="13"/>
  <c r="J18" i="13"/>
  <c r="P10" i="13"/>
  <c r="AA43" i="10"/>
  <c r="L26" i="10"/>
  <c r="R26" i="10"/>
  <c r="AC25" i="10" l="1"/>
  <c r="AC26" i="10"/>
  <c r="AC27" i="10"/>
  <c r="EE4" i="14"/>
  <c r="L48" i="10"/>
  <c r="GY4" i="14"/>
  <c r="GY2" i="14"/>
  <c r="ED4" i="14"/>
  <c r="EE2" i="14"/>
  <c r="GY3" i="14"/>
  <c r="GZ4" i="14"/>
  <c r="GZ3" i="14"/>
  <c r="ED3" i="14"/>
  <c r="GZ2" i="14"/>
  <c r="J51" i="10"/>
  <c r="F54" i="10"/>
  <c r="F52" i="10"/>
  <c r="W48" i="10"/>
  <c r="W51" i="10"/>
  <c r="F48" i="10"/>
  <c r="W54" i="10"/>
  <c r="F53" i="10"/>
  <c r="N48" i="10" l="1"/>
  <c r="S48" i="10"/>
  <c r="J44" i="10" l="1"/>
  <c r="J45" i="10"/>
  <c r="J43" i="10"/>
  <c r="U44" i="10" l="1"/>
  <c r="U45" i="10"/>
  <c r="U43" i="1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<sst xmlns="http://schemas.openxmlformats.org/spreadsheetml/2006/main" count="7087" uniqueCount="777">
  <si>
    <t>Timeline</t>
  </si>
  <si>
    <t>Start time</t>
  </si>
  <si>
    <t>Duration</t>
  </si>
  <si>
    <t>Row</t>
  </si>
  <si>
    <t>Instance number</t>
  </si>
  <si>
    <t>1v1 Attack</t>
  </si>
  <si>
    <t>P'Boro Set Plays</t>
  </si>
  <si>
    <t>Ungrouped</t>
  </si>
  <si>
    <t>Notes</t>
  </si>
  <si>
    <t>Out of Possession</t>
  </si>
  <si>
    <t>Out of Play</t>
  </si>
  <si>
    <t>Opp Set Plays</t>
  </si>
  <si>
    <t>Opp Throw In</t>
  </si>
  <si>
    <t>Opp Free Kick</t>
  </si>
  <si>
    <t>Final 1/3</t>
  </si>
  <si>
    <t>Opp Corner</t>
  </si>
  <si>
    <t>Opp Goal Kick</t>
  </si>
  <si>
    <t>Opp Kick Off</t>
  </si>
  <si>
    <t>In Possession</t>
  </si>
  <si>
    <t>Ball in Play</t>
  </si>
  <si>
    <t>+</t>
  </si>
  <si>
    <t>P'Boro Throw In</t>
  </si>
  <si>
    <t>P'Boro Corner</t>
  </si>
  <si>
    <t>-</t>
  </si>
  <si>
    <t>P'Boro Free Kick</t>
  </si>
  <si>
    <t>P'Boro Goal Kick</t>
  </si>
  <si>
    <t>P'Boro Kick Off</t>
  </si>
  <si>
    <t>Transition to Attack</t>
  </si>
  <si>
    <t>Own 1/3</t>
  </si>
  <si>
    <t>Reach Opp Half</t>
  </si>
  <si>
    <t>Turnover</t>
  </si>
  <si>
    <t>Direct Play</t>
  </si>
  <si>
    <t>Create the Attack</t>
  </si>
  <si>
    <t>P'Boro 1/3 Entry</t>
  </si>
  <si>
    <t>P'Boro Cross</t>
  </si>
  <si>
    <t>Finish the Attack</t>
  </si>
  <si>
    <t>P'Boro Chance</t>
  </si>
  <si>
    <t>Blocked</t>
  </si>
  <si>
    <t>On Target</t>
  </si>
  <si>
    <t>Off Target</t>
  </si>
  <si>
    <t>Transition to Defense</t>
  </si>
  <si>
    <t>Opp 1/3 Entry</t>
  </si>
  <si>
    <t>Mid Block</t>
  </si>
  <si>
    <t>Regain Opp Half</t>
  </si>
  <si>
    <t>Low Block</t>
  </si>
  <si>
    <t>Opp Chance</t>
  </si>
  <si>
    <t>Opp Cross</t>
  </si>
  <si>
    <t>Clearance</t>
  </si>
  <si>
    <t>Aerial duel</t>
  </si>
  <si>
    <t>Interception</t>
  </si>
  <si>
    <t>Recovery</t>
  </si>
  <si>
    <t>On target</t>
  </si>
  <si>
    <t>Goal</t>
  </si>
  <si>
    <t>Cross</t>
  </si>
  <si>
    <t>Assist</t>
  </si>
  <si>
    <t>Blocked Shots</t>
  </si>
  <si>
    <t>Goal Scored</t>
  </si>
  <si>
    <t>Goal Conceded</t>
  </si>
  <si>
    <t>Ball in play %</t>
  </si>
  <si>
    <t>Out of play %</t>
  </si>
  <si>
    <t>Time spent In Possession</t>
  </si>
  <si>
    <t>Time spen Out of Possession</t>
  </si>
  <si>
    <t>In Possession %</t>
  </si>
  <si>
    <t>Out of Possession %</t>
  </si>
  <si>
    <t>Number of chances</t>
  </si>
  <si>
    <t>Number of Shots on target</t>
  </si>
  <si>
    <t>Number of Shots off target</t>
  </si>
  <si>
    <t>Number of Shots Blocked</t>
  </si>
  <si>
    <t>On target %</t>
  </si>
  <si>
    <t>Off target %</t>
  </si>
  <si>
    <t>Blocked %</t>
  </si>
  <si>
    <t>Number of Opp chances</t>
  </si>
  <si>
    <t>Number of Opp Shots on target</t>
  </si>
  <si>
    <t>Number of Opp Shots off target</t>
  </si>
  <si>
    <t>Number of Opp Shots Blocked</t>
  </si>
  <si>
    <t>Opp on target %</t>
  </si>
  <si>
    <t>Opp off target %</t>
  </si>
  <si>
    <t>Opp Blocked %</t>
  </si>
  <si>
    <t>Number of Build the Attack</t>
  </si>
  <si>
    <t>Build up +</t>
  </si>
  <si>
    <t>Build up -</t>
  </si>
  <si>
    <t>Number of Turnovers</t>
  </si>
  <si>
    <t>Number of Direct play</t>
  </si>
  <si>
    <t>Number of Reach Opp Half</t>
  </si>
  <si>
    <t>Number of Create</t>
  </si>
  <si>
    <t>Create +</t>
  </si>
  <si>
    <t>Create -</t>
  </si>
  <si>
    <t xml:space="preserve">Number of Cross </t>
  </si>
  <si>
    <t>Cross +</t>
  </si>
  <si>
    <t>Cross -</t>
  </si>
  <si>
    <t>Succ Cross %</t>
  </si>
  <si>
    <t>Number of  High pressing</t>
  </si>
  <si>
    <t>High Pressing -</t>
  </si>
  <si>
    <t>High Pressing +</t>
  </si>
  <si>
    <t>Number of Regain Opp Half</t>
  </si>
  <si>
    <t>Number of Force error</t>
  </si>
  <si>
    <t>Number of Mid Block</t>
  </si>
  <si>
    <t>Mid Block +</t>
  </si>
  <si>
    <t>Mid Block -</t>
  </si>
  <si>
    <t>Number of Low Block</t>
  </si>
  <si>
    <t>Low Block +</t>
  </si>
  <si>
    <t>Low Block -</t>
  </si>
  <si>
    <t>Number of Transition to Attack</t>
  </si>
  <si>
    <t>Number of Transition to Counterattack</t>
  </si>
  <si>
    <t>Transition to Att in Final 1/3</t>
  </si>
  <si>
    <t>Transition to Att in Middle Area</t>
  </si>
  <si>
    <t>Transition to Att in Own 1/3</t>
  </si>
  <si>
    <t xml:space="preserve">Number of Transition to Defense </t>
  </si>
  <si>
    <t>Number of Opp Transition to Counterattack</t>
  </si>
  <si>
    <t>Transition to Def in Final 1/3</t>
  </si>
  <si>
    <t>Transition to Def in Middle Area</t>
  </si>
  <si>
    <t>Transition to Def in Own 1/3</t>
  </si>
  <si>
    <t>P'Boro Throw in</t>
  </si>
  <si>
    <t>P'Boro Throw in to Final 1/3</t>
  </si>
  <si>
    <t>Opp Throw in</t>
  </si>
  <si>
    <t>Opp Throw in to Final 1/3</t>
  </si>
  <si>
    <t>P'Boro Final 1/3 Entry</t>
  </si>
  <si>
    <t>P'Boro In Play Final 1/3 Entry</t>
  </si>
  <si>
    <t>Opp Final 1/3 Entry</t>
  </si>
  <si>
    <t>Shots</t>
  </si>
  <si>
    <t>Grand Total</t>
  </si>
  <si>
    <t>Build the Attack</t>
  </si>
  <si>
    <t>Opponent</t>
  </si>
  <si>
    <t>Minutes</t>
  </si>
  <si>
    <t>Number of Opp Cross</t>
  </si>
  <si>
    <t>P'Boro Free Kick in Final 1/3</t>
  </si>
  <si>
    <t>Opp Free Kick in Final 1/3</t>
  </si>
  <si>
    <t>Opp Goal kick</t>
  </si>
  <si>
    <t>Opponent Chances</t>
  </si>
  <si>
    <t>Build up</t>
  </si>
  <si>
    <t>Successful</t>
  </si>
  <si>
    <t>Unsuccessful</t>
  </si>
  <si>
    <t>Turnovers</t>
  </si>
  <si>
    <t>Force error</t>
  </si>
  <si>
    <t>Total</t>
  </si>
  <si>
    <t>P'Boro Touches in Box</t>
  </si>
  <si>
    <t>Opp Touches in Box</t>
  </si>
  <si>
    <t>P'Boro Touches in the Box</t>
  </si>
  <si>
    <t>Opponent Touches in the Box</t>
  </si>
  <si>
    <t>2nd Ball</t>
  </si>
  <si>
    <t>Player</t>
  </si>
  <si>
    <t>Sum of Blocked</t>
  </si>
  <si>
    <t>Sum of Clearance</t>
  </si>
  <si>
    <t>Sum of Interception</t>
  </si>
  <si>
    <t>%</t>
  </si>
  <si>
    <t>Defensive Position</t>
  </si>
  <si>
    <t>Sum of Recovery</t>
  </si>
  <si>
    <t>Sum of Goal</t>
  </si>
  <si>
    <t>Sum of Assist</t>
  </si>
  <si>
    <t>(All)</t>
  </si>
  <si>
    <t>Total Shots</t>
  </si>
  <si>
    <t>Position</t>
  </si>
  <si>
    <t>GK</t>
  </si>
  <si>
    <t>CB</t>
  </si>
  <si>
    <t>Competition</t>
  </si>
  <si>
    <t>Opposition</t>
  </si>
  <si>
    <t>Formation</t>
  </si>
  <si>
    <t>Venue</t>
  </si>
  <si>
    <t>Result</t>
  </si>
  <si>
    <t>Build up + %</t>
  </si>
  <si>
    <t>Build up - %</t>
  </si>
  <si>
    <t>Create + %</t>
  </si>
  <si>
    <t>Create - %</t>
  </si>
  <si>
    <t>Unsucc Cross %</t>
  </si>
  <si>
    <t>Succ High Pressing %</t>
  </si>
  <si>
    <t>Unsucc High Pressing %</t>
  </si>
  <si>
    <t>Succ Mid Block %</t>
  </si>
  <si>
    <t>Unsucc Mid Block %</t>
  </si>
  <si>
    <t>Succ Low Block %</t>
  </si>
  <si>
    <t>Unsucc Low Block %</t>
  </si>
  <si>
    <t>Total Number of Shots</t>
  </si>
  <si>
    <t>Total Number of Opp Shots</t>
  </si>
  <si>
    <t>Opp Cross +</t>
  </si>
  <si>
    <t>Opp Cross -</t>
  </si>
  <si>
    <t>Opp Cross + %</t>
  </si>
  <si>
    <t>Opp Cross - %</t>
  </si>
  <si>
    <t>Final 1/3 Entry</t>
  </si>
  <si>
    <t>Touches in the Box</t>
  </si>
  <si>
    <t>Opp in play Final 1/3 Entry</t>
  </si>
  <si>
    <t>Conceded</t>
  </si>
  <si>
    <t>In play Final 1/3</t>
  </si>
  <si>
    <t>Throw in Final 1/3</t>
  </si>
  <si>
    <t>Transition in Final 1/3</t>
  </si>
  <si>
    <t>Opponent Final 1/3</t>
  </si>
  <si>
    <t>Team-Build the Attack Details</t>
  </si>
  <si>
    <t>Team-Chance Details(Shots)</t>
  </si>
  <si>
    <t>Team-Grade</t>
  </si>
  <si>
    <t>Team-Pressing Details</t>
  </si>
  <si>
    <t>Team-Transition Details</t>
  </si>
  <si>
    <t>Team-Set Play Details</t>
  </si>
  <si>
    <t>Transition to Att Counter, Own 1/3</t>
  </si>
  <si>
    <t>Transition to Def Counter, Final 1/3</t>
  </si>
  <si>
    <t>Opp Goal</t>
  </si>
  <si>
    <t>Shot Map X</t>
  </si>
  <si>
    <t>Shot Map Y</t>
  </si>
  <si>
    <t>Middle 1/3</t>
  </si>
  <si>
    <t>SUB(EVENT)</t>
  </si>
  <si>
    <t>H</t>
  </si>
  <si>
    <t>Numer of Shots in the Box</t>
  </si>
  <si>
    <t>Number of Shots by Cross</t>
  </si>
  <si>
    <t>Number of Shots by Counterattack</t>
  </si>
  <si>
    <t>Number of Shots by Through Pass</t>
  </si>
  <si>
    <t>Numer of Opp Shots in the Box</t>
  </si>
  <si>
    <t>Number of Opp Shots by Cross</t>
  </si>
  <si>
    <t>Number of Opp Shots by Counterattack</t>
  </si>
  <si>
    <t>Number of Opp Shots by Through Pass</t>
  </si>
  <si>
    <t>Counterattack to Shots</t>
  </si>
  <si>
    <t>Crossing to Shots</t>
  </si>
  <si>
    <t>Through pass to Shots</t>
  </si>
  <si>
    <t>Crossing to Opp Shots</t>
  </si>
  <si>
    <t>Counterattack to Opp Shots</t>
  </si>
  <si>
    <t>Through pass to Opp Shots</t>
  </si>
  <si>
    <t>Chance Type</t>
  </si>
  <si>
    <t>Details</t>
  </si>
  <si>
    <t xml:space="preserve"> Chance Type</t>
  </si>
  <si>
    <t>Counterattack</t>
  </si>
  <si>
    <t>Middle Third</t>
  </si>
  <si>
    <t>Final Third</t>
  </si>
  <si>
    <t>Own Third</t>
  </si>
  <si>
    <t>Shots in the box</t>
  </si>
  <si>
    <t>Offside</t>
  </si>
  <si>
    <t>P'Boro</t>
  </si>
  <si>
    <t>Won Fouls</t>
  </si>
  <si>
    <t>Fouls</t>
  </si>
  <si>
    <t>Number of Shots from Restart</t>
  </si>
  <si>
    <t>Number of Shots from Set play</t>
  </si>
  <si>
    <t>Number of Shots from Transition</t>
  </si>
  <si>
    <t>Number of Shots from Open Play</t>
  </si>
  <si>
    <t>Number of Opp Shots from Restart</t>
  </si>
  <si>
    <t>Number of Opp Shots from Set play</t>
  </si>
  <si>
    <t>Number of Opp Shots from Transition</t>
  </si>
  <si>
    <t>Number of Opp Shots from Open Play</t>
  </si>
  <si>
    <t>Opp Transition to Attack</t>
  </si>
  <si>
    <t>Total Passes</t>
  </si>
  <si>
    <t>Completed Passes</t>
  </si>
  <si>
    <t>Uncompleted Passes</t>
  </si>
  <si>
    <t>Total Forward Passes</t>
  </si>
  <si>
    <t>Completed Forward Passes</t>
  </si>
  <si>
    <t>Uncompleted Forward Passes</t>
  </si>
  <si>
    <t>Total Lateral Passes</t>
  </si>
  <si>
    <t>Completed Lateral Passes</t>
  </si>
  <si>
    <t>Uncompleted Lateral Passes</t>
  </si>
  <si>
    <t>Total Backward Passes</t>
  </si>
  <si>
    <t>Completed Backward Passes</t>
  </si>
  <si>
    <t>Uncompleted Backward Passes</t>
  </si>
  <si>
    <t>Ball Kept</t>
  </si>
  <si>
    <t>Ball Lost</t>
  </si>
  <si>
    <t>Ball Lost in Final 1/3</t>
  </si>
  <si>
    <t>Ball Lost in Middle 1/3</t>
  </si>
  <si>
    <t>Ball Lost in Own 1/3</t>
  </si>
  <si>
    <t>Total 1v1</t>
  </si>
  <si>
    <t>Total Long Passes</t>
  </si>
  <si>
    <t>Completed Long Passes</t>
  </si>
  <si>
    <t>Uncompleted Long Passes</t>
  </si>
  <si>
    <t>Total Cross</t>
  </si>
  <si>
    <t>Completed Cross</t>
  </si>
  <si>
    <t>Uncompleted Cross</t>
  </si>
  <si>
    <t>Total Balls in Behind</t>
  </si>
  <si>
    <t>Completed Balls in Behind</t>
  </si>
  <si>
    <t>Uncompleted Balls in Behind</t>
  </si>
  <si>
    <t>Total Through Passes</t>
  </si>
  <si>
    <t>Total Diagonal Passes</t>
  </si>
  <si>
    <t>Completed Diagonal Passes</t>
  </si>
  <si>
    <t>Uncompleted Diagonal Passes</t>
  </si>
  <si>
    <t>Total Aerial Duel</t>
  </si>
  <si>
    <t>Unsuccessful Aerial Duel</t>
  </si>
  <si>
    <t>Succesful Aerial Duel</t>
  </si>
  <si>
    <t>Total 1v1 Defence</t>
  </si>
  <si>
    <t>Successful 1v1 Defence</t>
  </si>
  <si>
    <t>Unsuccessful 1v1 Defence</t>
  </si>
  <si>
    <t>Total Tackles</t>
  </si>
  <si>
    <t>Successful Tackles</t>
  </si>
  <si>
    <t>Unsuccessful Tackles</t>
  </si>
  <si>
    <t>Total 2nd Ball</t>
  </si>
  <si>
    <t>Successful 2nd Ball</t>
  </si>
  <si>
    <t>Unsuccessful 2nd Ball</t>
  </si>
  <si>
    <t>Missed Man-marking</t>
  </si>
  <si>
    <t>GK 1v1</t>
  </si>
  <si>
    <t>GK On target</t>
  </si>
  <si>
    <t>GK Off Target</t>
  </si>
  <si>
    <t>Defence the Space</t>
  </si>
  <si>
    <t>Save</t>
  </si>
  <si>
    <t>Team</t>
  </si>
  <si>
    <t>Total Completed Passes</t>
  </si>
  <si>
    <t>Total Uncompleted Passes</t>
  </si>
  <si>
    <t>Total Forward Pases</t>
  </si>
  <si>
    <t>Total Completed Forward Passes</t>
  </si>
  <si>
    <t>Total Uncompleted Forward Passes</t>
  </si>
  <si>
    <t>Total Completed Lateral Passes</t>
  </si>
  <si>
    <t>Total Uncompleted Lateral Passes</t>
  </si>
  <si>
    <t>Total Completed Backward Passes</t>
  </si>
  <si>
    <t>Total Uncompleted Backward Passes</t>
  </si>
  <si>
    <t>Total Uncompleted Long Passes</t>
  </si>
  <si>
    <t>Total Completed Long Passes</t>
  </si>
  <si>
    <t xml:space="preserve">Total Completed Balls in Behind </t>
  </si>
  <si>
    <t>Total Uncompleted Balls in Behind</t>
  </si>
  <si>
    <t>Total Completed Diagonal Passes</t>
  </si>
  <si>
    <t>Total Uncompleted Diagonal Passes</t>
  </si>
  <si>
    <t>Total Ball Lost</t>
  </si>
  <si>
    <t>Total Ball Kept</t>
  </si>
  <si>
    <t>Total Lost balls in Final 1/3</t>
  </si>
  <si>
    <t>Total Lost balls in Middle 1/3</t>
  </si>
  <si>
    <t>Total Lost balls in Own 1/3</t>
  </si>
  <si>
    <t>Total Touches in the Box</t>
  </si>
  <si>
    <t>Total cross</t>
  </si>
  <si>
    <t>Total Completed Cross</t>
  </si>
  <si>
    <t>Total Uncompleted Cross</t>
  </si>
  <si>
    <t>Total On Target</t>
  </si>
  <si>
    <t>Total Off Target</t>
  </si>
  <si>
    <t>Total Blocked</t>
  </si>
  <si>
    <t>Total Goal</t>
  </si>
  <si>
    <t>Total Assist</t>
  </si>
  <si>
    <t>Total Aerial duel</t>
  </si>
  <si>
    <t>Total Succ Aerial duel</t>
  </si>
  <si>
    <t>Total Unsuc Aerial duel</t>
  </si>
  <si>
    <t>Total Succ 1v1 Defence</t>
  </si>
  <si>
    <t>Total Unsuc 1v1 Defence</t>
  </si>
  <si>
    <t>Total Succ Tackles</t>
  </si>
  <si>
    <t>Total Unsuc Tackles</t>
  </si>
  <si>
    <t>Total Succ 2nd Ball</t>
  </si>
  <si>
    <t>Total Unsuc 2nd Ball</t>
  </si>
  <si>
    <t>Total Clearance</t>
  </si>
  <si>
    <t>Total Interception</t>
  </si>
  <si>
    <t>Total Recovery</t>
  </si>
  <si>
    <t>Total Blockd Shots</t>
  </si>
  <si>
    <t>Total Missed Man-marking</t>
  </si>
  <si>
    <t>Total Fouls</t>
  </si>
  <si>
    <t>Total Won Fouls</t>
  </si>
  <si>
    <t>Opp Offside</t>
  </si>
  <si>
    <t>P'Boro Throw in to Middle 1/3</t>
  </si>
  <si>
    <t>P'Boro Throw in to Own 1/3</t>
  </si>
  <si>
    <t>Opp Throw in to Middle 1/3</t>
  </si>
  <si>
    <t>Opp Throw in to Own 1/3</t>
  </si>
  <si>
    <t>Throw in Succ %</t>
  </si>
  <si>
    <t>SUBSITITUTE</t>
  </si>
  <si>
    <t>Tackles</t>
  </si>
  <si>
    <t>Offensive duel</t>
  </si>
  <si>
    <t>Event</t>
  </si>
  <si>
    <t>Total Offensive Duel</t>
  </si>
  <si>
    <t>Successful Offensive Duel</t>
  </si>
  <si>
    <t>Unsuccessful Offensive Duel</t>
  </si>
  <si>
    <t>Total Succ Offensive duel</t>
  </si>
  <si>
    <t>Total Unsuc Offensive duel</t>
  </si>
  <si>
    <t>Passes</t>
  </si>
  <si>
    <t>Forward Passes</t>
  </si>
  <si>
    <t>Backward Passes</t>
  </si>
  <si>
    <t>Lateral Passes</t>
  </si>
  <si>
    <t>Long Passes</t>
  </si>
  <si>
    <t>Defensive duel</t>
  </si>
  <si>
    <t>1v1 Defence</t>
  </si>
  <si>
    <t>Clearnace</t>
  </si>
  <si>
    <t>Total Duel</t>
  </si>
  <si>
    <t>Succ Duel</t>
  </si>
  <si>
    <t>Unsucc Duel</t>
  </si>
  <si>
    <t>Sum of Total Passes</t>
  </si>
  <si>
    <t>Sum of Completed Passes</t>
  </si>
  <si>
    <t>Sum of Uncompleted Passes</t>
  </si>
  <si>
    <t>Sum of Total Forward Passes</t>
  </si>
  <si>
    <t>Sum of Completed Forward Passes</t>
  </si>
  <si>
    <t>Sum of Uncompleted Forward Passes</t>
  </si>
  <si>
    <t>Sum of Total Lateral Passes</t>
  </si>
  <si>
    <t>Sum of Completed Lateral Passes</t>
  </si>
  <si>
    <t>Sum of Uncompleted Lateral Passes</t>
  </si>
  <si>
    <t>Sum of Total Backward Passes</t>
  </si>
  <si>
    <t>Sum of Completed Backward Passes</t>
  </si>
  <si>
    <t>Sum of Uncompleted Backward Passes</t>
  </si>
  <si>
    <t>Sum of Total Long Passes</t>
  </si>
  <si>
    <t>Sum of Completed Long Passes</t>
  </si>
  <si>
    <t>Sum of Uncompleted Long Passes</t>
  </si>
  <si>
    <t>Sum of Total Balls in Behind</t>
  </si>
  <si>
    <t>Sum of Completed Balls in Behind</t>
  </si>
  <si>
    <t>Sum of Uncompleted Balls in Behind</t>
  </si>
  <si>
    <t>Sum of Total Through Passes</t>
  </si>
  <si>
    <t>Sum of Total Diagonal Passes</t>
  </si>
  <si>
    <t>Sum of Completed Diagonal Passes</t>
  </si>
  <si>
    <t>Sum of Uncompleted Diagonal Passes</t>
  </si>
  <si>
    <t>Sum of Ball Kept</t>
  </si>
  <si>
    <t>Sum of Ball Lost</t>
  </si>
  <si>
    <t>Sum of Ball Lost in Final 1/3</t>
  </si>
  <si>
    <t>Sum of Ball Lost in Middle 1/3</t>
  </si>
  <si>
    <t>Sum of Ball Lost in Own 1/3</t>
  </si>
  <si>
    <t>Sum of Touches in the Box</t>
  </si>
  <si>
    <t>Sum of Total 1v1</t>
  </si>
  <si>
    <t>Sum of Total Cross</t>
  </si>
  <si>
    <t>Sum of Completed Cross</t>
  </si>
  <si>
    <t>Sum of Uncompleted Cross</t>
  </si>
  <si>
    <t>Sum of Total Shots</t>
  </si>
  <si>
    <t>Sum of Off Target</t>
  </si>
  <si>
    <t>Sum of On Target</t>
  </si>
  <si>
    <t>Sum of Total Offensive Duel</t>
  </si>
  <si>
    <t>Sum of Successful Offensive Duel</t>
  </si>
  <si>
    <t>Sum of Unsuccessful Offensive Duel</t>
  </si>
  <si>
    <t>Sum of Total Aerial Duel</t>
  </si>
  <si>
    <t>Sum of Succesful Aerial Duel</t>
  </si>
  <si>
    <t>Sum of Unsuccessful Aerial Duel</t>
  </si>
  <si>
    <t>Sum of Total 1v1 Defence</t>
  </si>
  <si>
    <t>Sum of Successful 1v1 Defence</t>
  </si>
  <si>
    <t>Sum of Unsuccessful 1v1 Defence</t>
  </si>
  <si>
    <t>Sum of Total Tackles</t>
  </si>
  <si>
    <t>Sum of Successful Tackles</t>
  </si>
  <si>
    <t>Sum of Unsuccessful Tackles</t>
  </si>
  <si>
    <t>Sum of Total 2nd Ball</t>
  </si>
  <si>
    <t>Sum of Successful 2nd Ball</t>
  </si>
  <si>
    <t>Sum of Unsuccessful 2nd Ball</t>
  </si>
  <si>
    <t>Sum of Blocked Shots</t>
  </si>
  <si>
    <t>Sum of Missed Man-marking</t>
  </si>
  <si>
    <t>Sum of Won Fouls</t>
  </si>
  <si>
    <t>Sum of Fouls</t>
  </si>
  <si>
    <t>Sum of GK 1v1</t>
  </si>
  <si>
    <t>Sum of GK On target</t>
  </si>
  <si>
    <t>Sum of GK Off Target</t>
  </si>
  <si>
    <t>Sum of Defence the Space</t>
  </si>
  <si>
    <t>Sum of Goal Conceded</t>
  </si>
  <si>
    <t>Sum of Save</t>
  </si>
  <si>
    <t>Player 2</t>
  </si>
  <si>
    <t>LOST</t>
  </si>
  <si>
    <t>SCORED</t>
  </si>
  <si>
    <t>Passes in Behind</t>
  </si>
  <si>
    <t>1v1</t>
  </si>
  <si>
    <t>Offensive Duel</t>
  </si>
  <si>
    <t>DEFENCE</t>
  </si>
  <si>
    <t>ATTACK</t>
  </si>
  <si>
    <t>Ball LOST</t>
  </si>
  <si>
    <t>GK STATS</t>
  </si>
  <si>
    <t>OUT OF POSSESSION</t>
  </si>
  <si>
    <t>IN POSSESSION</t>
  </si>
  <si>
    <t>Touches in box</t>
  </si>
  <si>
    <t>High Block</t>
  </si>
  <si>
    <t>Player-GK Details</t>
  </si>
  <si>
    <t>Player-In Possession Details</t>
  </si>
  <si>
    <t>Player-Out of Possession Details</t>
  </si>
  <si>
    <t>Player-Stats</t>
  </si>
  <si>
    <t>1v1 Defense</t>
  </si>
  <si>
    <t>Lost Possession, Lost Final 1/3</t>
  </si>
  <si>
    <t>Kept Possession</t>
  </si>
  <si>
    <t>Touches in the box</t>
  </si>
  <si>
    <t>Lost Possession, Lost Middle 1/3</t>
  </si>
  <si>
    <t>Back to goal</t>
  </si>
  <si>
    <t>Pass Completed</t>
  </si>
  <si>
    <t>Forward Pass</t>
  </si>
  <si>
    <t>Backward Pass</t>
  </si>
  <si>
    <t>Ground duel</t>
  </si>
  <si>
    <t>Lateral Pass</t>
  </si>
  <si>
    <t>Pass Uncompleted</t>
  </si>
  <si>
    <t>2nd Balls</t>
  </si>
  <si>
    <t>Move into Pocket</t>
  </si>
  <si>
    <t>Corner Kick</t>
  </si>
  <si>
    <t>Forward Pass, Long Kick</t>
  </si>
  <si>
    <t>Off target</t>
  </si>
  <si>
    <t>Defend the Space</t>
  </si>
  <si>
    <t>Acceleration</t>
  </si>
  <si>
    <t>Total Acceleration</t>
  </si>
  <si>
    <t>RB</t>
  </si>
  <si>
    <t>P'Boro Goal</t>
  </si>
  <si>
    <t>Force Error</t>
  </si>
  <si>
    <t>Forward Pass, Long Kick, Balls in Behind</t>
  </si>
  <si>
    <t>Opp Direct Play</t>
  </si>
  <si>
    <t>Number of Opp Direct Play</t>
  </si>
  <si>
    <t>Free Kick (Indirect)</t>
  </si>
  <si>
    <t>Defend the line (Cross)</t>
  </si>
  <si>
    <t>Counter Kick</t>
  </si>
  <si>
    <t>Runs in Behind</t>
  </si>
  <si>
    <t>2nd Half</t>
  </si>
  <si>
    <t>1st Half</t>
  </si>
  <si>
    <t>Half</t>
  </si>
  <si>
    <t>Time</t>
  </si>
  <si>
    <t>Total Completed Passes %</t>
  </si>
  <si>
    <t>Total Uncompleted Passes %</t>
  </si>
  <si>
    <t>Total Completed Forward Passes %</t>
  </si>
  <si>
    <t>Total Uncompleted Forward Passes %</t>
  </si>
  <si>
    <t>Total Completed Lateral Passes %</t>
  </si>
  <si>
    <t>Total Uncompleted Lateral Passes %</t>
  </si>
  <si>
    <t>Total Completed Backward Passes %</t>
  </si>
  <si>
    <t>Total Uncompleted Backward Passes %</t>
  </si>
  <si>
    <t>Total Completed Long Passes %</t>
  </si>
  <si>
    <t>Total Uncompleted Long Passes %</t>
  </si>
  <si>
    <t>Total Completed Balls in Behind %</t>
  </si>
  <si>
    <t>Total Uncompleted Balls in Behind %</t>
  </si>
  <si>
    <t>Total Completed Diagonal Passes %</t>
  </si>
  <si>
    <t>Total Uncompleted Diagonal Passes %</t>
  </si>
  <si>
    <t>Total Completed 1v1 %</t>
  </si>
  <si>
    <t>Total Uncompleted 1v1 %</t>
  </si>
  <si>
    <t>Total Completed Cross %</t>
  </si>
  <si>
    <t>Total Uncompleted Cross %</t>
  </si>
  <si>
    <t>Total Succ Offensive duel %</t>
  </si>
  <si>
    <t>Total Unsuc Offensive duel %</t>
  </si>
  <si>
    <t>Succ Duel %</t>
  </si>
  <si>
    <t>Unsucc Duel %</t>
  </si>
  <si>
    <t>Total Defensive Duel</t>
  </si>
  <si>
    <t>Total Succ Defensive duel</t>
  </si>
  <si>
    <t>Total Unsuc Defensive duel</t>
  </si>
  <si>
    <t>Total Succ Defensive duel %</t>
  </si>
  <si>
    <t>Total Unsuc Defensive duel %</t>
  </si>
  <si>
    <t>Total Succ Aerial duel %</t>
  </si>
  <si>
    <t>Total Unsuc Aerial duel %</t>
  </si>
  <si>
    <t>Total Succ 1v1 Defence %</t>
  </si>
  <si>
    <t>Total Unsuc 1v1 Defence %</t>
  </si>
  <si>
    <t>Total Succ Tackles %</t>
  </si>
  <si>
    <t>Total Unsuc Tackles %</t>
  </si>
  <si>
    <t>Total Succ 2nd Ball %</t>
  </si>
  <si>
    <t>Total Unsuc 2nd Ball %</t>
  </si>
  <si>
    <t>Full time</t>
  </si>
  <si>
    <t>Completed Passes %</t>
  </si>
  <si>
    <t>Uncompleted Passes %</t>
  </si>
  <si>
    <t>Completed Forward Passes %</t>
  </si>
  <si>
    <t>Uncompleted Forward Passes %</t>
  </si>
  <si>
    <t>Completed Lateral Passes %</t>
  </si>
  <si>
    <t>Uncompleted Lateral Passes %</t>
  </si>
  <si>
    <t>Completed Backward Passes %</t>
  </si>
  <si>
    <t>Uncompleted Backward Passes %</t>
  </si>
  <si>
    <t>Completed Long Passes %</t>
  </si>
  <si>
    <t>Uncompleted Long Passes %</t>
  </si>
  <si>
    <t>Completed Balls in Behind %</t>
  </si>
  <si>
    <t>Uncompleted Balls in Behind %</t>
  </si>
  <si>
    <t>Completed Diagonal Passes %</t>
  </si>
  <si>
    <t>Uncompleted Diagonal Passes %</t>
  </si>
  <si>
    <t>Completed 1v1 %</t>
  </si>
  <si>
    <t>Uncompleted 1v1 %</t>
  </si>
  <si>
    <t>Completed Cross %</t>
  </si>
  <si>
    <t>Uncompleted Cross %</t>
  </si>
  <si>
    <t>Successful Offensive Duel %</t>
  </si>
  <si>
    <t>Unsuccessful Offensive Duel %</t>
  </si>
  <si>
    <t>Successful Duel</t>
  </si>
  <si>
    <t>Unsuccesful Duel</t>
  </si>
  <si>
    <t>Successful Duel %</t>
  </si>
  <si>
    <t>Unsuccesful Duel %</t>
  </si>
  <si>
    <t>Successful Defensive Duel</t>
  </si>
  <si>
    <t>Unsuccesful Defensive Duel</t>
  </si>
  <si>
    <t>Successful Defensive Duel %</t>
  </si>
  <si>
    <t>Unsuccesful Defensive Duel %</t>
  </si>
  <si>
    <t>Succesful Aerial Duel %</t>
  </si>
  <si>
    <t>Unsuccessful Aerial Duel %</t>
  </si>
  <si>
    <t>Successful 1v1 Defence %</t>
  </si>
  <si>
    <t>Unsuccessful 1v1 Defence %</t>
  </si>
  <si>
    <t>Successful Tackles %</t>
  </si>
  <si>
    <t>Unsuccessful Tackles %</t>
  </si>
  <si>
    <t>Successful 2nd Ball %</t>
  </si>
  <si>
    <t>Unsuccessful 2nd Ball %</t>
  </si>
  <si>
    <t>LB</t>
  </si>
  <si>
    <t>CM</t>
  </si>
  <si>
    <t>RW</t>
  </si>
  <si>
    <t>LW</t>
  </si>
  <si>
    <t>Duration (mins)</t>
  </si>
  <si>
    <t>Forward Pass, Balls in Behind</t>
  </si>
  <si>
    <t>Pass Received</t>
  </si>
  <si>
    <t>1st</t>
  </si>
  <si>
    <t>2nd</t>
  </si>
  <si>
    <t>Total Pass Received</t>
  </si>
  <si>
    <t>Successful 1v1</t>
  </si>
  <si>
    <t>Unsuccessful 1v1</t>
  </si>
  <si>
    <t>Total Successful 1v1</t>
  </si>
  <si>
    <t>Total Unsuccessful 1v1</t>
  </si>
  <si>
    <t>Wide Area</t>
  </si>
  <si>
    <t>Total Into Pocket</t>
  </si>
  <si>
    <t>Total Wide Area</t>
  </si>
  <si>
    <t>Total Back to Goal</t>
  </si>
  <si>
    <t>Total Over/Underlaps</t>
  </si>
  <si>
    <t>Total Runs in Behind</t>
  </si>
  <si>
    <t>Total into Pocket</t>
  </si>
  <si>
    <t>Total Play time (mins)</t>
  </si>
  <si>
    <t>Ball in play time (mins)</t>
  </si>
  <si>
    <t>Out of play time (mins)</t>
  </si>
  <si>
    <t>DATE</t>
  </si>
  <si>
    <t>Chance from Open Play</t>
  </si>
  <si>
    <t>Chance from Transition</t>
  </si>
  <si>
    <t>Chance from Set Play</t>
  </si>
  <si>
    <t>Chance from Restart</t>
  </si>
  <si>
    <t>Opp Chance from Open Play</t>
  </si>
  <si>
    <t>Opp Chance from Transition</t>
  </si>
  <si>
    <t>Opp Chance from Set Play</t>
  </si>
  <si>
    <t>Opp Chance from Restart</t>
  </si>
  <si>
    <t>Loose Ball duel</t>
  </si>
  <si>
    <t>Sum of Total Pass Received</t>
  </si>
  <si>
    <t>Sum of Duration (mins)</t>
  </si>
  <si>
    <t>Sum of Counter Kick</t>
  </si>
  <si>
    <t>Sum of Defend the line (Cross)</t>
  </si>
  <si>
    <t>Ball Received</t>
  </si>
  <si>
    <t>Defence Line (Cross)</t>
  </si>
  <si>
    <t>POSITION</t>
  </si>
  <si>
    <t>Back to Goal</t>
  </si>
  <si>
    <t>Over/Underlaps</t>
  </si>
  <si>
    <t>RECEIVING</t>
  </si>
  <si>
    <t>Total Offensive duel</t>
  </si>
  <si>
    <t>Sum of Successful 1v1</t>
  </si>
  <si>
    <t>Sum of Unsuccessful 1v1</t>
  </si>
  <si>
    <t>Sum of Unsuccesful Defensive Duel</t>
  </si>
  <si>
    <t>Sum of Successful Defensive Duel</t>
  </si>
  <si>
    <t>Sum of Total Defensive Duel</t>
  </si>
  <si>
    <t>Sum of Total Acceleration</t>
  </si>
  <si>
    <t>Sum of Total Into Pocket</t>
  </si>
  <si>
    <t>Sum of Total Wide Area</t>
  </si>
  <si>
    <t>Sum of Total Back to Goal</t>
  </si>
  <si>
    <t>Sum of Total Over/Underlaps</t>
  </si>
  <si>
    <t>Sum of Total Runs in Behind</t>
  </si>
  <si>
    <t>MINUTES PLAYED</t>
  </si>
  <si>
    <t>Villa Set Plays</t>
  </si>
  <si>
    <t>POSITIONING</t>
  </si>
  <si>
    <t>Player-In Possession Pass Details</t>
  </si>
  <si>
    <t>Player-Out of Possession Duel Details</t>
  </si>
  <si>
    <t>Player-Shot Details</t>
  </si>
  <si>
    <t>Flags</t>
  </si>
  <si>
    <t>Middle 1/3, Counterpressing</t>
  </si>
  <si>
    <t>Final 1/3, Counterpressing</t>
  </si>
  <si>
    <t>Shots from Transition, Off Target</t>
  </si>
  <si>
    <t>Shots from Transition, Blocked</t>
  </si>
  <si>
    <t>P'Boro Offside</t>
  </si>
  <si>
    <t>Shots from Open Play, On Target</t>
  </si>
  <si>
    <t>Pass Received, Pass Completed</t>
  </si>
  <si>
    <t>Pass Received, Pass Uncompleted</t>
  </si>
  <si>
    <t>Runs in Behind, Touches in the box</t>
  </si>
  <si>
    <t>Pass Received, Pass Completed, Critical (Positive)</t>
  </si>
  <si>
    <t>Turnover Won</t>
  </si>
  <si>
    <t>Duel Succeeded, Lost Possession, Lost Final 1/3</t>
  </si>
  <si>
    <t>Forward Pass, Key/Through pass</t>
  </si>
  <si>
    <t>Pass Received, Kept Possession, Pass Completed, Critical (Positive)</t>
  </si>
  <si>
    <t>Pass Received, Kept Possession, Pass Uncompleted</t>
  </si>
  <si>
    <t>Kept Possession, Pass Uncompleted</t>
  </si>
  <si>
    <t>Duel Unsucceeded</t>
  </si>
  <si>
    <t>Pass Uncompleted, Pass Received</t>
  </si>
  <si>
    <t>Duel Succeeded, Pass Uncompleted</t>
  </si>
  <si>
    <t>Duel Succeeded</t>
  </si>
  <si>
    <t>Forward Pass, Balls in Behind, Key/Through pass</t>
  </si>
  <si>
    <t>Cordell Morgan-Antonio</t>
  </si>
  <si>
    <t>Wide area, 1v1 Attack</t>
  </si>
  <si>
    <t>Duel Succeeded, Pass Completed</t>
  </si>
  <si>
    <t>Pass Received, Goal, Critical (Positive)</t>
  </si>
  <si>
    <t>Romeo Hamilton</t>
  </si>
  <si>
    <t>Recovery Run</t>
  </si>
  <si>
    <t>Wide area</t>
  </si>
  <si>
    <t>Pass Received, Kept Possession, Pass Completed</t>
  </si>
  <si>
    <t>Duel Succeeded, Critical (Positive)</t>
  </si>
  <si>
    <t>Pass Received, Kept Possession</t>
  </si>
  <si>
    <t>Kevin Jalo-Gomes</t>
  </si>
  <si>
    <t>Pass Received, Lost Possession, Lost Own 1/3</t>
  </si>
  <si>
    <t>Pass Completed, Pass Completed</t>
  </si>
  <si>
    <t>Critical (Positive)</t>
  </si>
  <si>
    <t>Sam Miljkovic</t>
  </si>
  <si>
    <t>Kept Possession, Pass Completed, Critical (Positive)</t>
  </si>
  <si>
    <t>Pass Completed, Pass Received</t>
  </si>
  <si>
    <t>Interception, Turnover Won</t>
  </si>
  <si>
    <t>Wide area, Offensive duel</t>
  </si>
  <si>
    <t>Pass Received, Lost Possession, Lost Middle 1/3</t>
  </si>
  <si>
    <t>Louie Briggs</t>
  </si>
  <si>
    <t>Pass Completed, Critical (Positive)</t>
  </si>
  <si>
    <t>Lateral Pass, Forward Pass</t>
  </si>
  <si>
    <t>Ethan Lake</t>
  </si>
  <si>
    <t>Forward Pass, Balls in Behind, Long Kick</t>
  </si>
  <si>
    <t>Godwin Mfuri</t>
  </si>
  <si>
    <t>Kept Possession, Pass Completed</t>
  </si>
  <si>
    <t>Joshua Laotan</t>
  </si>
  <si>
    <t>Critical (Negative)</t>
  </si>
  <si>
    <t>Levi Ampofo</t>
  </si>
  <si>
    <t>Joshua Harrup</t>
  </si>
  <si>
    <t>Jayden To</t>
  </si>
  <si>
    <t>Usim Ijere</t>
  </si>
  <si>
    <t>1-4-3-3</t>
  </si>
  <si>
    <t>P'Boro Final 1/3</t>
  </si>
  <si>
    <t>P'Boro Chances</t>
  </si>
  <si>
    <t>Melvin Brandford</t>
  </si>
  <si>
    <t>ST</t>
  </si>
  <si>
    <t>Key pass</t>
  </si>
  <si>
    <t>Pass Received &amp; Pass completed</t>
  </si>
  <si>
    <t>Total Pass Received &amp; Pass completed</t>
  </si>
  <si>
    <t>Pass Received &amp; Pass Uncompleted</t>
  </si>
  <si>
    <t>Total Pass Received &amp; Pass Uncompleted</t>
  </si>
  <si>
    <t>Total Half-space Runs</t>
  </si>
  <si>
    <t>Total 2nd Balls</t>
  </si>
  <si>
    <t>Key Pass</t>
  </si>
  <si>
    <t>Half-space Runs</t>
  </si>
  <si>
    <t>Preseason</t>
  </si>
  <si>
    <t>Peterborough</t>
  </si>
  <si>
    <t>Sum of Total Half-space Runs</t>
  </si>
  <si>
    <t>Sum of Turnover Won</t>
  </si>
  <si>
    <t>STATS</t>
  </si>
  <si>
    <t>Transition to Att Counter, Middle 1/3</t>
  </si>
  <si>
    <t>Own 1/3, Counterpressing</t>
  </si>
  <si>
    <t>Pass Received, Lost Possession, Lost Final 1/3</t>
  </si>
  <si>
    <t>Lateral Pass, Backward Pass</t>
  </si>
  <si>
    <t>Pass Received, Pass Completed, Pass Completed</t>
  </si>
  <si>
    <t>Free Kick (Direct)</t>
  </si>
  <si>
    <t>Lateral Pass, Long Kick</t>
  </si>
  <si>
    <t>Runs in Behind, 1v1 Attack, Touches in the box</t>
  </si>
  <si>
    <t>Pass Received, Lost Possession, Lost Own 1/3, Critical (Negative)</t>
  </si>
  <si>
    <t>Runs in Behind, Wide area, 1v1 Attack</t>
  </si>
  <si>
    <t>Recovery Run, Turnover Won</t>
  </si>
  <si>
    <t>Pass Received, Pass Completed, Assist, Critical (Positive)</t>
  </si>
  <si>
    <t>Turnover Won, Won Fouls</t>
  </si>
  <si>
    <t>Tackles, Fouls</t>
  </si>
  <si>
    <t>15:16s vs Cambridge United (H) 25.07.26</t>
  </si>
  <si>
    <t>Counterpressing, Final 1/3</t>
  </si>
  <si>
    <t>Counterpressing, Middle 1/3</t>
  </si>
  <si>
    <t>Direct Play, Reach Opp Half</t>
  </si>
  <si>
    <t>Shots from Set play, On Target, P'Boro Goal, Shots in the box</t>
  </si>
  <si>
    <t>Off Target, Shots in the box, Shots from Open Play</t>
  </si>
  <si>
    <t>Off Target, Shots from Transition</t>
  </si>
  <si>
    <t>On Target, Shots from Set play, P'Boro Goal</t>
  </si>
  <si>
    <t>On Target, Shots from Set play</t>
  </si>
  <si>
    <t>Off Target, Shots in the box, Through pass to Shots, Shots from Open Play</t>
  </si>
  <si>
    <t>Off Target, Shots in the box, Shots from Open Play, Cross to Shots</t>
  </si>
  <si>
    <t>Shots from Transition, Cross to Shots, Shots in the box, P'Boro Goal, On Target</t>
  </si>
  <si>
    <t>Shots from Transition, Blocked, Shots in the box</t>
  </si>
  <si>
    <t>Shots from Transition, Shots in the box, Blocked</t>
  </si>
  <si>
    <t>Shots from Transition, On Target, Shots in the box, Through pass to Shots</t>
  </si>
  <si>
    <t>Shots from Open Play, Shots in the box, Through pass to Shots, On Target</t>
  </si>
  <si>
    <t>Shots from Transition, On Target</t>
  </si>
  <si>
    <t>Shots in the box, Shots from Transition, Off Target</t>
  </si>
  <si>
    <t>Shots from Transition, Through pass to Shots, On Target, Shots in the box</t>
  </si>
  <si>
    <t>Shots in the box, Blocked, Shots from Transition</t>
  </si>
  <si>
    <t>Shots from Open Play, Off Target</t>
  </si>
  <si>
    <t>Shots from Open Play, Through pass to Shots, Cross to Shots, Shots in the box, On Target, P'Boro Goal</t>
  </si>
  <si>
    <t>Through pass to Shots, Cross to Shots, Shots from Open Play, Shots in the box, Blocked</t>
  </si>
  <si>
    <t>Shots from Transition, Counterattack to Shots, Shots in the box, Cross to Shots, On Target, P'Boro Goal</t>
  </si>
  <si>
    <t>Shots from Transition, Counterattack to Shots, Through pass to Shots, Shots in the box, On Target, P'Boro Goal</t>
  </si>
  <si>
    <t>Shots from Open Play, Through pass to Shots, Shots in the box, On Target</t>
  </si>
  <si>
    <t>Shots from Set play, Shots in the box, On Target, Opp Goal</t>
  </si>
  <si>
    <t>Blocked, Shots from Set play</t>
  </si>
  <si>
    <t>Shots in the box, On Target, Shots from Set play</t>
  </si>
  <si>
    <t>Jayden -&gt; Harley</t>
  </si>
  <si>
    <t>Kevin -&gt; Jayden</t>
  </si>
  <si>
    <t>Sam -&gt; Levi / Aayo -&gt; Melvin / Cordell -&gt; Seb</t>
  </si>
  <si>
    <t>J.Harrup -&gt; Louie</t>
  </si>
  <si>
    <t>Move into Pocket, Offensive duel</t>
  </si>
  <si>
    <t>Pass Received, Pass Completed, Lost Possession, Lost Middle 1/3, Duel Unsucceeded</t>
  </si>
  <si>
    <t>Backward Pass, Lateral Pass</t>
  </si>
  <si>
    <t>Duel Succeeded, Kept Possession</t>
  </si>
  <si>
    <t>Lost Possession, Lost Own 1/3</t>
  </si>
  <si>
    <t>Acceleration, 1v1 Attack</t>
  </si>
  <si>
    <t>Assist, Critical (Positive)</t>
  </si>
  <si>
    <t>Wide area, Touches in the box</t>
  </si>
  <si>
    <t>Pass Received, Pass Uncompleted, Lost Final 1/3</t>
  </si>
  <si>
    <t>1v1 Attack, Touches in the box</t>
  </si>
  <si>
    <t>Kept Possession, Pass Uncompleted, Pass Received</t>
  </si>
  <si>
    <t>Wide area, Offensive duel, Acceleration</t>
  </si>
  <si>
    <t>Tackles, Turnover Won</t>
  </si>
  <si>
    <t>Duel Succeeded, Pass Received, Pass Completed</t>
  </si>
  <si>
    <t>Move into Pocket, Acceleration</t>
  </si>
  <si>
    <t>Runs in Behind, Acceleration, Touches in the box</t>
  </si>
  <si>
    <t>Pass Received, Critical (Negative)</t>
  </si>
  <si>
    <t>Ayodele Akinsanya</t>
  </si>
  <si>
    <t>Goal, Critical (Positive)</t>
  </si>
  <si>
    <t>Backward Pass, Forward Pass</t>
  </si>
  <si>
    <t>Pass Received, Pass Completed, Pass Uncompleted, Pass Completed, Critical (Positive)</t>
  </si>
  <si>
    <t>Wide area, 1v1 Attack, Offensive duel</t>
  </si>
  <si>
    <t>Backward Pass, Backward Pass</t>
  </si>
  <si>
    <t>Pass Received, Pass Completed, Pass Received, Pass Completed</t>
  </si>
  <si>
    <t>1v1 Attack, Acceleration, Touches in the box, Offensive duel</t>
  </si>
  <si>
    <t>Kept Possession, Kept Possession, Pass Completed, Critical (Positive), Assist</t>
  </si>
  <si>
    <t>Forward Pass, Lateral Pass</t>
  </si>
  <si>
    <t>Pass Received, Pass Completed, Pass Uncompleted</t>
  </si>
  <si>
    <t>Pass Received, Pass Completed, Kept Possession, Pass Completed</t>
  </si>
  <si>
    <t>Lateral Pass, Forward Pass, Long Kick</t>
  </si>
  <si>
    <t>Lateral Pass, Forward Pass, Balls in Behind, Long Kick</t>
  </si>
  <si>
    <t>Acceleration, Offensive duel</t>
  </si>
  <si>
    <t>Pass Received, Lost Possession, Lost Middle 1/3, Duel Unsucceeded</t>
  </si>
  <si>
    <t>Forward Pass, Forward Pass</t>
  </si>
  <si>
    <t>Pass Received, Pass Completed, Kept Possession, Pass Uncompleted</t>
  </si>
  <si>
    <t>Lateral Pass, Balls in Behind</t>
  </si>
  <si>
    <t>Pass Completed, Pass Uncompleted</t>
  </si>
  <si>
    <t>Aerial duel, Ground duel</t>
  </si>
  <si>
    <t>Lost Possession, Lost Own 1/3, Duel Unsucceeded</t>
  </si>
  <si>
    <t>Pass Completed, Duel Succeeded</t>
  </si>
  <si>
    <t>Harley Moyes</t>
  </si>
  <si>
    <t>Lost Possession, Pass Received, Lost Final 1/3</t>
  </si>
  <si>
    <t>Pass Received, Pass Completed, Critical (Positive), Assist</t>
  </si>
  <si>
    <t>Sebastian Bixby-Gutierrez</t>
  </si>
  <si>
    <t>Pass Completed, Assist, Critical (Positive)</t>
  </si>
  <si>
    <t>Cross, Key/Through pass</t>
  </si>
  <si>
    <t>Pass Received, Pass Uncompleted, Critical (Negative)</t>
  </si>
  <si>
    <t>Conceded, On target</t>
  </si>
  <si>
    <t>Pass Completed, Pass Received, Pass Completed</t>
  </si>
  <si>
    <t>Pass Completed, Kept Possession, Pass Uncompleted</t>
  </si>
  <si>
    <t>Forward Pass, Forward Pass, Long Kick, Balls in Behind</t>
  </si>
  <si>
    <t>Pass Received, Pass Completed, Pass Received, Pass Uncompleted</t>
  </si>
  <si>
    <t>Backward Pass, Forward Pass, Long Kick</t>
  </si>
  <si>
    <t>Forward Pass, Backward Pass</t>
  </si>
  <si>
    <t>Interception, Turnover Won, Won Fouls</t>
  </si>
  <si>
    <t>Cambridge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</si>
</sst>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1"/>
      <name val="DIN Alternate Bold"/>
    </font>
    <font>
      <sz val="15"/>
      <color theme="1"/>
      <name val="DIN Alternate Bold"/>
    </font>
    <font>
      <sz val="13"/>
      <color theme="1"/>
      <name val="DIN Alternate Bold"/>
    </font>
    <font>
      <sz val="18"/>
      <color rgb="FF0070C0"/>
      <name val="DIN Alternate Bold"/>
    </font>
    <font>
      <sz val="12"/>
      <color theme="0"/>
      <name val="DIN Alternate Bold"/>
    </font>
    <font>
      <sz val="15"/>
      <color theme="0"/>
      <name val="DIN Alternate Bold"/>
    </font>
    <font>
      <sz val="16"/>
      <color theme="0"/>
      <name val="DIN Alternate Bold"/>
    </font>
    <font>
      <sz val="12"/>
      <color rgb="FFFF0000"/>
      <name val="DIN Alternate Bold"/>
    </font>
    <font>
      <sz val="12"/>
      <color theme="9"/>
      <name val="DIN Alternate Bold"/>
    </font>
    <font>
      <sz val="14"/>
      <color theme="1"/>
      <name val="DIN Alternate Bold"/>
    </font>
    <font>
      <sz val="14"/>
      <color theme="0"/>
      <name val="DIN Alternate Bold"/>
    </font>
    <font>
      <sz val="25"/>
      <color theme="1"/>
      <name val="DIN Alternate Bold"/>
    </font>
    <font>
      <sz val="12"/>
      <color theme="1"/>
      <name val="Aptos Narrow"/>
      <family val="2"/>
    </font>
    <font>
      <sz val="13.5"/>
      <color theme="0"/>
      <name val="DIN Alternate Bold"/>
    </font>
    <font>
      <sz val="27"/>
      <color theme="1"/>
      <name val="DIN Alternate Bold"/>
    </font>
    <font>
      <sz val="12"/>
      <color rgb="FF000000"/>
      <name val="Aptos Narrow"/>
      <family val="2"/>
      <scheme val="minor"/>
    </font>
    <font>
      <sz val="12"/>
      <color rgb="FF000000"/>
      <name val="DIN Alternate Bold"/>
    </font>
    <font>
      <sz val="18"/>
      <color theme="0"/>
      <name val="DIN Alternate Bold"/>
    </font>
    <font>
      <sz val="35"/>
      <color theme="0"/>
      <name val="DIN Alternate Bold"/>
    </font>
    <font>
      <sz val="13"/>
      <color theme="0"/>
      <name val="DIN Alternate Bold"/>
    </font>
    <font>
      <sz val="8"/>
      <name val="Aptos Narrow"/>
      <family val="2"/>
      <scheme val="minor"/>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499984740745262"/>
        <bgColor indexed="64"/>
      </patternFill>
    </fill>
    <fill>
      <patternFill patternType="solid">
        <fgColor rgb="FFC00000"/>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1"/>
        <bgColor indexed="64"/>
      </patternFill>
    </fill>
    <fill>
      <patternFill patternType="solid">
        <fgColor theme="9"/>
        <bgColor indexed="64"/>
      </patternFill>
    </fill>
    <fill>
      <patternFill patternType="solid">
        <fgColor theme="3" tint="9.9978637043366805E-2"/>
        <bgColor indexed="64"/>
      </patternFill>
    </fill>
  </fills>
  <borders count="9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dashDot">
        <color theme="1"/>
      </right>
      <top style="medium">
        <color theme="0" tint="-0.499984740745262"/>
      </top>
      <bottom style="medium">
        <color theme="0" tint="-0.499984740745262"/>
      </bottom>
      <diagonal/>
    </border>
    <border>
      <left style="dashDot">
        <color theme="1"/>
      </left>
      <right style="medium">
        <color theme="0" tint="-0.499984740745262"/>
      </right>
      <top style="medium">
        <color theme="0" tint="-0.499984740745262"/>
      </top>
      <bottom style="medium">
        <color theme="0" tint="-0.499984740745262"/>
      </bottom>
      <diagonal/>
    </border>
    <border>
      <left style="medium">
        <color theme="3" tint="0.249977111117893"/>
      </left>
      <right style="medium">
        <color theme="0" tint="-0.499984740745262"/>
      </right>
      <top/>
      <bottom/>
      <diagonal/>
    </border>
    <border>
      <left style="medium">
        <color theme="0" tint="-0.499984740745262"/>
      </left>
      <right style="dashDot">
        <color theme="1"/>
      </right>
      <top style="medium">
        <color theme="0" tint="-0.499984740745262"/>
      </top>
      <bottom style="medium">
        <color theme="0" tint="-0.499984740745262"/>
      </bottom>
      <diagonal/>
    </border>
    <border>
      <left style="medium">
        <color theme="8" tint="-0.499984740745262"/>
      </left>
      <right/>
      <top/>
      <bottom/>
      <diagonal/>
    </border>
    <border>
      <left/>
      <right/>
      <top/>
      <bottom style="medium">
        <color theme="8" tint="-0.499984740745262"/>
      </bottom>
      <diagonal/>
    </border>
    <border>
      <left/>
      <right style="medium">
        <color theme="8" tint="-0.499984740745262"/>
      </right>
      <top/>
      <bottom style="medium">
        <color theme="8" tint="-0.499984740745262"/>
      </bottom>
      <diagonal/>
    </border>
    <border>
      <left/>
      <right style="medium">
        <color theme="8" tint="-0.499984740745262"/>
      </right>
      <top/>
      <bottom/>
      <diagonal/>
    </border>
    <border>
      <left/>
      <right/>
      <top style="medium">
        <color theme="8" tint="-0.499984740745262"/>
      </top>
      <bottom style="medium">
        <color theme="8" tint="-0.499984740745262"/>
      </bottom>
      <diagonal/>
    </border>
    <border>
      <left/>
      <right/>
      <top style="medium">
        <color theme="8" tint="-0.499984740745262"/>
      </top>
      <bottom/>
      <diagonal/>
    </border>
    <border>
      <left/>
      <right style="medium">
        <color theme="8" tint="-0.499984740745262"/>
      </right>
      <top style="medium">
        <color theme="8" tint="-0.499984740745262"/>
      </top>
      <bottom/>
      <diagonal/>
    </border>
    <border>
      <left style="medium">
        <color theme="8" tint="-0.499984740745262"/>
      </left>
      <right/>
      <top style="medium">
        <color theme="8" tint="-0.499984740745262"/>
      </top>
      <bottom style="medium">
        <color theme="8" tint="-0.499984740745262"/>
      </bottom>
      <diagonal/>
    </border>
    <border>
      <left/>
      <right style="medium">
        <color theme="8" tint="-0.499984740745262"/>
      </right>
      <top style="medium">
        <color theme="8" tint="-0.499984740745262"/>
      </top>
      <bottom style="medium">
        <color theme="8" tint="-0.499984740745262"/>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right style="mediumDashed">
        <color theme="0" tint="-0.499984740745262"/>
      </right>
      <top style="medium">
        <color theme="0" tint="-0.499984740745262"/>
      </top>
      <bottom/>
      <diagonal/>
    </border>
    <border>
      <left/>
      <right style="mediumDashed">
        <color theme="0" tint="-0.499984740745262"/>
      </right>
      <top/>
      <bottom style="medium">
        <color theme="0" tint="-0.499984740745262"/>
      </bottom>
      <diagonal/>
    </border>
    <border>
      <left style="medium">
        <color theme="0" tint="-0.499984740745262"/>
      </left>
      <right style="medium">
        <color theme="0" tint="-0.499984740745262"/>
      </right>
      <top/>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top style="mediumDashed">
        <color theme="0" tint="-0.499984740745262"/>
      </top>
      <bottom style="medium">
        <color theme="0" tint="-0.499984740745262"/>
      </bottom>
      <diagonal/>
    </border>
    <border>
      <left/>
      <right/>
      <top style="mediumDashed">
        <color theme="0" tint="-0.499984740745262"/>
      </top>
      <bottom style="medium">
        <color theme="0" tint="-0.499984740745262"/>
      </bottom>
      <diagonal/>
    </border>
    <border>
      <left/>
      <right style="medium">
        <color theme="0" tint="-0.499984740745262"/>
      </right>
      <top style="mediumDashed">
        <color theme="0" tint="-0.499984740745262"/>
      </top>
      <bottom style="medium">
        <color theme="0" tint="-0.499984740745262"/>
      </bottom>
      <diagonal/>
    </border>
    <border>
      <left style="medium">
        <color theme="0" tint="-0.499984740745262"/>
      </left>
      <right/>
      <top style="medium">
        <color theme="0" tint="-0.499984740745262"/>
      </top>
      <bottom style="mediumDashed">
        <color theme="0" tint="-0.499984740745262"/>
      </bottom>
      <diagonal/>
    </border>
    <border>
      <left/>
      <right/>
      <top style="medium">
        <color theme="0" tint="-0.499984740745262"/>
      </top>
      <bottom style="mediumDashed">
        <color theme="0" tint="-0.499984740745262"/>
      </bottom>
      <diagonal/>
    </border>
    <border>
      <left/>
      <right style="medium">
        <color theme="0" tint="-0.499984740745262"/>
      </right>
      <top style="medium">
        <color theme="0" tint="-0.499984740745262"/>
      </top>
      <bottom style="mediumDashed">
        <color theme="0" tint="-0.499984740745262"/>
      </bottom>
      <diagonal/>
    </border>
    <border>
      <left style="medium">
        <color theme="0" tint="-0.499984740745262"/>
      </left>
      <right style="mediumDashed">
        <color theme="0" tint="-0.499984740745262"/>
      </right>
      <top style="medium">
        <color theme="0" tint="-0.499984740745262"/>
      </top>
      <bottom style="medium">
        <color theme="0" tint="-0.499984740745262"/>
      </bottom>
      <diagonal/>
    </border>
    <border>
      <left/>
      <right style="mediumDashed">
        <color theme="0" tint="-0.499984740745262"/>
      </right>
      <top style="medium">
        <color theme="0" tint="-0.499984740745262"/>
      </top>
      <bottom style="medium">
        <color theme="0" tint="-0.499984740745262"/>
      </bottom>
      <diagonal/>
    </border>
    <border>
      <left style="mediumDashed">
        <color theme="0" tint="-0.499984740745262"/>
      </left>
      <right style="mediumDashed">
        <color theme="0" tint="-0.499984740745262"/>
      </right>
      <top style="medium">
        <color theme="0" tint="-0.499984740745262"/>
      </top>
      <bottom style="medium">
        <color theme="0" tint="-0.499984740745262"/>
      </bottom>
      <diagonal/>
    </border>
    <border>
      <left style="mediumDashed">
        <color theme="0" tint="-0.499984740745262"/>
      </left>
      <right style="medium">
        <color theme="0" tint="-0.499984740745262"/>
      </right>
      <top style="medium">
        <color theme="0" tint="-0.499984740745262"/>
      </top>
      <bottom style="medium">
        <color theme="0" tint="-0.499984740745262"/>
      </bottom>
      <diagonal/>
    </border>
    <border>
      <left style="mediumDashed">
        <color theme="0" tint="-0.499984740745262"/>
      </left>
      <right/>
      <top style="medium">
        <color theme="0" tint="-0.499984740745262"/>
      </top>
      <bottom style="medium">
        <color theme="0" tint="-0.499984740745262"/>
      </bottom>
      <diagonal/>
    </border>
    <border>
      <left/>
      <right/>
      <top/>
      <bottom style="thin">
        <color theme="3" tint="9.9978637043366805E-2"/>
      </bottom>
      <diagonal/>
    </border>
    <border>
      <left/>
      <right style="medium">
        <color theme="3"/>
      </right>
      <top/>
      <bottom/>
      <diagonal/>
    </border>
    <border>
      <left/>
      <right style="thin">
        <color theme="3" tint="9.9978637043366805E-2"/>
      </right>
      <top/>
      <bottom style="medium">
        <color theme="3"/>
      </bottom>
      <diagonal/>
    </border>
    <border>
      <left/>
      <right/>
      <top/>
      <bottom style="medium">
        <color theme="3"/>
      </bottom>
      <diagonal/>
    </border>
    <border>
      <left style="medium">
        <color theme="3"/>
      </left>
      <right/>
      <top/>
      <bottom/>
      <diagonal/>
    </border>
    <border>
      <left style="medium">
        <color theme="3"/>
      </left>
      <right/>
      <top/>
      <bottom style="medium">
        <color theme="8" tint="-0.499984740745262"/>
      </bottom>
      <diagonal/>
    </border>
    <border>
      <left style="medium">
        <color theme="3"/>
      </left>
      <right/>
      <top/>
      <bottom style="medium">
        <color theme="3"/>
      </bottom>
      <diagonal/>
    </border>
    <border>
      <left/>
      <right style="medium">
        <color theme="3"/>
      </right>
      <top/>
      <bottom style="medium">
        <color theme="3"/>
      </bottom>
      <diagonal/>
    </border>
    <border>
      <left/>
      <right style="medium">
        <color theme="8" tint="-0.499984740745262"/>
      </right>
      <top/>
      <bottom style="medium">
        <color theme="3"/>
      </bottom>
      <diagonal/>
    </border>
    <border>
      <left style="medium">
        <color theme="8" tint="-0.499984740745262"/>
      </left>
      <right/>
      <top style="medium">
        <color theme="3"/>
      </top>
      <bottom/>
      <diagonal/>
    </border>
    <border>
      <left/>
      <right style="medium">
        <color theme="8" tint="-0.499984740745262"/>
      </right>
      <top style="medium">
        <color theme="3"/>
      </top>
      <bottom/>
      <diagonal/>
    </border>
    <border>
      <left style="medium">
        <color theme="8" tint="-0.499984740745262"/>
      </left>
      <right/>
      <top/>
      <bottom style="medium">
        <color theme="3"/>
      </bottom>
      <diagonal/>
    </border>
    <border>
      <left/>
      <right style="medium">
        <color theme="3"/>
      </right>
      <top style="medium">
        <color theme="3"/>
      </top>
      <bottom style="medium">
        <color theme="3"/>
      </bottom>
      <diagonal/>
    </border>
    <border>
      <left/>
      <right/>
      <top style="medium">
        <color theme="3"/>
      </top>
      <bottom/>
      <diagonal/>
    </border>
    <border>
      <left/>
      <right style="medium">
        <color theme="3"/>
      </right>
      <top style="medium">
        <color theme="3"/>
      </top>
      <bottom/>
      <diagonal/>
    </border>
    <border>
      <left style="thin">
        <color theme="3" tint="9.9978637043366805E-2"/>
      </left>
      <right/>
      <top style="medium">
        <color theme="3"/>
      </top>
      <bottom/>
      <diagonal/>
    </border>
    <border>
      <left style="medium">
        <color theme="3"/>
      </left>
      <right/>
      <top style="medium">
        <color theme="3"/>
      </top>
      <bottom/>
      <diagonal/>
    </border>
    <border>
      <left/>
      <right style="thin">
        <color theme="3" tint="9.9978637043366805E-2"/>
      </right>
      <top style="medium">
        <color theme="3"/>
      </top>
      <bottom/>
      <diagonal/>
    </border>
    <border>
      <left style="thin">
        <color theme="3" tint="9.9978637043366805E-2"/>
      </left>
      <right/>
      <top/>
      <bottom style="medium">
        <color theme="3"/>
      </bottom>
      <diagonal/>
    </border>
    <border>
      <left/>
      <right style="medium">
        <color theme="3"/>
      </right>
      <top style="medium">
        <color theme="8" tint="-0.499984740745262"/>
      </top>
      <bottom/>
      <diagonal/>
    </border>
    <border>
      <left style="medium">
        <color theme="3"/>
      </left>
      <right/>
      <top style="medium">
        <color theme="3"/>
      </top>
      <bottom style="medium">
        <color theme="3"/>
      </bottom>
      <diagonal/>
    </border>
    <border>
      <left/>
      <right/>
      <top style="medium">
        <color theme="3"/>
      </top>
      <bottom style="medium">
        <color theme="3"/>
      </bottom>
      <diagonal/>
    </border>
    <border>
      <left style="medium">
        <color theme="3"/>
      </left>
      <right style="medium">
        <color theme="8" tint="-0.499984740745262"/>
      </right>
      <top style="medium">
        <color theme="3"/>
      </top>
      <bottom/>
      <diagonal/>
    </border>
    <border>
      <left style="medium">
        <color theme="3"/>
      </left>
      <right style="medium">
        <color theme="8" tint="-0.499984740745262"/>
      </right>
      <top style="medium">
        <color theme="3"/>
      </top>
      <bottom style="medium">
        <color theme="3"/>
      </bottom>
      <diagonal/>
    </border>
    <border>
      <left style="medium">
        <color theme="3"/>
      </left>
      <right/>
      <top style="medium">
        <color theme="0" tint="-0.499984740745262"/>
      </top>
      <bottom style="medium">
        <color theme="0" tint="-0.499984740745262"/>
      </bottom>
      <diagonal/>
    </border>
    <border>
      <left style="medium">
        <color theme="3"/>
      </left>
      <right/>
      <top style="medium">
        <color theme="0" tint="-0.499984740745262"/>
      </top>
      <bottom/>
      <diagonal/>
    </border>
    <border>
      <left style="medium">
        <color theme="3"/>
      </left>
      <right/>
      <top/>
      <bottom style="medium">
        <color theme="0" tint="-0.499984740745262"/>
      </bottom>
      <diagonal/>
    </border>
    <border>
      <left style="medium">
        <color theme="8" tint="-0.499984740745262"/>
      </left>
      <right/>
      <top style="medium">
        <color theme="3"/>
      </top>
      <bottom style="medium">
        <color theme="3"/>
      </bottom>
      <diagonal/>
    </border>
    <border>
      <left style="medium">
        <color theme="3"/>
      </left>
      <right/>
      <top style="mediumDashed">
        <color theme="3"/>
      </top>
      <bottom style="medium">
        <color theme="3"/>
      </bottom>
      <diagonal/>
    </border>
    <border>
      <left/>
      <right/>
      <top style="mediumDashed">
        <color theme="3"/>
      </top>
      <bottom style="medium">
        <color theme="3"/>
      </bottom>
      <diagonal/>
    </border>
    <border>
      <left/>
      <right style="medium">
        <color theme="3"/>
      </right>
      <top style="mediumDashed">
        <color theme="3"/>
      </top>
      <bottom style="medium">
        <color theme="3"/>
      </bottom>
      <diagonal/>
    </border>
    <border>
      <left style="medium">
        <color theme="3"/>
      </left>
      <right/>
      <top style="thin">
        <color theme="3" tint="9.9978637043366805E-2"/>
      </top>
      <bottom style="mediumDashed">
        <color theme="3"/>
      </bottom>
      <diagonal/>
    </border>
    <border>
      <left/>
      <right/>
      <top style="thin">
        <color theme="3" tint="9.9978637043366805E-2"/>
      </top>
      <bottom style="mediumDashed">
        <color theme="3"/>
      </bottom>
      <diagonal/>
    </border>
    <border>
      <left/>
      <right style="medium">
        <color theme="3"/>
      </right>
      <top style="thin">
        <color theme="3" tint="9.9978637043366805E-2"/>
      </top>
      <bottom style="mediumDashed">
        <color theme="3"/>
      </bottom>
      <diagonal/>
    </border>
    <border>
      <left style="medium">
        <color theme="3"/>
      </left>
      <right/>
      <top style="medium">
        <color theme="3"/>
      </top>
      <bottom style="mediumDashed">
        <color theme="3"/>
      </bottom>
      <diagonal/>
    </border>
    <border>
      <left/>
      <right/>
      <top style="medium">
        <color theme="3"/>
      </top>
      <bottom style="mediumDashed">
        <color theme="3"/>
      </bottom>
      <diagonal/>
    </border>
    <border>
      <left/>
      <right style="medium">
        <color theme="3"/>
      </right>
      <top style="medium">
        <color theme="3"/>
      </top>
      <bottom style="mediumDashed">
        <color theme="3"/>
      </bottom>
      <diagonal/>
    </border>
    <border>
      <left style="medium">
        <color theme="3"/>
      </left>
      <right style="mediumDashed">
        <color theme="3"/>
      </right>
      <top style="medium">
        <color theme="3"/>
      </top>
      <bottom style="medium">
        <color theme="3"/>
      </bottom>
      <diagonal/>
    </border>
    <border>
      <left/>
      <right style="mediumDashed">
        <color theme="3"/>
      </right>
      <top style="medium">
        <color theme="3"/>
      </top>
      <bottom style="medium">
        <color theme="3"/>
      </bottom>
      <diagonal/>
    </border>
    <border>
      <left style="medium">
        <color theme="8" tint="-0.499984740745262"/>
      </left>
      <right style="mediumDashed">
        <color theme="3"/>
      </right>
      <top style="medium">
        <color theme="8" tint="-0.499984740745262"/>
      </top>
      <bottom style="medium">
        <color theme="8" tint="-0.499984740745262"/>
      </bottom>
      <diagonal/>
    </border>
    <border>
      <left style="medium">
        <color theme="8" tint="-0.499984740745262"/>
      </left>
      <right style="mediumDashed">
        <color theme="3"/>
      </right>
      <top/>
      <bottom/>
      <diagonal/>
    </border>
    <border>
      <left style="medium">
        <color theme="8" tint="-0.499984740745262"/>
      </left>
      <right style="mediumDashed">
        <color theme="3"/>
      </right>
      <top style="medium">
        <color theme="8" tint="-0.499984740745262"/>
      </top>
      <bottom/>
      <diagonal/>
    </border>
    <border>
      <left style="medium">
        <color theme="3"/>
      </left>
      <right style="mediumDashed">
        <color theme="3"/>
      </right>
      <top style="medium">
        <color theme="3"/>
      </top>
      <bottom/>
      <diagonal/>
    </border>
    <border>
      <left style="mediumDashed">
        <color theme="3"/>
      </left>
      <right style="mediumDashed">
        <color theme="3"/>
      </right>
      <top style="medium">
        <color theme="3"/>
      </top>
      <bottom style="medium">
        <color theme="3"/>
      </bottom>
      <diagonal/>
    </border>
    <border>
      <left/>
      <right style="mediumDashed">
        <color theme="3"/>
      </right>
      <top style="medium">
        <color theme="8" tint="-0.499984740745262"/>
      </top>
      <bottom style="medium">
        <color theme="8" tint="-0.499984740745262"/>
      </bottom>
      <diagonal/>
    </border>
    <border>
      <left style="mediumDashed">
        <color theme="3"/>
      </left>
      <right style="mediumDashed">
        <color theme="3"/>
      </right>
      <top style="medium">
        <color theme="8" tint="-0.499984740745262"/>
      </top>
      <bottom style="medium">
        <color theme="8" tint="-0.499984740745262"/>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5">
    <xf numFmtId="0" fontId="0" fillId="0" borderId="0" xfId="0"/>
    <xf numFmtId="0" fontId="17" fillId="34" borderId="0" xfId="0" applyFont="1" applyFill="1"/>
    <xf numFmtId="0" fontId="17" fillId="35" borderId="0" xfId="0" applyFont="1" applyFill="1"/>
    <xf numFmtId="0" fontId="0" fillId="0" borderId="0" xfId="0" pivotButton="1"/>
    <xf numFmtId="0" fontId="0" fillId="0" borderId="0" xfId="0" applyAlignment="1">
      <alignment horizontal="left"/>
    </xf>
    <xf numFmtId="0" fontId="18" fillId="0" borderId="0" xfId="0" applyFont="1" applyAlignment="1">
      <alignment horizontal="center" vertical="center"/>
    </xf>
    <xf numFmtId="0" fontId="18" fillId="0" borderId="0" xfId="0" applyFont="1" applyAlignment="1">
      <alignment vertical="center"/>
    </xf>
    <xf numFmtId="9" fontId="0" fillId="0" borderId="0" xfId="1" applyFont="1"/>
    <xf numFmtId="1" fontId="0" fillId="0" borderId="0" xfId="0" applyNumberFormat="1"/>
    <xf numFmtId="0" fontId="27" fillId="0" borderId="0" xfId="0" applyFont="1" applyAlignment="1">
      <alignment horizontal="center" vertical="center"/>
    </xf>
    <xf numFmtId="0" fontId="22" fillId="33" borderId="0" xfId="0" applyFont="1" applyFill="1" applyAlignment="1">
      <alignment horizontal="center" vertical="center"/>
    </xf>
    <xf numFmtId="164" fontId="0" fillId="0" borderId="0" xfId="1" applyNumberFormat="1" applyFont="1"/>
    <xf numFmtId="0" fontId="0" fillId="0" borderId="0" xfId="0" applyAlignment="1">
      <alignment vertical="center"/>
    </xf>
    <xf numFmtId="9" fontId="18" fillId="0" borderId="0" xfId="1" applyFont="1" applyAlignment="1">
      <alignment horizontal="center" vertical="center"/>
    </xf>
    <xf numFmtId="0" fontId="28" fillId="36" borderId="0" xfId="0" applyFont="1" applyFill="1" applyAlignment="1">
      <alignment horizontal="center" vertical="center"/>
    </xf>
    <xf numFmtId="0" fontId="27" fillId="37" borderId="0" xfId="0" applyFont="1" applyFill="1" applyAlignment="1">
      <alignment horizontal="center" vertical="center"/>
    </xf>
    <xf numFmtId="0" fontId="28" fillId="33" borderId="0" xfId="0" applyFont="1" applyFill="1" applyAlignment="1">
      <alignment horizontal="center" vertical="center"/>
    </xf>
    <xf numFmtId="0" fontId="19" fillId="0" borderId="0" xfId="0" applyFont="1" applyAlignment="1">
      <alignment horizontal="center" vertical="center"/>
    </xf>
    <xf numFmtId="0" fontId="18" fillId="0" borderId="0" xfId="0" applyFont="1" applyAlignment="1">
      <alignment horizontal="left" vertical="center"/>
    </xf>
    <xf numFmtId="0" fontId="0" fillId="0" borderId="0" xfId="0" applyAlignment="1">
      <alignment horizontal="center"/>
    </xf>
    <xf numFmtId="0" fontId="23" fillId="0" borderId="0" xfId="0" applyFont="1" applyAlignment="1">
      <alignment vertical="center"/>
    </xf>
    <xf numFmtId="0" fontId="23" fillId="0" borderId="0" xfId="0" applyFont="1" applyAlignment="1">
      <alignment horizontal="center" vertical="center"/>
    </xf>
    <xf numFmtId="0" fontId="28" fillId="0" borderId="0" xfId="0" applyFont="1" applyAlignment="1">
      <alignment horizontal="center" vertical="center"/>
    </xf>
    <xf numFmtId="9" fontId="18" fillId="0" borderId="0" xfId="1" applyFont="1" applyFill="1" applyAlignment="1">
      <alignment horizontal="center" vertical="center"/>
    </xf>
    <xf numFmtId="0" fontId="22" fillId="0" borderId="0" xfId="0" applyFont="1" applyAlignment="1">
      <alignment vertical="center"/>
    </xf>
    <xf numFmtId="0" fontId="22" fillId="0" borderId="0" xfId="0" applyFont="1" applyAlignment="1">
      <alignment horizontal="center" vertical="center"/>
    </xf>
    <xf numFmtId="0" fontId="18" fillId="0" borderId="0" xfId="0" applyFont="1"/>
    <xf numFmtId="9" fontId="19" fillId="0" borderId="0" xfId="0" applyNumberFormat="1" applyFont="1" applyAlignment="1">
      <alignment horizontal="center" vertical="center"/>
    </xf>
    <xf numFmtId="14" fontId="0" fillId="0" borderId="0" xfId="0" applyNumberFormat="1"/>
    <xf numFmtId="0" fontId="18" fillId="0" borderId="14" xfId="0" applyFont="1" applyBorder="1" applyAlignment="1">
      <alignment horizontal="center" vertical="center"/>
    </xf>
    <xf numFmtId="0" fontId="30" fillId="0" borderId="0" xfId="0" applyFont="1"/>
    <xf numFmtId="0" fontId="25" fillId="0" borderId="0" xfId="0" applyFont="1" applyAlignment="1">
      <alignment vertical="center"/>
    </xf>
    <xf numFmtId="0" fontId="18" fillId="0" borderId="17" xfId="0" applyFont="1" applyBorder="1" applyAlignment="1">
      <alignment horizontal="center" vertical="center"/>
    </xf>
    <xf numFmtId="0" fontId="18" fillId="0" borderId="11" xfId="0" applyFont="1" applyBorder="1" applyAlignment="1">
      <alignment horizontal="center" vertical="center"/>
    </xf>
    <xf numFmtId="0" fontId="23" fillId="35" borderId="0" xfId="0" applyFont="1" applyFill="1" applyAlignment="1">
      <alignment vertical="center"/>
    </xf>
    <xf numFmtId="9" fontId="17" fillId="35" borderId="0" xfId="1" applyFont="1" applyFill="1"/>
    <xf numFmtId="0" fontId="17" fillId="39" borderId="0" xfId="0" applyFont="1" applyFill="1"/>
    <xf numFmtId="0" fontId="21" fillId="0" borderId="0" xfId="0" applyFont="1" applyAlignment="1">
      <alignment vertical="center"/>
    </xf>
    <xf numFmtId="9" fontId="33" fillId="0" borderId="0" xfId="0" applyNumberFormat="1" applyFont="1"/>
    <xf numFmtId="2" fontId="18" fillId="0" borderId="0" xfId="1" applyNumberFormat="1" applyFont="1" applyAlignment="1">
      <alignment horizontal="center" vertical="center"/>
    </xf>
    <xf numFmtId="0" fontId="19" fillId="0" borderId="0" xfId="0" applyFont="1" applyAlignment="1">
      <alignment vertical="center"/>
    </xf>
    <xf numFmtId="0" fontId="29" fillId="0" borderId="0" xfId="0" applyFont="1" applyAlignment="1">
      <alignment vertical="center"/>
    </xf>
    <xf numFmtId="0" fontId="18" fillId="0" borderId="13" xfId="0" applyFont="1" applyBorder="1" applyAlignment="1">
      <alignment horizontal="center" vertical="center"/>
    </xf>
    <xf numFmtId="0" fontId="18" fillId="0" borderId="15" xfId="0" applyFont="1" applyBorder="1" applyAlignment="1">
      <alignment horizontal="center" vertical="center"/>
    </xf>
    <xf numFmtId="0" fontId="18" fillId="0" borderId="10" xfId="0" applyFont="1" applyBorder="1" applyAlignment="1">
      <alignment horizontal="center" vertical="center"/>
    </xf>
    <xf numFmtId="0" fontId="18" fillId="0" borderId="19" xfId="0" applyFont="1" applyBorder="1" applyAlignment="1">
      <alignment horizontal="center" vertical="center"/>
    </xf>
    <xf numFmtId="0" fontId="18" fillId="0" borderId="22" xfId="0" applyFont="1" applyBorder="1" applyAlignment="1">
      <alignment horizontal="center" vertical="center"/>
    </xf>
    <xf numFmtId="0" fontId="18" fillId="0" borderId="14" xfId="0" applyFont="1" applyBorder="1" applyAlignment="1">
      <alignment vertical="center"/>
    </xf>
    <xf numFmtId="0" fontId="26" fillId="0" borderId="14" xfId="0" applyFont="1" applyBorder="1" applyAlignment="1">
      <alignment vertical="center"/>
    </xf>
    <xf numFmtId="0" fontId="18" fillId="0" borderId="23" xfId="0" applyFont="1" applyBorder="1" applyAlignment="1">
      <alignment horizontal="center" vertical="center"/>
    </xf>
    <xf numFmtId="0" fontId="26" fillId="0" borderId="23" xfId="0" applyFont="1" applyBorder="1" applyAlignment="1">
      <alignment vertical="center"/>
    </xf>
    <xf numFmtId="9" fontId="18" fillId="0" borderId="19" xfId="1" applyFont="1" applyBorder="1" applyAlignment="1">
      <alignment horizontal="center" vertical="center"/>
    </xf>
    <xf numFmtId="1" fontId="18" fillId="0" borderId="20" xfId="0" applyNumberFormat="1" applyFont="1" applyBorder="1" applyAlignment="1">
      <alignment horizontal="center" vertical="center"/>
    </xf>
    <xf numFmtId="9" fontId="18" fillId="0" borderId="19" xfId="0" applyNumberFormat="1" applyFont="1" applyBorder="1" applyAlignment="1">
      <alignment horizontal="center" vertical="center"/>
    </xf>
    <xf numFmtId="9" fontId="0" fillId="0" borderId="0" xfId="1" applyFont="1" applyAlignment="1">
      <alignment horizontal="right"/>
    </xf>
    <xf numFmtId="9" fontId="0" fillId="0" borderId="0" xfId="1" applyFont="1" applyFill="1"/>
    <xf numFmtId="0" fontId="17" fillId="0" borderId="0" xfId="0" applyFont="1"/>
    <xf numFmtId="9" fontId="17" fillId="0" borderId="0" xfId="1" applyFont="1" applyFill="1"/>
    <xf numFmtId="9" fontId="17" fillId="39" borderId="0" xfId="1" applyFont="1" applyFill="1"/>
    <xf numFmtId="9" fontId="0" fillId="0" borderId="0" xfId="1" applyFont="1" applyFill="1" applyAlignment="1">
      <alignment horizontal="right"/>
    </xf>
    <xf numFmtId="0" fontId="37" fillId="33" borderId="0" xfId="0" applyFont="1" applyFill="1" applyAlignment="1">
      <alignment horizontal="center" vertical="center"/>
    </xf>
    <xf numFmtId="0" fontId="18" fillId="0" borderId="30" xfId="0" applyFont="1" applyBorder="1" applyAlignment="1">
      <alignment horizontal="center" vertical="center"/>
    </xf>
    <xf numFmtId="0" fontId="18" fillId="0" borderId="26" xfId="0" applyFont="1" applyBorder="1" applyAlignment="1">
      <alignment horizontal="center" vertical="center"/>
    </xf>
    <xf numFmtId="0" fontId="18" fillId="0" borderId="28" xfId="0" applyFont="1" applyBorder="1" applyAlignment="1">
      <alignment horizontal="center" vertical="center"/>
    </xf>
    <xf numFmtId="0" fontId="18" fillId="0" borderId="33" xfId="0" applyFont="1" applyBorder="1" applyAlignment="1">
      <alignment horizontal="center" vertical="center"/>
    </xf>
    <xf numFmtId="0" fontId="18" fillId="0" borderId="27" xfId="0" applyFont="1" applyBorder="1" applyAlignment="1">
      <alignment horizontal="center" vertical="center"/>
    </xf>
    <xf numFmtId="0" fontId="23" fillId="0" borderId="28" xfId="0" applyFont="1" applyBorder="1" applyAlignment="1">
      <alignment vertical="center"/>
    </xf>
    <xf numFmtId="1" fontId="18" fillId="0" borderId="29" xfId="0" applyNumberFormat="1" applyFont="1" applyBorder="1" applyAlignment="1">
      <alignment horizontal="center" vertical="center"/>
    </xf>
    <xf numFmtId="9" fontId="18" fillId="0" borderId="33" xfId="1" applyFont="1" applyBorder="1" applyAlignment="1">
      <alignment horizontal="center" vertical="center"/>
    </xf>
    <xf numFmtId="0" fontId="18" fillId="0" borderId="34" xfId="0" applyFont="1" applyBorder="1" applyAlignment="1">
      <alignment horizontal="center" vertical="center"/>
    </xf>
    <xf numFmtId="0" fontId="18" fillId="0" borderId="37" xfId="0" applyFont="1" applyBorder="1" applyAlignment="1">
      <alignment horizontal="center" vertical="center"/>
    </xf>
    <xf numFmtId="0" fontId="18" fillId="0" borderId="38" xfId="0" applyFont="1" applyBorder="1" applyAlignment="1">
      <alignment horizontal="center" vertical="center"/>
    </xf>
    <xf numFmtId="0" fontId="23" fillId="0" borderId="10" xfId="0" applyFont="1" applyBorder="1" applyAlignment="1">
      <alignment vertical="center"/>
    </xf>
    <xf numFmtId="0" fontId="23" fillId="0" borderId="11" xfId="0" applyFont="1" applyBorder="1" applyAlignment="1">
      <alignment vertical="center"/>
    </xf>
    <xf numFmtId="0" fontId="23" fillId="0" borderId="12" xfId="0" applyFont="1" applyBorder="1" applyAlignment="1">
      <alignment vertical="center"/>
    </xf>
    <xf numFmtId="9" fontId="18" fillId="0" borderId="24" xfId="1" applyFont="1" applyBorder="1" applyAlignment="1">
      <alignment horizontal="center" vertical="center"/>
    </xf>
    <xf numFmtId="1" fontId="18" fillId="0" borderId="19" xfId="0" applyNumberFormat="1" applyFont="1" applyBorder="1" applyAlignment="1">
      <alignment horizontal="center" vertical="center"/>
    </xf>
    <xf numFmtId="0" fontId="18" fillId="0" borderId="47" xfId="0" applyFont="1" applyBorder="1" applyAlignment="1">
      <alignment horizontal="center" vertical="center"/>
    </xf>
    <xf numFmtId="1" fontId="18" fillId="0" borderId="49" xfId="0" applyNumberFormat="1" applyFont="1" applyBorder="1" applyAlignment="1">
      <alignment horizontal="center" vertical="center"/>
    </xf>
    <xf numFmtId="9" fontId="18" fillId="0" borderId="48" xfId="1" applyFont="1" applyBorder="1" applyAlignment="1">
      <alignment horizontal="center" vertical="center"/>
    </xf>
    <xf numFmtId="9" fontId="18" fillId="0" borderId="48" xfId="0" applyNumberFormat="1" applyFont="1" applyBorder="1" applyAlignment="1">
      <alignment horizontal="center" vertical="center"/>
    </xf>
    <xf numFmtId="1" fontId="18" fillId="0" borderId="47" xfId="0" applyNumberFormat="1" applyFont="1" applyBorder="1" applyAlignment="1">
      <alignment horizontal="center" vertical="center"/>
    </xf>
    <xf numFmtId="1" fontId="18" fillId="0" borderId="45" xfId="0" applyNumberFormat="1" applyFont="1" applyBorder="1" applyAlignment="1">
      <alignment horizontal="center" vertical="center"/>
    </xf>
    <xf numFmtId="1" fontId="17" fillId="39" borderId="0" xfId="0" applyNumberFormat="1" applyFont="1" applyFill="1"/>
    <xf numFmtId="9" fontId="18" fillId="0" borderId="0" xfId="1" applyFont="1" applyAlignment="1">
      <alignment vertical="center"/>
    </xf>
    <xf numFmtId="0" fontId="28" fillId="40" borderId="0" xfId="0" applyFont="1" applyFill="1" applyAlignment="1">
      <alignment horizontal="center" vertical="center"/>
    </xf>
    <xf numFmtId="0" fontId="18" fillId="0" borderId="51" xfId="0" applyFont="1" applyBorder="1" applyAlignment="1">
      <alignment horizontal="center" vertical="center"/>
    </xf>
    <xf numFmtId="0" fontId="18" fillId="0" borderId="53" xfId="0" applyFont="1" applyBorder="1" applyAlignment="1">
      <alignment horizontal="center" vertical="center"/>
    </xf>
    <xf numFmtId="0" fontId="18" fillId="0" borderId="54" xfId="0" applyFont="1" applyBorder="1" applyAlignment="1">
      <alignment horizontal="center" vertical="center"/>
    </xf>
    <xf numFmtId="0" fontId="18" fillId="0" borderId="56" xfId="0" applyFont="1" applyBorder="1" applyAlignment="1">
      <alignment horizontal="center" vertical="center"/>
    </xf>
    <xf numFmtId="0" fontId="18" fillId="0" borderId="57" xfId="0" applyFont="1" applyBorder="1" applyAlignment="1">
      <alignment horizontal="center" vertical="center"/>
    </xf>
    <xf numFmtId="0" fontId="19" fillId="0" borderId="56" xfId="0" applyFont="1" applyBorder="1" applyAlignment="1">
      <alignment horizontal="center" vertical="center"/>
    </xf>
    <xf numFmtId="0" fontId="19" fillId="0" borderId="53" xfId="0" applyFont="1" applyBorder="1" applyAlignment="1">
      <alignment horizontal="center" vertical="center"/>
    </xf>
    <xf numFmtId="9" fontId="19" fillId="0" borderId="53" xfId="1" applyFont="1" applyBorder="1" applyAlignment="1">
      <alignment horizontal="center" vertical="center"/>
    </xf>
    <xf numFmtId="0" fontId="18" fillId="0" borderId="69" xfId="0" applyFont="1" applyBorder="1" applyAlignment="1">
      <alignment horizontal="center" vertical="center"/>
    </xf>
    <xf numFmtId="0" fontId="18" fillId="0" borderId="63" xfId="0" applyFont="1" applyBorder="1" applyAlignment="1">
      <alignment vertical="center"/>
    </xf>
    <xf numFmtId="0" fontId="18" fillId="0" borderId="64" xfId="0" applyFont="1" applyBorder="1" applyAlignment="1">
      <alignment vertical="center"/>
    </xf>
    <xf numFmtId="0" fontId="18" fillId="0" borderId="51" xfId="0" applyFont="1" applyBorder="1" applyAlignment="1">
      <alignment vertical="center"/>
    </xf>
    <xf numFmtId="0" fontId="18" fillId="0" borderId="58" xfId="0" applyFont="1" applyBorder="1" applyAlignment="1">
      <alignment horizontal="center" vertical="center"/>
    </xf>
    <xf numFmtId="0" fontId="18" fillId="0" borderId="72" xfId="0" applyFont="1" applyBorder="1" applyAlignment="1">
      <alignment horizontal="center" vertical="center"/>
    </xf>
    <xf numFmtId="0" fontId="18" fillId="0" borderId="73" xfId="0" applyFont="1" applyBorder="1" applyAlignment="1">
      <alignment horizontal="center" vertical="center"/>
    </xf>
    <xf numFmtId="0" fontId="18" fillId="0" borderId="71" xfId="0" applyFont="1" applyBorder="1" applyAlignment="1">
      <alignment horizontal="center" vertical="center"/>
    </xf>
    <xf numFmtId="0" fontId="23" fillId="35" borderId="33" xfId="0" applyFont="1" applyFill="1" applyBorder="1" applyAlignment="1">
      <alignment vertical="center"/>
    </xf>
    <xf numFmtId="9" fontId="18" fillId="0" borderId="62" xfId="0" applyNumberFormat="1" applyFont="1" applyBorder="1" applyAlignment="1">
      <alignment horizontal="center" vertical="center"/>
    </xf>
    <xf numFmtId="0" fontId="18" fillId="0" borderId="88" xfId="0" applyFont="1" applyBorder="1" applyAlignment="1">
      <alignment horizontal="center" vertical="center"/>
    </xf>
    <xf numFmtId="0" fontId="18" fillId="0" borderId="87" xfId="0" applyFont="1" applyBorder="1" applyAlignment="1">
      <alignment horizontal="center" vertical="center"/>
    </xf>
    <xf numFmtId="0" fontId="18" fillId="0" borderId="89" xfId="0" applyFont="1" applyBorder="1" applyAlignment="1">
      <alignment horizontal="center" vertical="center"/>
    </xf>
    <xf numFmtId="0" fontId="18" fillId="0" borderId="90" xfId="0" applyFont="1" applyBorder="1" applyAlignment="1">
      <alignment horizontal="center" vertical="center"/>
    </xf>
    <xf numFmtId="0" fontId="18" fillId="0" borderId="91" xfId="0" applyFont="1" applyBorder="1" applyAlignment="1">
      <alignment horizontal="center" vertical="center"/>
    </xf>
    <xf numFmtId="9" fontId="18" fillId="0" borderId="87" xfId="1" applyFont="1" applyBorder="1" applyAlignment="1">
      <alignment horizontal="center" vertical="center"/>
    </xf>
    <xf numFmtId="0" fontId="18" fillId="0" borderId="92" xfId="0" applyFont="1" applyBorder="1" applyAlignment="1">
      <alignment horizontal="center" vertical="center"/>
    </xf>
    <xf numFmtId="1" fontId="18" fillId="0" borderId="87" xfId="0" applyNumberFormat="1" applyFont="1" applyBorder="1" applyAlignment="1">
      <alignment horizontal="center" vertical="center"/>
    </xf>
    <xf numFmtId="1" fontId="18" fillId="0" borderId="93" xfId="0" applyNumberFormat="1" applyFont="1" applyBorder="1" applyAlignment="1">
      <alignment horizontal="center" vertical="center"/>
    </xf>
    <xf numFmtId="0" fontId="18" fillId="0" borderId="93" xfId="0" applyFont="1" applyBorder="1" applyAlignment="1">
      <alignment horizontal="center" vertical="center"/>
    </xf>
    <xf numFmtId="1" fontId="18" fillId="0" borderId="95" xfId="0" applyNumberFormat="1" applyFont="1" applyBorder="1" applyAlignment="1">
      <alignment horizontal="center" vertical="center"/>
    </xf>
    <xf numFmtId="9" fontId="0" fillId="0" borderId="0" xfId="0" applyNumberFormat="1"/>
    <xf numFmtId="9" fontId="17" fillId="34" borderId="0" xfId="0" applyNumberFormat="1" applyFont="1" applyFill="1"/>
    <xf numFmtId="0" fontId="22" fillId="40" borderId="0" xfId="0" applyFont="1" applyFill="1" applyAlignment="1">
      <alignment vertical="center"/>
    </xf>
    <xf numFmtId="9" fontId="18" fillId="0" borderId="0" xfId="1" applyFont="1" applyFill="1" applyBorder="1" applyAlignment="1">
      <alignment horizontal="center" vertical="center"/>
    </xf>
    <xf numFmtId="0" fontId="23" fillId="38" borderId="0" xfId="0" applyFont="1" applyFill="1" applyAlignment="1">
      <alignment horizontal="center" vertical="center"/>
    </xf>
    <xf numFmtId="0" fontId="18" fillId="0" borderId="0" xfId="0" applyFont="1" applyAlignment="1">
      <alignment horizontal="left" vertical="center"/>
    </xf>
    <xf numFmtId="0" fontId="34" fillId="0" borderId="0" xfId="0" applyFont="1" applyAlignment="1">
      <alignment horizontal="left" vertical="center"/>
    </xf>
    <xf numFmtId="0" fontId="22" fillId="40" borderId="0" xfId="0" applyFont="1" applyFill="1" applyAlignment="1">
      <alignment horizontal="center" vertical="center"/>
    </xf>
    <xf numFmtId="0" fontId="19" fillId="0" borderId="0" xfId="0" applyFont="1" applyAlignment="1">
      <alignment horizontal="center" vertical="center"/>
    </xf>
    <xf numFmtId="0" fontId="18" fillId="0" borderId="0" xfId="0" applyFont="1" applyAlignment="1">
      <alignment vertical="center"/>
    </xf>
    <xf numFmtId="0" fontId="23" fillId="33" borderId="20" xfId="0" applyFont="1" applyFill="1" applyBorder="1" applyAlignment="1">
      <alignment horizontal="center" vertical="center"/>
    </xf>
    <xf numFmtId="0" fontId="23" fillId="33" borderId="18" xfId="0" applyFont="1" applyFill="1" applyBorder="1" applyAlignment="1">
      <alignment horizontal="center" vertical="center"/>
    </xf>
    <xf numFmtId="0" fontId="23" fillId="33" borderId="19" xfId="0" applyFont="1" applyFill="1" applyBorder="1" applyAlignment="1">
      <alignment horizontal="center" vertical="center"/>
    </xf>
    <xf numFmtId="0" fontId="18" fillId="0" borderId="71" xfId="0" applyFont="1" applyBorder="1" applyAlignment="1">
      <alignment horizontal="center" vertical="center"/>
    </xf>
    <xf numFmtId="0" fontId="18" fillId="0" borderId="62" xfId="0" applyFont="1" applyBorder="1" applyAlignment="1">
      <alignment horizontal="center" vertical="center"/>
    </xf>
    <xf numFmtId="0" fontId="18" fillId="0" borderId="84" xfId="0" applyFont="1" applyBorder="1" applyAlignment="1">
      <alignment horizontal="center" vertical="center"/>
    </xf>
    <xf numFmtId="0" fontId="18" fillId="0" borderId="85" xfId="0" applyFont="1" applyBorder="1" applyAlignment="1">
      <alignment horizontal="center" vertical="center"/>
    </xf>
    <xf numFmtId="0" fontId="18" fillId="0" borderId="86" xfId="0" applyFont="1" applyBorder="1" applyAlignment="1">
      <alignment horizontal="center" vertical="center"/>
    </xf>
    <xf numFmtId="0" fontId="18" fillId="0" borderId="54" xfId="0" applyFont="1" applyBorder="1" applyAlignment="1">
      <alignment horizontal="center" vertical="center"/>
    </xf>
    <xf numFmtId="0" fontId="18" fillId="0" borderId="53" xfId="0" applyFont="1" applyBorder="1" applyAlignment="1">
      <alignment horizontal="center" vertical="center"/>
    </xf>
    <xf numFmtId="0" fontId="18" fillId="0" borderId="51" xfId="0" applyFont="1" applyBorder="1" applyAlignment="1">
      <alignment horizontal="center" vertical="center"/>
    </xf>
    <xf numFmtId="0" fontId="23" fillId="40" borderId="53" xfId="0" applyFont="1" applyFill="1" applyBorder="1" applyAlignment="1">
      <alignment horizontal="center" vertical="center"/>
    </xf>
    <xf numFmtId="0" fontId="23" fillId="40" borderId="58" xfId="0" applyFont="1" applyFill="1" applyBorder="1" applyAlignment="1">
      <alignment horizontal="center" vertical="center"/>
    </xf>
    <xf numFmtId="0" fontId="22" fillId="40" borderId="50" xfId="0" applyFont="1" applyFill="1" applyBorder="1" applyAlignment="1">
      <alignment horizontal="center" vertical="center"/>
    </xf>
    <xf numFmtId="0" fontId="23" fillId="33" borderId="74" xfId="0" applyFont="1" applyFill="1" applyBorder="1" applyAlignment="1">
      <alignment horizontal="center" vertical="center"/>
    </xf>
    <xf numFmtId="0" fontId="18" fillId="0" borderId="0" xfId="0" applyFont="1" applyAlignment="1">
      <alignment horizontal="center" vertical="center"/>
    </xf>
    <xf numFmtId="0" fontId="18" fillId="0" borderId="28" xfId="0" applyFont="1" applyBorder="1" applyAlignment="1">
      <alignment horizontal="center" vertical="center"/>
    </xf>
    <xf numFmtId="0" fontId="26" fillId="0" borderId="20" xfId="0" applyFont="1" applyBorder="1" applyAlignment="1">
      <alignment horizontal="center" vertical="center"/>
    </xf>
    <xf numFmtId="0" fontId="26" fillId="0" borderId="46" xfId="0" applyFont="1" applyBorder="1" applyAlignment="1">
      <alignment horizontal="center" vertical="center"/>
    </xf>
    <xf numFmtId="0" fontId="18" fillId="0" borderId="20" xfId="0" applyFont="1" applyBorder="1" applyAlignment="1">
      <alignment horizontal="center" vertical="center"/>
    </xf>
    <xf numFmtId="0" fontId="18" fillId="0" borderId="46" xfId="0" applyFont="1" applyBorder="1" applyAlignment="1">
      <alignment horizontal="center" vertical="center"/>
    </xf>
    <xf numFmtId="0" fontId="18" fillId="0" borderId="18" xfId="0" applyFont="1" applyBorder="1" applyAlignment="1">
      <alignment horizontal="center" vertical="center"/>
    </xf>
    <xf numFmtId="0" fontId="18" fillId="0" borderId="21" xfId="0" applyFont="1" applyBorder="1" applyAlignment="1">
      <alignment horizontal="center" vertical="center"/>
    </xf>
    <xf numFmtId="0" fontId="25" fillId="0" borderId="71" xfId="0" applyFont="1" applyBorder="1" applyAlignment="1">
      <alignment horizontal="center" vertical="center"/>
    </xf>
    <xf numFmtId="0" fontId="25" fillId="0" borderId="62" xfId="0" applyFont="1" applyBorder="1" applyAlignment="1">
      <alignment horizontal="center" vertical="center"/>
    </xf>
    <xf numFmtId="0" fontId="25" fillId="0" borderId="20" xfId="0" applyFont="1" applyBorder="1" applyAlignment="1">
      <alignment horizontal="center" vertical="center"/>
    </xf>
    <xf numFmtId="0" fontId="25" fillId="0" borderId="46" xfId="0" applyFont="1" applyBorder="1" applyAlignment="1">
      <alignment horizontal="center" vertical="center"/>
    </xf>
    <xf numFmtId="0" fontId="23" fillId="40" borderId="70" xfId="0" applyFont="1" applyFill="1" applyBorder="1" applyAlignment="1">
      <alignment horizontal="center" vertical="center"/>
    </xf>
    <xf numFmtId="0" fontId="23" fillId="40" borderId="71" xfId="0" applyFont="1" applyFill="1" applyBorder="1" applyAlignment="1">
      <alignment horizontal="center" vertical="center"/>
    </xf>
    <xf numFmtId="0" fontId="23" fillId="40" borderId="62" xfId="0" applyFont="1" applyFill="1" applyBorder="1" applyAlignment="1">
      <alignment horizontal="center" vertical="center"/>
    </xf>
    <xf numFmtId="0" fontId="24" fillId="40" borderId="70" xfId="0" applyFont="1" applyFill="1" applyBorder="1" applyAlignment="1">
      <alignment horizontal="center" vertical="center"/>
    </xf>
    <xf numFmtId="0" fontId="24" fillId="40" borderId="71" xfId="0" applyFont="1" applyFill="1" applyBorder="1" applyAlignment="1">
      <alignment horizontal="center" vertical="center"/>
    </xf>
    <xf numFmtId="0" fontId="24" fillId="40" borderId="62" xfId="0" applyFont="1" applyFill="1" applyBorder="1" applyAlignment="1">
      <alignment horizontal="center" vertical="center"/>
    </xf>
    <xf numFmtId="0" fontId="25" fillId="0" borderId="0" xfId="0" applyFont="1" applyAlignment="1">
      <alignment horizontal="center" vertical="center"/>
    </xf>
    <xf numFmtId="0" fontId="18" fillId="0" borderId="29" xfId="0" applyFont="1" applyBorder="1" applyAlignment="1">
      <alignment horizontal="center" vertical="center"/>
    </xf>
    <xf numFmtId="0" fontId="18" fillId="0" borderId="33" xfId="0" applyFont="1" applyBorder="1" applyAlignment="1">
      <alignment horizontal="center" vertical="center"/>
    </xf>
    <xf numFmtId="0" fontId="26" fillId="0" borderId="0" xfId="0" applyFont="1" applyAlignment="1">
      <alignment horizontal="center" vertical="center"/>
    </xf>
    <xf numFmtId="0" fontId="18" fillId="0" borderId="30" xfId="0" applyFont="1" applyBorder="1" applyAlignment="1">
      <alignment horizontal="center" vertical="center"/>
    </xf>
    <xf numFmtId="0" fontId="18" fillId="0" borderId="31" xfId="0" applyFont="1" applyBorder="1" applyAlignment="1">
      <alignment horizontal="center" vertical="center"/>
    </xf>
    <xf numFmtId="1" fontId="20" fillId="0" borderId="70" xfId="0" applyNumberFormat="1" applyFont="1" applyBorder="1" applyAlignment="1">
      <alignment horizontal="center" vertical="center"/>
    </xf>
    <xf numFmtId="1" fontId="20" fillId="0" borderId="71" xfId="0" applyNumberFormat="1" applyFont="1" applyBorder="1" applyAlignment="1">
      <alignment horizontal="center" vertical="center"/>
    </xf>
    <xf numFmtId="1" fontId="20" fillId="0" borderId="62" xfId="0" applyNumberFormat="1" applyFont="1" applyBorder="1" applyAlignment="1">
      <alignment horizontal="center" vertical="center"/>
    </xf>
    <xf numFmtId="0" fontId="18" fillId="0" borderId="39" xfId="0" applyFont="1" applyBorder="1" applyAlignment="1">
      <alignment horizontal="center" vertical="center"/>
    </xf>
    <xf numFmtId="0" fontId="18" fillId="0" borderId="40" xfId="0" applyFont="1" applyBorder="1" applyAlignment="1">
      <alignment horizontal="center" vertical="center"/>
    </xf>
    <xf numFmtId="0" fontId="18" fillId="0" borderId="41" xfId="0" applyFont="1" applyBorder="1" applyAlignment="1">
      <alignment horizontal="center" vertical="center"/>
    </xf>
    <xf numFmtId="0" fontId="23" fillId="40" borderId="32" xfId="0" applyFont="1" applyFill="1" applyBorder="1" applyAlignment="1">
      <alignment horizontal="center" vertical="center"/>
    </xf>
    <xf numFmtId="0" fontId="23" fillId="40" borderId="29" xfId="0" applyFont="1" applyFill="1" applyBorder="1" applyAlignment="1">
      <alignment horizontal="center" vertical="center"/>
    </xf>
    <xf numFmtId="0" fontId="23" fillId="40" borderId="33" xfId="0" applyFont="1" applyFill="1" applyBorder="1" applyAlignment="1">
      <alignment horizontal="center" vertical="center"/>
    </xf>
    <xf numFmtId="0" fontId="22" fillId="40" borderId="32" xfId="0" applyFont="1" applyFill="1" applyBorder="1" applyAlignment="1">
      <alignment horizontal="center" vertical="center"/>
    </xf>
    <xf numFmtId="0" fontId="22" fillId="40" borderId="33" xfId="0" applyFont="1" applyFill="1" applyBorder="1" applyAlignment="1">
      <alignment horizontal="center" vertical="center"/>
    </xf>
    <xf numFmtId="0" fontId="25" fillId="0" borderId="63" xfId="0" applyFont="1" applyBorder="1" applyAlignment="1">
      <alignment horizontal="center" vertical="center"/>
    </xf>
    <xf numFmtId="0" fontId="25" fillId="0" borderId="64" xfId="0" applyFont="1" applyBorder="1" applyAlignment="1">
      <alignment horizontal="center" vertical="center"/>
    </xf>
    <xf numFmtId="0" fontId="26" fillId="0" borderId="71" xfId="0" applyFont="1" applyBorder="1" applyAlignment="1">
      <alignment horizontal="center" vertical="center"/>
    </xf>
    <xf numFmtId="0" fontId="26" fillId="0" borderId="62" xfId="0" applyFont="1" applyBorder="1" applyAlignment="1">
      <alignment horizontal="center" vertical="center"/>
    </xf>
    <xf numFmtId="0" fontId="18" fillId="0" borderId="63" xfId="0" applyFont="1" applyBorder="1" applyAlignment="1">
      <alignment horizontal="center" vertical="center"/>
    </xf>
    <xf numFmtId="0" fontId="18" fillId="0" borderId="64" xfId="0" applyFont="1" applyBorder="1" applyAlignment="1">
      <alignment horizontal="center" vertical="center"/>
    </xf>
    <xf numFmtId="0" fontId="18" fillId="0" borderId="70" xfId="0" applyFont="1" applyBorder="1" applyAlignment="1">
      <alignment horizontal="center" vertical="center"/>
    </xf>
    <xf numFmtId="0" fontId="18" fillId="0" borderId="88" xfId="0" applyFont="1" applyBorder="1" applyAlignment="1">
      <alignment horizontal="center" vertical="center"/>
    </xf>
    <xf numFmtId="0" fontId="18" fillId="0" borderId="15" xfId="0" applyFont="1" applyBorder="1" applyAlignment="1">
      <alignment horizontal="center" vertical="center"/>
    </xf>
    <xf numFmtId="0" fontId="18" fillId="0" borderId="16" xfId="0" applyFont="1" applyBorder="1" applyAlignment="1">
      <alignment horizontal="center" vertical="center"/>
    </xf>
    <xf numFmtId="0" fontId="18" fillId="0" borderId="17" xfId="0" applyFont="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18" fillId="0" borderId="12" xfId="0" applyFont="1" applyBorder="1" applyAlignment="1">
      <alignment horizontal="center" vertical="center"/>
    </xf>
    <xf numFmtId="0" fontId="22" fillId="40" borderId="25" xfId="0" applyFont="1" applyFill="1" applyBorder="1" applyAlignment="1">
      <alignment horizontal="center" vertical="center"/>
    </xf>
    <xf numFmtId="0" fontId="22" fillId="40" borderId="51" xfId="0" applyFont="1" applyFill="1" applyBorder="1" applyAlignment="1">
      <alignment horizontal="center" vertical="center"/>
    </xf>
    <xf numFmtId="0" fontId="18" fillId="0" borderId="57" xfId="0" applyFont="1" applyBorder="1" applyAlignment="1">
      <alignment horizontal="center" vertical="center"/>
    </xf>
    <xf numFmtId="0" fontId="22" fillId="33" borderId="0" xfId="0" applyFont="1" applyFill="1" applyAlignment="1">
      <alignment horizontal="center" vertical="center"/>
    </xf>
    <xf numFmtId="0" fontId="22" fillId="40" borderId="61" xfId="0" applyFont="1" applyFill="1" applyBorder="1" applyAlignment="1">
      <alignment horizontal="center" vertical="center"/>
    </xf>
    <xf numFmtId="0" fontId="22" fillId="40" borderId="57" xfId="0" applyFont="1" applyFill="1" applyBorder="1" applyAlignment="1">
      <alignment horizontal="center" vertical="center"/>
    </xf>
    <xf numFmtId="0" fontId="18" fillId="0" borderId="42" xfId="0" applyFont="1" applyBorder="1" applyAlignment="1">
      <alignment horizontal="center" vertical="center"/>
    </xf>
    <xf numFmtId="0" fontId="18" fillId="0" borderId="43" xfId="0" applyFont="1" applyBorder="1" applyAlignment="1">
      <alignment horizontal="center" vertical="center"/>
    </xf>
    <xf numFmtId="0" fontId="18" fillId="0" borderId="44" xfId="0" applyFont="1" applyBorder="1" applyAlignment="1">
      <alignment horizontal="center" vertical="center"/>
    </xf>
    <xf numFmtId="0" fontId="18" fillId="0" borderId="81" xfId="0" applyFont="1" applyBorder="1" applyAlignment="1">
      <alignment horizontal="center" vertical="center"/>
    </xf>
    <xf numFmtId="0" fontId="18" fillId="0" borderId="82" xfId="0" applyFont="1" applyBorder="1" applyAlignment="1">
      <alignment horizontal="center" vertical="center"/>
    </xf>
    <xf numFmtId="0" fontId="18" fillId="0" borderId="83" xfId="0" applyFont="1" applyBorder="1" applyAlignment="1">
      <alignment horizontal="center" vertical="center"/>
    </xf>
    <xf numFmtId="0" fontId="18" fillId="0" borderId="78" xfId="0" applyFont="1" applyBorder="1" applyAlignment="1">
      <alignment horizontal="center" vertical="center"/>
    </xf>
    <xf numFmtId="0" fontId="18" fillId="0" borderId="79" xfId="0" applyFont="1" applyBorder="1" applyAlignment="1">
      <alignment horizontal="center" vertical="center"/>
    </xf>
    <xf numFmtId="0" fontId="18" fillId="0" borderId="80" xfId="0" applyFont="1" applyBorder="1" applyAlignment="1">
      <alignment horizontal="center" vertical="center"/>
    </xf>
    <xf numFmtId="0" fontId="28" fillId="40" borderId="66" xfId="0" applyFont="1" applyFill="1" applyBorder="1" applyAlignment="1">
      <alignment horizontal="center" vertical="center"/>
    </xf>
    <xf numFmtId="0" fontId="23" fillId="40" borderId="63" xfId="0" applyFont="1" applyFill="1" applyBorder="1" applyAlignment="1">
      <alignment horizontal="center" vertical="center"/>
    </xf>
    <xf numFmtId="0" fontId="23" fillId="40" borderId="67" xfId="0" applyFont="1" applyFill="1" applyBorder="1" applyAlignment="1">
      <alignment horizontal="center" vertical="center"/>
    </xf>
    <xf numFmtId="0" fontId="23" fillId="40" borderId="56" xfId="0" applyFont="1" applyFill="1" applyBorder="1" applyAlignment="1">
      <alignment horizontal="center" vertical="center"/>
    </xf>
    <xf numFmtId="0" fontId="23" fillId="40" borderId="52" xfId="0" applyFont="1" applyFill="1" applyBorder="1" applyAlignment="1">
      <alignment horizontal="center" vertical="center"/>
    </xf>
    <xf numFmtId="0" fontId="23" fillId="40" borderId="65" xfId="1" applyNumberFormat="1" applyFont="1" applyFill="1" applyBorder="1" applyAlignment="1">
      <alignment horizontal="center" vertical="center"/>
    </xf>
    <xf numFmtId="0" fontId="23" fillId="40" borderId="64" xfId="1" applyNumberFormat="1" applyFont="1" applyFill="1" applyBorder="1" applyAlignment="1">
      <alignment horizontal="center" vertical="center"/>
    </xf>
    <xf numFmtId="0" fontId="23" fillId="40" borderId="68" xfId="1" applyNumberFormat="1" applyFont="1" applyFill="1" applyBorder="1" applyAlignment="1">
      <alignment horizontal="center" vertical="center"/>
    </xf>
    <xf numFmtId="0" fontId="23" fillId="40" borderId="57" xfId="1" applyNumberFormat="1" applyFont="1" applyFill="1" applyBorder="1" applyAlignment="1">
      <alignment horizontal="center" vertical="center"/>
    </xf>
    <xf numFmtId="0" fontId="23" fillId="33" borderId="10" xfId="0" applyFont="1" applyFill="1" applyBorder="1" applyAlignment="1">
      <alignment horizontal="center" vertical="center"/>
    </xf>
    <xf numFmtId="0" fontId="23" fillId="33" borderId="11" xfId="0" applyFont="1" applyFill="1" applyBorder="1" applyAlignment="1">
      <alignment horizontal="center" vertical="center"/>
    </xf>
    <xf numFmtId="0" fontId="23" fillId="33" borderId="15" xfId="0" applyFont="1" applyFill="1" applyBorder="1" applyAlignment="1">
      <alignment horizontal="center" vertical="center"/>
    </xf>
    <xf numFmtId="0" fontId="23" fillId="33" borderId="16" xfId="0" applyFont="1" applyFill="1" applyBorder="1" applyAlignment="1">
      <alignment horizontal="center" vertical="center"/>
    </xf>
    <xf numFmtId="0" fontId="28" fillId="33" borderId="11" xfId="0" applyFont="1" applyFill="1" applyBorder="1" applyAlignment="1">
      <alignment horizontal="center" vertical="center"/>
    </xf>
    <xf numFmtId="0" fontId="28" fillId="33" borderId="12" xfId="0" applyFont="1" applyFill="1" applyBorder="1" applyAlignment="1">
      <alignment horizontal="center" vertical="center"/>
    </xf>
    <xf numFmtId="0" fontId="28" fillId="33" borderId="16" xfId="0" applyFont="1" applyFill="1" applyBorder="1" applyAlignment="1">
      <alignment horizontal="center" vertical="center"/>
    </xf>
    <xf numFmtId="0" fontId="28" fillId="33" borderId="17" xfId="0" applyFont="1" applyFill="1" applyBorder="1" applyAlignment="1">
      <alignment horizontal="center" vertical="center"/>
    </xf>
    <xf numFmtId="0" fontId="18" fillId="0" borderId="56" xfId="0" applyFont="1" applyBorder="1" applyAlignment="1">
      <alignment horizontal="center" vertical="center"/>
    </xf>
    <xf numFmtId="0" fontId="23" fillId="40" borderId="63" xfId="1" applyNumberFormat="1" applyFont="1" applyFill="1" applyBorder="1" applyAlignment="1">
      <alignment horizontal="center" vertical="center"/>
    </xf>
    <xf numFmtId="0" fontId="23" fillId="40" borderId="53" xfId="1" applyNumberFormat="1" applyFont="1" applyFill="1" applyBorder="1" applyAlignment="1">
      <alignment horizontal="center" vertical="center"/>
    </xf>
    <xf numFmtId="0" fontId="18" fillId="0" borderId="55" xfId="0" applyFont="1" applyBorder="1" applyAlignment="1">
      <alignment horizontal="center" vertical="center"/>
    </xf>
    <xf numFmtId="0" fontId="31" fillId="40" borderId="70" xfId="0" applyFont="1" applyFill="1" applyBorder="1" applyAlignment="1">
      <alignment horizontal="center" vertical="center"/>
    </xf>
    <xf numFmtId="0" fontId="31" fillId="40" borderId="71" xfId="0" applyFont="1" applyFill="1" applyBorder="1" applyAlignment="1">
      <alignment horizontal="center" vertical="center"/>
    </xf>
    <xf numFmtId="0" fontId="31" fillId="40" borderId="62" xfId="0" applyFont="1" applyFill="1" applyBorder="1" applyAlignment="1">
      <alignment horizontal="center" vertical="center"/>
    </xf>
    <xf numFmtId="0" fontId="22" fillId="40" borderId="28" xfId="0" applyFont="1" applyFill="1" applyBorder="1" applyAlignment="1">
      <alignment horizontal="center" vertical="center"/>
    </xf>
    <xf numFmtId="0" fontId="22" fillId="33" borderId="75" xfId="0" applyFont="1" applyFill="1" applyBorder="1" applyAlignment="1">
      <alignment horizontal="center" vertical="center"/>
    </xf>
    <xf numFmtId="0" fontId="22" fillId="33" borderId="12" xfId="0" applyFont="1" applyFill="1" applyBorder="1" applyAlignment="1">
      <alignment horizontal="center" vertical="center"/>
    </xf>
    <xf numFmtId="0" fontId="18" fillId="0" borderId="25" xfId="0" applyFont="1" applyBorder="1" applyAlignment="1">
      <alignment horizontal="center" vertical="center"/>
    </xf>
    <xf numFmtId="0" fontId="23" fillId="40" borderId="77" xfId="0" applyFont="1" applyFill="1" applyBorder="1" applyAlignment="1">
      <alignment horizontal="center" vertical="center"/>
    </xf>
    <xf numFmtId="0" fontId="37" fillId="33" borderId="0" xfId="0" applyFont="1" applyFill="1" applyAlignment="1">
      <alignment horizontal="center" vertical="center"/>
    </xf>
    <xf numFmtId="0" fontId="37" fillId="0" borderId="0" xfId="0" applyFont="1" applyAlignment="1">
      <alignment horizontal="center" vertical="center"/>
    </xf>
    <xf numFmtId="0" fontId="20" fillId="0" borderId="0" xfId="0" applyFont="1" applyAlignment="1">
      <alignment horizontal="center" vertical="center"/>
    </xf>
    <xf numFmtId="1" fontId="32" fillId="0" borderId="0" xfId="0" applyNumberFormat="1" applyFont="1" applyAlignment="1">
      <alignment horizontal="center" vertical="center"/>
    </xf>
    <xf numFmtId="0" fontId="23" fillId="40" borderId="0" xfId="0" applyFont="1" applyFill="1" applyAlignment="1">
      <alignment horizontal="center" vertical="center"/>
    </xf>
    <xf numFmtId="0" fontId="36" fillId="40" borderId="0" xfId="0" applyFont="1" applyFill="1" applyAlignment="1">
      <alignment horizontal="center" vertical="center"/>
    </xf>
    <xf numFmtId="0" fontId="36" fillId="33" borderId="0" xfId="0" applyFont="1" applyFill="1" applyAlignment="1">
      <alignment horizontal="center" vertical="center"/>
    </xf>
    <xf numFmtId="0" fontId="22" fillId="33" borderId="18" xfId="0" applyFont="1" applyFill="1" applyBorder="1" applyAlignment="1">
      <alignment horizontal="center" vertical="center"/>
    </xf>
    <xf numFmtId="0" fontId="22" fillId="33" borderId="19" xfId="0" applyFont="1" applyFill="1" applyBorder="1" applyAlignment="1">
      <alignment horizontal="center" vertical="center"/>
    </xf>
    <xf numFmtId="0" fontId="22" fillId="33" borderId="20" xfId="0" applyFont="1" applyFill="1" applyBorder="1" applyAlignment="1">
      <alignment horizontal="center" vertical="center"/>
    </xf>
    <xf numFmtId="0" fontId="34" fillId="0" borderId="20" xfId="0" applyFont="1" applyBorder="1" applyAlignment="1">
      <alignment horizontal="center" vertical="center"/>
    </xf>
    <xf numFmtId="0" fontId="34" fillId="0" borderId="46" xfId="0" applyFont="1" applyBorder="1" applyAlignment="1">
      <alignment horizontal="center" vertical="center"/>
    </xf>
    <xf numFmtId="164" fontId="23" fillId="40" borderId="63" xfId="1" applyNumberFormat="1" applyFont="1" applyFill="1" applyBorder="1" applyAlignment="1">
      <alignment horizontal="center" vertical="center"/>
    </xf>
    <xf numFmtId="164" fontId="23" fillId="40" borderId="64" xfId="1" applyNumberFormat="1" applyFont="1" applyFill="1" applyBorder="1" applyAlignment="1">
      <alignment horizontal="center" vertical="center"/>
    </xf>
    <xf numFmtId="164" fontId="23" fillId="40" borderId="53" xfId="1" applyNumberFormat="1" applyFont="1" applyFill="1" applyBorder="1" applyAlignment="1">
      <alignment horizontal="center" vertical="center"/>
    </xf>
    <xf numFmtId="164" fontId="23" fillId="40" borderId="57" xfId="1" applyNumberFormat="1" applyFont="1" applyFill="1" applyBorder="1" applyAlignment="1">
      <alignment horizontal="center" vertical="center"/>
    </xf>
    <xf numFmtId="164" fontId="23" fillId="33" borderId="10" xfId="0" applyNumberFormat="1" applyFont="1" applyFill="1" applyBorder="1" applyAlignment="1">
      <alignment horizontal="center" vertical="center"/>
    </xf>
    <xf numFmtId="164" fontId="23" fillId="33" borderId="35" xfId="0" applyNumberFormat="1" applyFont="1" applyFill="1" applyBorder="1" applyAlignment="1">
      <alignment horizontal="center" vertical="center"/>
    </xf>
    <xf numFmtId="164" fontId="23" fillId="33" borderId="15" xfId="0" applyNumberFormat="1" applyFont="1" applyFill="1" applyBorder="1" applyAlignment="1">
      <alignment horizontal="center" vertical="center"/>
    </xf>
    <xf numFmtId="164" fontId="23" fillId="33" borderId="36" xfId="0" applyNumberFormat="1" applyFont="1" applyFill="1" applyBorder="1" applyAlignment="1">
      <alignment horizontal="center" vertical="center"/>
    </xf>
    <xf numFmtId="0" fontId="35" fillId="40" borderId="59" xfId="0" applyFont="1" applyFill="1" applyBorder="1" applyAlignment="1">
      <alignment horizontal="center" vertical="center"/>
    </xf>
    <xf numFmtId="0" fontId="35" fillId="40" borderId="60" xfId="0" applyFont="1" applyFill="1" applyBorder="1" applyAlignment="1">
      <alignment horizontal="center" vertical="center"/>
    </xf>
    <xf numFmtId="0" fontId="35" fillId="40" borderId="61" xfId="0" applyFont="1" applyFill="1" applyBorder="1" applyAlignment="1">
      <alignment horizontal="center" vertical="center"/>
    </xf>
    <xf numFmtId="0" fontId="35" fillId="40" borderId="58" xfId="0" applyFont="1" applyFill="1" applyBorder="1" applyAlignment="1">
      <alignment horizontal="center" vertical="center"/>
    </xf>
    <xf numFmtId="0" fontId="35" fillId="33" borderId="75" xfId="0" applyFont="1" applyFill="1" applyBorder="1" applyAlignment="1">
      <alignment horizontal="center" vertical="center"/>
    </xf>
    <xf numFmtId="0" fontId="35" fillId="33" borderId="12" xfId="0" applyFont="1" applyFill="1" applyBorder="1" applyAlignment="1">
      <alignment horizontal="center" vertical="center"/>
    </xf>
    <xf numFmtId="0" fontId="35" fillId="33" borderId="76" xfId="0" applyFont="1" applyFill="1" applyBorder="1" applyAlignment="1">
      <alignment horizontal="center" vertical="center"/>
    </xf>
    <xf numFmtId="0" fontId="35" fillId="33" borderId="17" xfId="0" applyFont="1" applyFill="1" applyBorder="1" applyAlignment="1">
      <alignment horizontal="center" vertical="center"/>
    </xf>
    <xf numFmtId="0" fontId="18" fillId="0" borderId="32" xfId="0" applyFont="1" applyBorder="1" applyAlignment="1">
      <alignment horizontal="center" vertical="center"/>
    </xf>
    <xf numFmtId="0" fontId="18" fillId="0" borderId="94" xfId="0" applyFont="1" applyBorder="1" applyAlignment="1">
      <alignment horizontal="center" vertical="center"/>
    </xf>
    <xf numFmtId="0" fontId="34" fillId="0" borderId="32" xfId="0" applyFont="1" applyBorder="1" applyAlignment="1">
      <alignment horizontal="center" vertical="center"/>
    </xf>
    <xf numFmtId="0" fontId="34" fillId="0" borderId="94" xfId="0" applyFont="1" applyBorder="1" applyAlignment="1">
      <alignment horizontal="center" vertic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 cent" xfId="1" builtinId="5"/>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colors>
    <mruColors>
      <color rgb="FF929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DIN Alternate" panose="020B0500000000000000" pitchFamily="34" charset="77"/>
                <a:ea typeface="+mn-ea"/>
                <a:cs typeface="+mn-cs"/>
              </a:defRPr>
            </a:pPr>
            <a:r>
              <a:rPr lang="en-GB" sz="2000" b="1">
                <a:latin typeface="DIN Alternate" panose="020B0500000000000000" pitchFamily="34" charset="77"/>
              </a:rPr>
              <a:t>Ball</a:t>
            </a:r>
            <a:r>
              <a:rPr lang="en-GB" sz="2000" b="1" baseline="0">
                <a:latin typeface="DIN Alternate" panose="020B0500000000000000" pitchFamily="34" charset="77"/>
              </a:rPr>
              <a:t> in play</a:t>
            </a:r>
          </a:p>
        </c:rich>
      </c:tx>
      <c:layout>
        <c:manualLayout>
          <c:xMode val="edge"/>
          <c:yMode val="edge"/>
          <c:x val="6.261615145148855E-2"/>
          <c:y val="8.6905025070706868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DIN Alternate" panose="020B0500000000000000" pitchFamily="34" charset="77"/>
              <a:ea typeface="+mn-ea"/>
              <a:cs typeface="+mn-cs"/>
            </a:defRPr>
          </a:pPr>
          <a:endParaRPr lang="en-US"/>
        </a:p>
      </c:txPr>
    </c:title>
    <c:autoTitleDeleted val="0"/>
    <c:plotArea>
      <c:layout>
        <c:manualLayout>
          <c:layoutTarget val="inner"/>
          <c:xMode val="edge"/>
          <c:yMode val="edge"/>
          <c:x val="1.8845553583961665E-2"/>
          <c:y val="0.26333915474522135"/>
          <c:w val="0.76946008105098418"/>
          <c:h val="0.69304658744619319"/>
        </c:manualLayout>
      </c:layout>
      <c:doughnutChart>
        <c:varyColors val="1"/>
        <c:ser>
          <c:idx val="0"/>
          <c:order val="0"/>
          <c:tx>
            <c:strRef>
              <c:f>Dashboard!$P$1:$Q$1</c:f>
              <c:strCache>
                <c:ptCount val="2"/>
                <c:pt idx="0">
                  <c:v>Ball in play time (mins)</c:v>
                </c:pt>
                <c:pt idx="1">
                  <c:v>Out of play time (mins)</c:v>
                </c:pt>
              </c:strCache>
            </c:strRef>
          </c:tx>
          <c:spPr>
            <a:solidFill>
              <a:schemeClr val="accent5">
                <a:lumMod val="50000"/>
              </a:schemeClr>
            </a:solidFill>
          </c:spPr>
          <c:dPt>
            <c:idx val="0"/>
            <c:bubble3D val="0"/>
            <c:spPr>
              <a:solidFill>
                <a:schemeClr val="tx2"/>
              </a:solidFill>
              <a:ln w="19050">
                <a:solidFill>
                  <a:schemeClr val="lt1"/>
                </a:solidFill>
              </a:ln>
              <a:effectLst/>
            </c:spPr>
            <c:extLst>
              <c:ext xmlns:c16="http://schemas.microsoft.com/office/drawing/2014/chart" uri="{C3380CC4-5D6E-409C-BE32-E72D297353CC}">
                <c16:uniqueId val="{00000001-27D8-FF4C-9049-B6B38AABA6A0}"/>
              </c:ext>
            </c:extLst>
          </c:dPt>
          <c:dPt>
            <c:idx val="1"/>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3-27D8-FF4C-9049-B6B38AABA6A0}"/>
              </c:ext>
            </c:extLst>
          </c:dPt>
          <c:dLbls>
            <c:dLbl>
              <c:idx val="0"/>
              <c:layout>
                <c:manualLayout>
                  <c:x val="4.2474977269437081E-2"/>
                  <c:y val="7.2714780567404311E-2"/>
                </c:manualLayout>
              </c:layout>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7D8-FF4C-9049-B6B38AABA6A0}"/>
                </c:ext>
              </c:extLst>
            </c:dLbl>
            <c:dLbl>
              <c:idx val="1"/>
              <c:layout>
                <c:manualLayout>
                  <c:x val="-9.002397970770161E-2"/>
                  <c:y val="-0.15936487106141398"/>
                </c:manualLayout>
              </c:layout>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7D8-FF4C-9049-B6B38AABA6A0}"/>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solidFill>
                    <a:latin typeface="DIN Alternate" panose="020B0500000000000000" pitchFamily="34" charset="77"/>
                    <a:ea typeface="+mn-ea"/>
                    <a:cs typeface="+mn-cs"/>
                  </a:defRPr>
                </a:pPr>
                <a:endParaRPr lang="en-US"/>
              </a:p>
            </c:txPr>
            <c:showLegendKey val="1"/>
            <c:showVal val="0"/>
            <c:showCatName val="0"/>
            <c:showSerName val="0"/>
            <c:showPercent val="0"/>
            <c:showBubbleSize val="0"/>
            <c:extLst>
              <c:ext xmlns:c15="http://schemas.microsoft.com/office/drawing/2012/chart" uri="{CE6537A1-D6FC-4f65-9D91-7224C49458BB}"/>
            </c:extLst>
          </c:dLbls>
          <c:val>
            <c:numRef>
              <c:f>Dashboard!$P$4:$Q$4</c:f>
              <c:numCache>
                <c:formatCode>0</c:formatCode>
                <c:ptCount val="2"/>
                <c:pt idx="0">
                  <c:v>49.56393127721514</c:v>
                </c:pt>
                <c:pt idx="1">
                  <c:v>33.290884568128909</c:v>
                </c:pt>
              </c:numCache>
            </c:numRef>
          </c:val>
          <c:extLst>
            <c:ext xmlns:c16="http://schemas.microsoft.com/office/drawing/2014/chart" uri="{C3380CC4-5D6E-409C-BE32-E72D297353CC}">
              <c16:uniqueId val="{00000004-27D8-FF4C-9049-B6B38AABA6A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chemeClr val="tx1">
                    <a:lumMod val="65000"/>
                    <a:lumOff val="35000"/>
                  </a:schemeClr>
                </a:solidFill>
                <a:latin typeface="DIN Alternate" panose="020B0500000000000000" pitchFamily="34" charset="77"/>
                <a:ea typeface="+mn-ea"/>
                <a:cs typeface="+mn-cs"/>
              </a:defRPr>
            </a:pPr>
            <a:r>
              <a:rPr lang="en-GB" sz="1500" b="1">
                <a:latin typeface="DIN Alternate" panose="020B0500000000000000" pitchFamily="34" charset="77"/>
              </a:rPr>
              <a:t>Possession</a:t>
            </a:r>
          </a:p>
        </c:rich>
      </c:tx>
      <c:layout>
        <c:manualLayout>
          <c:xMode val="edge"/>
          <c:yMode val="edge"/>
          <c:x val="0.31001214677493583"/>
          <c:y val="0.3397038999493513"/>
        </c:manualLayout>
      </c:layout>
      <c:overlay val="0"/>
      <c:spPr>
        <a:solidFill>
          <a:schemeClr val="bg1"/>
        </a:solidFill>
        <a:ln>
          <a:noFill/>
        </a:ln>
        <a:effectLst/>
      </c:spPr>
      <c:txPr>
        <a:bodyPr rot="0" spcFirstLastPara="1" vertOverflow="ellipsis" vert="horz" wrap="square" anchor="ctr" anchorCtr="1"/>
        <a:lstStyle/>
        <a:p>
          <a:pPr>
            <a:defRPr sz="1500" b="1" i="0" u="none" strike="noStrike" kern="1200" spc="0" baseline="0">
              <a:solidFill>
                <a:schemeClr val="tx1">
                  <a:lumMod val="65000"/>
                  <a:lumOff val="35000"/>
                </a:schemeClr>
              </a:solidFill>
              <a:latin typeface="DIN Alternate" panose="020B0500000000000000" pitchFamily="34" charset="77"/>
              <a:ea typeface="+mn-ea"/>
              <a:cs typeface="+mn-cs"/>
            </a:defRPr>
          </a:pPr>
          <a:endParaRPr lang="en-US"/>
        </a:p>
      </c:txPr>
    </c:title>
    <c:autoTitleDeleted val="0"/>
    <c:plotArea>
      <c:layout>
        <c:manualLayout>
          <c:layoutTarget val="inner"/>
          <c:xMode val="edge"/>
          <c:yMode val="edge"/>
          <c:x val="2.2321511939702037E-2"/>
          <c:y val="0.50401105619532793"/>
          <c:w val="0.95256678712813314"/>
          <c:h val="0.47856631436747948"/>
        </c:manualLayout>
      </c:layout>
      <c:barChart>
        <c:barDir val="bar"/>
        <c:grouping val="stacked"/>
        <c:varyColors val="0"/>
        <c:ser>
          <c:idx val="0"/>
          <c:order val="0"/>
          <c:spPr>
            <a:solidFill>
              <a:schemeClr val="tx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Dashboard!$V$4</c:f>
              <c:numCache>
                <c:formatCode>0.0%</c:formatCode>
                <c:ptCount val="1"/>
                <c:pt idx="0">
                  <c:v>0.64098746689028419</c:v>
                </c:pt>
              </c:numCache>
            </c:numRef>
          </c:val>
          <c:extLst>
            <c:ext xmlns:c16="http://schemas.microsoft.com/office/drawing/2014/chart" uri="{C3380CC4-5D6E-409C-BE32-E72D297353CC}">
              <c16:uniqueId val="{00000000-E7DF-BB4A-B89F-CECA744E11B6}"/>
            </c:ext>
          </c:extLst>
        </c:ser>
        <c:ser>
          <c:idx val="1"/>
          <c:order val="1"/>
          <c:spPr>
            <a:solidFill>
              <a:schemeClr val="bg1">
                <a:lumMod val="50000"/>
              </a:schemeClr>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5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3760752606831442"/>
                      <c:h val="0.33769248979408623"/>
                    </c:manualLayout>
                  </c15:layout>
                </c:ext>
                <c:ext xmlns:c16="http://schemas.microsoft.com/office/drawing/2014/chart" uri="{C3380CC4-5D6E-409C-BE32-E72D297353CC}">
                  <c16:uniqueId val="{00000001-E7DF-BB4A-B89F-CECA744E11B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Dashboard!$W$4</c:f>
              <c:numCache>
                <c:formatCode>0.0%</c:formatCode>
                <c:ptCount val="1"/>
                <c:pt idx="0">
                  <c:v>0.35901253310971576</c:v>
                </c:pt>
              </c:numCache>
            </c:numRef>
          </c:val>
          <c:extLst>
            <c:ext xmlns:c16="http://schemas.microsoft.com/office/drawing/2014/chart" uri="{C3380CC4-5D6E-409C-BE32-E72D297353CC}">
              <c16:uniqueId val="{00000002-E7DF-BB4A-B89F-CECA744E11B6}"/>
            </c:ext>
          </c:extLst>
        </c:ser>
        <c:dLbls>
          <c:showLegendKey val="0"/>
          <c:showVal val="0"/>
          <c:showCatName val="0"/>
          <c:showSerName val="0"/>
          <c:showPercent val="0"/>
          <c:showBubbleSize val="0"/>
        </c:dLbls>
        <c:gapWidth val="200"/>
        <c:overlap val="100"/>
        <c:axId val="1693344768"/>
        <c:axId val="1814587664"/>
      </c:barChart>
      <c:catAx>
        <c:axId val="1693344768"/>
        <c:scaling>
          <c:orientation val="minMax"/>
        </c:scaling>
        <c:delete val="1"/>
        <c:axPos val="l"/>
        <c:numFmt formatCode="General" sourceLinked="1"/>
        <c:majorTickMark val="none"/>
        <c:minorTickMark val="none"/>
        <c:tickLblPos val="nextTo"/>
        <c:crossAx val="1814587664"/>
        <c:crosses val="autoZero"/>
        <c:auto val="1"/>
        <c:lblAlgn val="ctr"/>
        <c:lblOffset val="100"/>
        <c:noMultiLvlLbl val="0"/>
      </c:catAx>
      <c:valAx>
        <c:axId val="1814587664"/>
        <c:scaling>
          <c:orientation val="minMax"/>
        </c:scaling>
        <c:delete val="1"/>
        <c:axPos val="b"/>
        <c:numFmt formatCode="0.0%" sourceLinked="1"/>
        <c:majorTickMark val="none"/>
        <c:minorTickMark val="none"/>
        <c:tickLblPos val="nextTo"/>
        <c:crossAx val="169334476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50" b="1" i="0" u="none" strike="noStrike" kern="1200" spc="0" baseline="0">
                <a:solidFill>
                  <a:schemeClr val="bg1"/>
                </a:solidFill>
                <a:latin typeface="+mn-lt"/>
                <a:ea typeface="+mn-ea"/>
                <a:cs typeface="+mn-cs"/>
              </a:defRPr>
            </a:pPr>
            <a:r>
              <a:rPr lang="en-GB" sz="1350" b="1">
                <a:solidFill>
                  <a:schemeClr val="bg1"/>
                </a:solidFill>
                <a:latin typeface="DIN Alternate" panose="020B0500000000000000" pitchFamily="34" charset="77"/>
              </a:rPr>
              <a:t>Shots</a:t>
            </a:r>
            <a:r>
              <a:rPr lang="en-GB" sz="1350" b="1" baseline="0">
                <a:solidFill>
                  <a:schemeClr val="bg1"/>
                </a:solidFill>
                <a:latin typeface="DIN Alternate" panose="020B0500000000000000" pitchFamily="34" charset="77"/>
              </a:rPr>
              <a:t> on Target %</a:t>
            </a:r>
            <a:endParaRPr lang="en-GB" sz="1350" b="1">
              <a:solidFill>
                <a:schemeClr val="bg1"/>
              </a:solidFill>
              <a:latin typeface="DIN Alternate" panose="020B0500000000000000" pitchFamily="34" charset="77"/>
            </a:endParaRPr>
          </a:p>
        </c:rich>
      </c:tx>
      <c:layout>
        <c:manualLayout>
          <c:xMode val="edge"/>
          <c:yMode val="edge"/>
          <c:x val="0.28984520148793569"/>
          <c:y val="5.2662618321431584E-2"/>
        </c:manualLayout>
      </c:layout>
      <c:overlay val="0"/>
      <c:spPr>
        <a:solidFill>
          <a:schemeClr val="tx2"/>
        </a:solidFill>
        <a:ln>
          <a:noFill/>
        </a:ln>
        <a:effectLst/>
      </c:spPr>
      <c:txPr>
        <a:bodyPr rot="0" spcFirstLastPara="1" vertOverflow="ellipsis" vert="horz" wrap="square" anchor="ctr" anchorCtr="1"/>
        <a:lstStyle/>
        <a:p>
          <a:pPr>
            <a:defRPr sz="1350" b="1" i="0" u="none" strike="noStrike" kern="1200" spc="0" baseline="0">
              <a:solidFill>
                <a:schemeClr val="bg1"/>
              </a:solidFill>
              <a:latin typeface="+mn-lt"/>
              <a:ea typeface="+mn-ea"/>
              <a:cs typeface="+mn-cs"/>
            </a:defRPr>
          </a:pPr>
          <a:endParaRPr lang="en-GB"/>
        </a:p>
      </c:txPr>
    </c:title>
    <c:autoTitleDeleted val="0"/>
    <c:plotArea>
      <c:layout>
        <c:manualLayout>
          <c:layoutTarget val="inner"/>
          <c:xMode val="edge"/>
          <c:yMode val="edge"/>
          <c:x val="0.27784741793566892"/>
          <c:y val="0.23530521594756021"/>
          <c:w val="0.46089401692438381"/>
          <c:h val="0.66435424249115038"/>
        </c:manualLayout>
      </c:layout>
      <c:doughnutChart>
        <c:varyColors val="1"/>
        <c:ser>
          <c:idx val="0"/>
          <c:order val="0"/>
          <c:dPt>
            <c:idx val="0"/>
            <c:bubble3D val="0"/>
            <c:spPr>
              <a:solidFill>
                <a:schemeClr val="tx2"/>
              </a:solidFill>
              <a:ln w="19050">
                <a:solidFill>
                  <a:schemeClr val="lt1"/>
                </a:solidFill>
              </a:ln>
              <a:effectLst/>
            </c:spPr>
            <c:extLst>
              <c:ext xmlns:c16="http://schemas.microsoft.com/office/drawing/2014/chart" uri="{C3380CC4-5D6E-409C-BE32-E72D297353CC}">
                <c16:uniqueId val="{00000001-B2D8-6E46-8114-26BBBC831911}"/>
              </c:ext>
            </c:extLst>
          </c:dPt>
          <c:dPt>
            <c:idx val="1"/>
            <c:bubble3D val="0"/>
            <c:spPr>
              <a:noFill/>
              <a:ln w="19050">
                <a:noFill/>
              </a:ln>
              <a:effectLst/>
            </c:spPr>
            <c:extLst>
              <c:ext xmlns:c16="http://schemas.microsoft.com/office/drawing/2014/chart" uri="{C3380CC4-5D6E-409C-BE32-E72D297353CC}">
                <c16:uniqueId val="{00000003-B2D8-6E46-8114-26BBBC831911}"/>
              </c:ext>
            </c:extLst>
          </c:dPt>
          <c:dPt>
            <c:idx val="2"/>
            <c:bubble3D val="0"/>
            <c:spPr>
              <a:noFill/>
              <a:ln w="19050">
                <a:noFill/>
              </a:ln>
              <a:effectLst/>
            </c:spPr>
            <c:extLst>
              <c:ext xmlns:c16="http://schemas.microsoft.com/office/drawing/2014/chart" uri="{C3380CC4-5D6E-409C-BE32-E72D297353CC}">
                <c16:uniqueId val="{00000005-B2D8-6E46-8114-26BBBC831911}"/>
              </c:ext>
            </c:extLst>
          </c:dPt>
          <c:dLbls>
            <c:dLbl>
              <c:idx val="0"/>
              <c:layout>
                <c:manualLayout>
                  <c:x val="-0.20259685659405915"/>
                  <c:y val="2.755227921132531E-2"/>
                </c:manualLayout>
              </c:layout>
              <c:tx>
                <c:rich>
                  <a:bodyPr rot="0" spcFirstLastPara="1" vertOverflow="ellipsis" vert="horz" wrap="square" lIns="38100" tIns="19050" rIns="38100" bIns="19050" anchor="ctr" anchorCtr="1">
                    <a:noAutofit/>
                  </a:bodyPr>
                  <a:lstStyle/>
                  <a:p>
                    <a:pPr>
                      <a:defRPr sz="1150" b="0" i="0" u="none" strike="noStrike" kern="1200" baseline="0">
                        <a:solidFill>
                          <a:schemeClr val="tx1">
                            <a:lumMod val="75000"/>
                            <a:lumOff val="25000"/>
                          </a:schemeClr>
                        </a:solidFill>
                        <a:latin typeface="+mn-lt"/>
                        <a:ea typeface="+mn-ea"/>
                        <a:cs typeface="+mn-cs"/>
                      </a:defRPr>
                    </a:pPr>
                    <a:fld id="{779292C5-EF36-1042-99A7-37CB2F52043B}" type="VALUE">
                      <a:rPr lang="en-US" sz="1150">
                        <a:latin typeface="DIN Alternate" panose="020B0500000000000000" pitchFamily="34" charset="77"/>
                      </a:rPr>
                      <a:pPr>
                        <a:defRPr sz="1150"/>
                      </a:pPr>
                      <a:t>[VALUE]</a:t>
                    </a:fld>
                    <a:endParaRPr lang="en-GB"/>
                  </a:p>
                </c:rich>
              </c:tx>
              <c:spPr>
                <a:solidFill>
                  <a:schemeClr val="bg1"/>
                </a:solidFill>
                <a:ln>
                  <a:noFill/>
                </a:ln>
                <a:effectLst/>
              </c:spPr>
              <c:txPr>
                <a:bodyPr rot="0" spcFirstLastPara="1" vertOverflow="ellipsis" vert="horz" wrap="square" lIns="38100" tIns="19050" rIns="38100" bIns="19050" anchor="ctr" anchorCtr="1">
                  <a:noAutofit/>
                </a:bodyPr>
                <a:lstStyle/>
                <a:p>
                  <a:pPr>
                    <a:defRPr sz="1150" b="0" i="0" u="none" strike="noStrike" kern="1200" baseline="0">
                      <a:solidFill>
                        <a:schemeClr val="tx1">
                          <a:lumMod val="75000"/>
                          <a:lumOff val="25000"/>
                        </a:schemeClr>
                      </a:solidFill>
                      <a:latin typeface="+mn-lt"/>
                      <a:ea typeface="+mn-ea"/>
                      <a:cs typeface="+mn-cs"/>
                    </a:defRPr>
                  </a:pPr>
                  <a:endParaRPr lang="en-GB"/>
                </a:p>
              </c:txPr>
              <c:showLegendKey val="0"/>
              <c:showVal val="0"/>
              <c:showCatName val="1"/>
              <c:showSerName val="0"/>
              <c:showPercent val="1"/>
              <c:showBubbleSize val="0"/>
              <c:extLst>
                <c:ext xmlns:c15="http://schemas.microsoft.com/office/drawing/2012/chart" uri="{CE6537A1-D6FC-4f65-9D91-7224C49458BB}">
                  <c15:layout>
                    <c:manualLayout>
                      <c:w val="0.1516031850126511"/>
                      <c:h val="0.1863576306616487"/>
                    </c:manualLayout>
                  </c15:layout>
                  <c15:dlblFieldTable/>
                  <c15:showDataLabelsRange val="0"/>
                </c:ext>
                <c:ext xmlns:c16="http://schemas.microsoft.com/office/drawing/2014/chart" uri="{C3380CC4-5D6E-409C-BE32-E72D297353CC}">
                  <c16:uniqueId val="{00000001-B2D8-6E46-8114-26BBBC831911}"/>
                </c:ext>
              </c:extLst>
            </c:dLbl>
            <c:dLbl>
              <c:idx val="1"/>
              <c:delete val="1"/>
              <c:extLst>
                <c:ext xmlns:c15="http://schemas.microsoft.com/office/drawing/2012/chart" uri="{CE6537A1-D6FC-4f65-9D91-7224C49458BB}"/>
                <c:ext xmlns:c16="http://schemas.microsoft.com/office/drawing/2014/chart" uri="{C3380CC4-5D6E-409C-BE32-E72D297353CC}">
                  <c16:uniqueId val="{00000003-B2D8-6E46-8114-26BBBC831911}"/>
                </c:ext>
              </c:extLst>
            </c:dLbl>
            <c:dLbl>
              <c:idx val="2"/>
              <c:delete val="1"/>
              <c:extLst>
                <c:ext xmlns:c15="http://schemas.microsoft.com/office/drawing/2012/chart" uri="{CE6537A1-D6FC-4f65-9D91-7224C49458BB}"/>
                <c:ext xmlns:c16="http://schemas.microsoft.com/office/drawing/2014/chart" uri="{C3380CC4-5D6E-409C-BE32-E72D297353CC}">
                  <c16:uniqueId val="{00000005-B2D8-6E46-8114-26BBBC83191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val>
            <c:numRef>
              <c:f>Dashboard!$AC$4:$AE$4</c:f>
              <c:numCache>
                <c:formatCode>0%</c:formatCode>
                <c:ptCount val="3"/>
                <c:pt idx="0">
                  <c:v>0.56521739130434778</c:v>
                </c:pt>
                <c:pt idx="1">
                  <c:v>0.2608695652173913</c:v>
                </c:pt>
                <c:pt idx="2">
                  <c:v>0.17391304347826086</c:v>
                </c:pt>
              </c:numCache>
            </c:numRef>
          </c:val>
          <c:extLst>
            <c:ext xmlns:c16="http://schemas.microsoft.com/office/drawing/2014/chart" uri="{C3380CC4-5D6E-409C-BE32-E72D297353CC}">
              <c16:uniqueId val="{00000006-B2D8-6E46-8114-26BBBC831911}"/>
            </c:ext>
          </c:extLst>
        </c:ser>
        <c:dLbls>
          <c:showLegendKey val="0"/>
          <c:showVal val="0"/>
          <c:showCatName val="1"/>
          <c:showSerName val="0"/>
          <c:showPercent val="1"/>
          <c:showBubbleSize val="0"/>
          <c:showLeaderLines val="0"/>
        </c:dLbls>
        <c:firstSliceAng val="0"/>
        <c:holeSize val="5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50" b="1" i="0" u="none" strike="noStrike" kern="1200" spc="0" baseline="0">
                <a:solidFill>
                  <a:schemeClr val="bg1"/>
                </a:solidFill>
                <a:latin typeface="DIN Alternate" panose="020B0500000000000000" pitchFamily="34" charset="77"/>
                <a:ea typeface="+mn-ea"/>
                <a:cs typeface="+mn-cs"/>
              </a:defRPr>
            </a:pPr>
            <a:r>
              <a:rPr lang="en-GB" sz="1350" b="1">
                <a:solidFill>
                  <a:schemeClr val="bg1"/>
                </a:solidFill>
                <a:latin typeface="DIN Alternate" panose="020B0500000000000000" pitchFamily="34" charset="77"/>
              </a:rPr>
              <a:t>Shots on Target %</a:t>
            </a:r>
          </a:p>
        </c:rich>
      </c:tx>
      <c:layout>
        <c:manualLayout>
          <c:xMode val="edge"/>
          <c:yMode val="edge"/>
          <c:x val="0.1320345673178959"/>
          <c:y val="7.5666552718590227E-2"/>
        </c:manualLayout>
      </c:layout>
      <c:overlay val="0"/>
      <c:spPr>
        <a:solidFill>
          <a:schemeClr val="bg1">
            <a:lumMod val="50000"/>
          </a:schemeClr>
        </a:solidFill>
        <a:ln>
          <a:noFill/>
        </a:ln>
        <a:effectLst/>
      </c:spPr>
      <c:txPr>
        <a:bodyPr rot="0" spcFirstLastPara="1" vertOverflow="ellipsis" vert="horz" wrap="square" anchor="ctr" anchorCtr="1"/>
        <a:lstStyle/>
        <a:p>
          <a:pPr>
            <a:defRPr sz="1350" b="1" i="0" u="none" strike="noStrike" kern="1200" spc="0" baseline="0">
              <a:solidFill>
                <a:schemeClr val="bg1"/>
              </a:solidFill>
              <a:latin typeface="DIN Alternate" panose="020B0500000000000000" pitchFamily="34" charset="77"/>
              <a:ea typeface="+mn-ea"/>
              <a:cs typeface="+mn-cs"/>
            </a:defRPr>
          </a:pPr>
          <a:endParaRPr lang="en-US"/>
        </a:p>
      </c:txPr>
    </c:title>
    <c:autoTitleDeleted val="0"/>
    <c:plotArea>
      <c:layout>
        <c:manualLayout>
          <c:layoutTarget val="inner"/>
          <c:xMode val="edge"/>
          <c:yMode val="edge"/>
          <c:x val="0.2710618538854464"/>
          <c:y val="0.23155937730523091"/>
          <c:w val="0.4956606116226695"/>
          <c:h val="0.65156748899613737"/>
        </c:manualLayout>
      </c:layout>
      <c:doughnutChart>
        <c:varyColors val="1"/>
        <c:ser>
          <c:idx val="0"/>
          <c:order val="0"/>
          <c:explosion val="5"/>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B550-F043-B3CB-BCD7D0014C71}"/>
              </c:ext>
            </c:extLst>
          </c:dPt>
          <c:dPt>
            <c:idx val="1"/>
            <c:bubble3D val="0"/>
            <c:spPr>
              <a:noFill/>
              <a:ln w="19050">
                <a:noFill/>
              </a:ln>
              <a:effectLst/>
            </c:spPr>
            <c:extLst>
              <c:ext xmlns:c16="http://schemas.microsoft.com/office/drawing/2014/chart" uri="{C3380CC4-5D6E-409C-BE32-E72D297353CC}">
                <c16:uniqueId val="{00000003-B550-F043-B3CB-BCD7D0014C71}"/>
              </c:ext>
            </c:extLst>
          </c:dPt>
          <c:dPt>
            <c:idx val="2"/>
            <c:bubble3D val="0"/>
            <c:spPr>
              <a:noFill/>
              <a:ln w="19050">
                <a:noFill/>
              </a:ln>
              <a:effectLst/>
            </c:spPr>
            <c:extLst>
              <c:ext xmlns:c16="http://schemas.microsoft.com/office/drawing/2014/chart" uri="{C3380CC4-5D6E-409C-BE32-E72D297353CC}">
                <c16:uniqueId val="{00000005-B550-F043-B3CB-BCD7D0014C71}"/>
              </c:ext>
            </c:extLst>
          </c:dPt>
          <c:dLbls>
            <c:dLbl>
              <c:idx val="0"/>
              <c:layout>
                <c:manualLayout>
                  <c:x val="-0.16467471957398622"/>
                  <c:y val="-0.1713077308825218"/>
                </c:manualLayout>
              </c:layout>
              <c:tx>
                <c:rich>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mn-lt"/>
                        <a:ea typeface="+mn-ea"/>
                        <a:cs typeface="+mn-cs"/>
                      </a:defRPr>
                    </a:pPr>
                    <a:fld id="{9F3766F7-EFDC-BF4D-ADDA-B7ED903CC06C}" type="VALUE">
                      <a:rPr lang="en-US" sz="1200">
                        <a:latin typeface="DIN Alternate" panose="020B0500000000000000" pitchFamily="34" charset="77"/>
                      </a:rPr>
                      <a:pPr>
                        <a:defRPr sz="1200"/>
                      </a:pPr>
                      <a:t>[VALUE]</a:t>
                    </a:fld>
                    <a:endParaRPr lang="en-GB"/>
                  </a:p>
                </c:rich>
              </c:tx>
              <c:spPr>
                <a:solidFill>
                  <a:schemeClr val="bg1"/>
                </a:solid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mn-lt"/>
                      <a:ea typeface="+mn-ea"/>
                      <a:cs typeface="+mn-cs"/>
                    </a:defRPr>
                  </a:pPr>
                  <a:endParaRPr lang="en-GB"/>
                </a:p>
              </c:txPr>
              <c:showLegendKey val="0"/>
              <c:showVal val="1"/>
              <c:showCatName val="0"/>
              <c:showSerName val="0"/>
              <c:showPercent val="0"/>
              <c:showBubbleSize val="0"/>
              <c:extLst>
                <c:ext xmlns:c15="http://schemas.microsoft.com/office/drawing/2012/chart" uri="{CE6537A1-D6FC-4f65-9D91-7224C49458BB}">
                  <c15:layout>
                    <c:manualLayout>
                      <c:w val="0.15215293449469997"/>
                      <c:h val="0.16751006830120921"/>
                    </c:manualLayout>
                  </c15:layout>
                  <c15:dlblFieldTable/>
                  <c15:showDataLabelsRange val="0"/>
                </c:ext>
                <c:ext xmlns:c16="http://schemas.microsoft.com/office/drawing/2014/chart" uri="{C3380CC4-5D6E-409C-BE32-E72D297353CC}">
                  <c16:uniqueId val="{00000001-B550-F043-B3CB-BCD7D0014C71}"/>
                </c:ext>
              </c:extLst>
            </c:dLbl>
            <c:dLbl>
              <c:idx val="1"/>
              <c:delete val="1"/>
              <c:extLst>
                <c:ext xmlns:c15="http://schemas.microsoft.com/office/drawing/2012/chart" uri="{CE6537A1-D6FC-4f65-9D91-7224C49458BB}"/>
                <c:ext xmlns:c16="http://schemas.microsoft.com/office/drawing/2014/chart" uri="{C3380CC4-5D6E-409C-BE32-E72D297353CC}">
                  <c16:uniqueId val="{00000003-B550-F043-B3CB-BCD7D0014C71}"/>
                </c:ext>
              </c:extLst>
            </c:dLbl>
            <c:dLbl>
              <c:idx val="2"/>
              <c:delete val="1"/>
              <c:extLst>
                <c:ext xmlns:c15="http://schemas.microsoft.com/office/drawing/2012/chart" uri="{CE6537A1-D6FC-4f65-9D91-7224C49458BB}"/>
                <c:ext xmlns:c16="http://schemas.microsoft.com/office/drawing/2014/chart" uri="{C3380CC4-5D6E-409C-BE32-E72D297353CC}">
                  <c16:uniqueId val="{00000005-B550-F043-B3CB-BCD7D0014C7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val>
            <c:numRef>
              <c:f>Dashboard!$AS$4:$AU$4</c:f>
              <c:numCache>
                <c:formatCode>0%</c:formatCode>
                <c:ptCount val="3"/>
                <c:pt idx="0">
                  <c:v>0.42857142857142855</c:v>
                </c:pt>
                <c:pt idx="1">
                  <c:v>0.14285714285714285</c:v>
                </c:pt>
                <c:pt idx="2">
                  <c:v>0.42857142857142855</c:v>
                </c:pt>
              </c:numCache>
            </c:numRef>
          </c:val>
          <c:extLst>
            <c:ext xmlns:c16="http://schemas.microsoft.com/office/drawing/2014/chart" uri="{C3380CC4-5D6E-409C-BE32-E72D297353CC}">
              <c16:uniqueId val="{00000006-B550-F043-B3CB-BCD7D0014C71}"/>
            </c:ext>
          </c:extLst>
        </c:ser>
        <c:dLbls>
          <c:showLegendKey val="0"/>
          <c:showVal val="0"/>
          <c:showCatName val="0"/>
          <c:showSerName val="0"/>
          <c:showPercent val="0"/>
          <c:showBubbleSize val="0"/>
          <c:showLeaderLines val="0"/>
        </c:dLbls>
        <c:firstSliceAng val="0"/>
        <c:holeSize val="5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0" i="0" u="none" strike="noStrike" kern="1200" spc="0" baseline="0">
                <a:solidFill>
                  <a:schemeClr val="tx1">
                    <a:lumMod val="65000"/>
                    <a:lumOff val="35000"/>
                  </a:schemeClr>
                </a:solidFill>
                <a:latin typeface="+mn-lt"/>
                <a:ea typeface="+mn-ea"/>
                <a:cs typeface="+mn-cs"/>
              </a:defRPr>
            </a:pPr>
            <a:r>
              <a:rPr lang="en-GB" sz="1500">
                <a:latin typeface="DIN Alternate" panose="020B0500000000000000" pitchFamily="34" charset="77"/>
              </a:rPr>
              <a:t>Succ</a:t>
            </a:r>
            <a:r>
              <a:rPr lang="en-GB" sz="1500" baseline="0">
                <a:latin typeface="DIN Alternate" panose="020B0500000000000000" pitchFamily="34" charset="77"/>
              </a:rPr>
              <a:t> Build up %</a:t>
            </a:r>
            <a:endParaRPr lang="en-GB" sz="1500">
              <a:latin typeface="DIN Alternate" panose="020B0500000000000000" pitchFamily="34" charset="77"/>
            </a:endParaRPr>
          </a:p>
        </c:rich>
      </c:tx>
      <c:overlay val="0"/>
      <c:spPr>
        <a:noFill/>
        <a:ln>
          <a:noFill/>
        </a:ln>
        <a:effectLst/>
      </c:spPr>
      <c:txPr>
        <a:bodyPr rot="0" spcFirstLastPara="1" vertOverflow="ellipsis" vert="horz" wrap="square" anchor="ctr" anchorCtr="1"/>
        <a:lstStyle/>
        <a:p>
          <a:pPr>
            <a:defRPr sz="15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manualLayout>
          <c:layoutTarget val="inner"/>
          <c:xMode val="edge"/>
          <c:yMode val="edge"/>
          <c:x val="0.26280536525501502"/>
          <c:y val="0.22394939129077571"/>
          <c:w val="0.4837819487218194"/>
          <c:h val="0.7398147449718554"/>
        </c:manualLayout>
      </c:layout>
      <c:doughnutChart>
        <c:varyColors val="1"/>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bg1"/>
                </a:solidFill>
                <a:latin typeface="+mn-lt"/>
                <a:ea typeface="+mn-ea"/>
                <a:cs typeface="+mn-cs"/>
              </a:defRPr>
            </a:pPr>
            <a:r>
              <a:rPr lang="en-GB" sz="1300">
                <a:solidFill>
                  <a:schemeClr val="bg1"/>
                </a:solidFill>
                <a:latin typeface="DIN Alternate" panose="020B0500000000000000" pitchFamily="34" charset="77"/>
              </a:rPr>
              <a:t>Succ</a:t>
            </a:r>
            <a:r>
              <a:rPr lang="en-GB" sz="1300" baseline="0">
                <a:solidFill>
                  <a:schemeClr val="bg1"/>
                </a:solidFill>
                <a:latin typeface="DIN Alternate" panose="020B0500000000000000" pitchFamily="34" charset="77"/>
              </a:rPr>
              <a:t> Cross %</a:t>
            </a:r>
            <a:endParaRPr lang="en-GB" sz="1300">
              <a:solidFill>
                <a:schemeClr val="bg1"/>
              </a:solidFill>
              <a:latin typeface="DIN Alternate" panose="020B0500000000000000" pitchFamily="34" charset="77"/>
            </a:endParaRPr>
          </a:p>
        </c:rich>
      </c:tx>
      <c:overlay val="0"/>
      <c:spPr>
        <a:solidFill>
          <a:schemeClr val="tx2"/>
        </a:solidFill>
        <a:ln>
          <a:noFill/>
        </a:ln>
        <a:effectLst/>
      </c:spPr>
      <c:txPr>
        <a:bodyPr rot="0" spcFirstLastPara="1" vertOverflow="ellipsis" vert="horz" wrap="square" anchor="ctr" anchorCtr="1"/>
        <a:lstStyle/>
        <a:p>
          <a:pPr>
            <a:defRPr sz="1300" b="0" i="0" u="none" strike="noStrike" kern="1200" spc="0" baseline="0">
              <a:solidFill>
                <a:schemeClr val="bg1"/>
              </a:solidFill>
              <a:latin typeface="+mn-lt"/>
              <a:ea typeface="+mn-ea"/>
              <a:cs typeface="+mn-cs"/>
            </a:defRPr>
          </a:pPr>
          <a:endParaRPr lang="en-GB"/>
        </a:p>
      </c:txPr>
    </c:title>
    <c:autoTitleDeleted val="0"/>
    <c:plotArea>
      <c:layout>
        <c:manualLayout>
          <c:layoutTarget val="inner"/>
          <c:xMode val="edge"/>
          <c:yMode val="edge"/>
          <c:x val="0.30120212956335002"/>
          <c:y val="0.26566185132370262"/>
          <c:w val="0.4771416428060129"/>
          <c:h val="0.66123566247132493"/>
        </c:manualLayout>
      </c:layout>
      <c:doughnutChart>
        <c:varyColors val="1"/>
        <c:ser>
          <c:idx val="0"/>
          <c:order val="0"/>
          <c:dPt>
            <c:idx val="0"/>
            <c:bubble3D val="0"/>
            <c:spPr>
              <a:solidFill>
                <a:schemeClr val="tx2"/>
              </a:solidFill>
              <a:ln w="19050">
                <a:solidFill>
                  <a:schemeClr val="lt1"/>
                </a:solidFill>
              </a:ln>
              <a:effectLst/>
            </c:spPr>
            <c:extLst>
              <c:ext xmlns:c16="http://schemas.microsoft.com/office/drawing/2014/chart" uri="{C3380CC4-5D6E-409C-BE32-E72D297353CC}">
                <c16:uniqueId val="{00000001-A9DA-494A-B0EB-BF9004DF77D7}"/>
              </c:ext>
            </c:extLst>
          </c:dPt>
          <c:dPt>
            <c:idx val="1"/>
            <c:bubble3D val="0"/>
            <c:spPr>
              <a:noFill/>
              <a:ln w="19050">
                <a:noFill/>
              </a:ln>
              <a:effectLst/>
            </c:spPr>
            <c:extLst>
              <c:ext xmlns:c16="http://schemas.microsoft.com/office/drawing/2014/chart" uri="{C3380CC4-5D6E-409C-BE32-E72D297353CC}">
                <c16:uniqueId val="{00000003-A9DA-494A-B0EB-BF9004DF77D7}"/>
              </c:ext>
            </c:extLst>
          </c:dPt>
          <c:dLbls>
            <c:dLbl>
              <c:idx val="0"/>
              <c:layout>
                <c:manualLayout>
                  <c:x val="-0.20654904160666518"/>
                  <c:y val="-3.2407001221051161E-2"/>
                </c:manualLayout>
              </c:layout>
              <c:tx>
                <c:rich>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fld id="{D406B937-C462-8E43-B977-D0E696FA6EB7}" type="VALUE">
                      <a:rPr lang="en-US" sz="1300">
                        <a:latin typeface="DIN Alternate" panose="020B0500000000000000" pitchFamily="34" charset="77"/>
                      </a:rPr>
                      <a:pPr>
                        <a:defRPr sz="1300"/>
                      </a:pPr>
                      <a:t>[VALUE]</a:t>
                    </a:fld>
                    <a:endParaRPr lang="en-GB"/>
                  </a:p>
                </c:rich>
              </c:tx>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GB"/>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9DA-494A-B0EB-BF9004DF77D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val>
            <c:numRef>
              <c:f>Dashboard!$BT$4:$BU$4</c:f>
              <c:numCache>
                <c:formatCode>0%</c:formatCode>
                <c:ptCount val="2"/>
                <c:pt idx="0">
                  <c:v>0.46153846153846156</c:v>
                </c:pt>
                <c:pt idx="1">
                  <c:v>0.53846153846153844</c:v>
                </c:pt>
              </c:numCache>
            </c:numRef>
          </c:val>
          <c:extLst>
            <c:ext xmlns:c16="http://schemas.microsoft.com/office/drawing/2014/chart" uri="{C3380CC4-5D6E-409C-BE32-E72D297353CC}">
              <c16:uniqueId val="{00000004-A9DA-494A-B0EB-BF9004DF77D7}"/>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chemeClr val="tx1">
                    <a:lumMod val="65000"/>
                    <a:lumOff val="35000"/>
                  </a:schemeClr>
                </a:solidFill>
                <a:latin typeface="DIN Alternate" panose="020B0500000000000000" pitchFamily="34" charset="77"/>
                <a:ea typeface="+mn-ea"/>
                <a:cs typeface="+mn-cs"/>
              </a:defRPr>
            </a:pPr>
            <a:r>
              <a:rPr lang="en-GB" sz="1500" b="1">
                <a:latin typeface="DIN Alternate" panose="020B0500000000000000" pitchFamily="34" charset="77"/>
              </a:rPr>
              <a:t>Touches in the Box</a:t>
            </a:r>
          </a:p>
        </c:rich>
      </c:tx>
      <c:layout>
        <c:manualLayout>
          <c:xMode val="edge"/>
          <c:yMode val="edge"/>
          <c:x val="0.22345851397444838"/>
          <c:y val="0.14803451979936208"/>
        </c:manualLayout>
      </c:layout>
      <c:overlay val="0"/>
      <c:spPr>
        <a:solidFill>
          <a:schemeClr val="bg1"/>
        </a:solidFill>
        <a:ln>
          <a:noFill/>
        </a:ln>
        <a:effectLst/>
      </c:spPr>
      <c:txPr>
        <a:bodyPr rot="0" spcFirstLastPara="1" vertOverflow="ellipsis" vert="horz" wrap="square" anchor="ctr" anchorCtr="1"/>
        <a:lstStyle/>
        <a:p>
          <a:pPr>
            <a:defRPr sz="1500" b="1" i="0" u="none" strike="noStrike" kern="1200" spc="0" baseline="0">
              <a:solidFill>
                <a:schemeClr val="tx1">
                  <a:lumMod val="65000"/>
                  <a:lumOff val="35000"/>
                </a:schemeClr>
              </a:solidFill>
              <a:latin typeface="DIN Alternate" panose="020B0500000000000000" pitchFamily="34" charset="77"/>
              <a:ea typeface="+mn-ea"/>
              <a:cs typeface="+mn-cs"/>
            </a:defRPr>
          </a:pPr>
          <a:endParaRPr lang="en-US"/>
        </a:p>
      </c:txPr>
    </c:title>
    <c:autoTitleDeleted val="0"/>
    <c:plotArea>
      <c:layout>
        <c:manualLayout>
          <c:layoutTarget val="inner"/>
          <c:xMode val="edge"/>
          <c:yMode val="edge"/>
          <c:x val="2.8922976457081834E-3"/>
          <c:y val="0.29497124184971046"/>
          <c:w val="0.95256678712813314"/>
          <c:h val="0.47856631436747948"/>
        </c:manualLayout>
      </c:layout>
      <c:barChart>
        <c:barDir val="bar"/>
        <c:grouping val="stacked"/>
        <c:varyColors val="0"/>
        <c:ser>
          <c:idx val="0"/>
          <c:order val="0"/>
          <c:spPr>
            <a:solidFill>
              <a:schemeClr val="tx2">
                <a:lumMod val="75000"/>
                <a:lumOff val="25000"/>
              </a:schemeClr>
            </a:solidFill>
            <a:ln>
              <a:noFill/>
            </a:ln>
            <a:effectLst/>
          </c:spPr>
          <c:invertIfNegative val="0"/>
          <c:dPt>
            <c:idx val="0"/>
            <c:invertIfNegative val="0"/>
            <c:bubble3D val="0"/>
            <c:spPr>
              <a:solidFill>
                <a:schemeClr val="tx2"/>
              </a:solidFill>
              <a:ln>
                <a:noFill/>
              </a:ln>
              <a:effectLst/>
            </c:spPr>
            <c:extLst>
              <c:ext xmlns:c16="http://schemas.microsoft.com/office/drawing/2014/chart" uri="{C3380CC4-5D6E-409C-BE32-E72D297353CC}">
                <c16:uniqueId val="{00000000-5A41-5640-8CED-7541C6A620E7}"/>
              </c:ext>
            </c:extLst>
          </c:dPt>
          <c:dLbls>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Dashboard!$DZ$4</c:f>
              <c:numCache>
                <c:formatCode>General</c:formatCode>
                <c:ptCount val="1"/>
                <c:pt idx="0">
                  <c:v>29</c:v>
                </c:pt>
              </c:numCache>
            </c:numRef>
          </c:cat>
          <c:val>
            <c:numRef>
              <c:f>Dashboard!$DX$4</c:f>
              <c:numCache>
                <c:formatCode>General</c:formatCode>
                <c:ptCount val="1"/>
                <c:pt idx="0">
                  <c:v>22</c:v>
                </c:pt>
              </c:numCache>
            </c:numRef>
          </c:val>
          <c:extLst>
            <c:ext xmlns:c16="http://schemas.microsoft.com/office/drawing/2014/chart" uri="{C3380CC4-5D6E-409C-BE32-E72D297353CC}">
              <c16:uniqueId val="{00000000-1825-7042-884F-9BE84AC12534}"/>
            </c:ext>
          </c:extLst>
        </c:ser>
        <c:ser>
          <c:idx val="1"/>
          <c:order val="1"/>
          <c:spPr>
            <a:solidFill>
              <a:schemeClr val="bg1">
                <a:lumMod val="50000"/>
              </a:schemeClr>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5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3760752606831442"/>
                      <c:h val="0.33769248979408623"/>
                    </c:manualLayout>
                  </c15:layout>
                </c:ext>
                <c:ext xmlns:c16="http://schemas.microsoft.com/office/drawing/2014/chart" uri="{C3380CC4-5D6E-409C-BE32-E72D297353CC}">
                  <c16:uniqueId val="{00000001-1825-7042-884F-9BE84AC1253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Dashboard!$DZ$4</c:f>
              <c:numCache>
                <c:formatCode>General</c:formatCode>
                <c:ptCount val="1"/>
                <c:pt idx="0">
                  <c:v>29</c:v>
                </c:pt>
              </c:numCache>
            </c:numRef>
          </c:cat>
          <c:val>
            <c:numRef>
              <c:f>Dashboard!$DY$4</c:f>
              <c:numCache>
                <c:formatCode>General</c:formatCode>
                <c:ptCount val="1"/>
                <c:pt idx="0">
                  <c:v>7</c:v>
                </c:pt>
              </c:numCache>
            </c:numRef>
          </c:val>
          <c:extLst>
            <c:ext xmlns:c16="http://schemas.microsoft.com/office/drawing/2014/chart" uri="{C3380CC4-5D6E-409C-BE32-E72D297353CC}">
              <c16:uniqueId val="{00000002-1825-7042-884F-9BE84AC12534}"/>
            </c:ext>
          </c:extLst>
        </c:ser>
        <c:dLbls>
          <c:showLegendKey val="0"/>
          <c:showVal val="0"/>
          <c:showCatName val="0"/>
          <c:showSerName val="0"/>
          <c:showPercent val="0"/>
          <c:showBubbleSize val="0"/>
        </c:dLbls>
        <c:gapWidth val="167"/>
        <c:overlap val="100"/>
        <c:axId val="1693344768"/>
        <c:axId val="1814587664"/>
      </c:barChart>
      <c:catAx>
        <c:axId val="1693344768"/>
        <c:scaling>
          <c:orientation val="minMax"/>
        </c:scaling>
        <c:delete val="1"/>
        <c:axPos val="l"/>
        <c:numFmt formatCode="General" sourceLinked="1"/>
        <c:majorTickMark val="none"/>
        <c:minorTickMark val="none"/>
        <c:tickLblPos val="nextTo"/>
        <c:crossAx val="1814587664"/>
        <c:crosses val="autoZero"/>
        <c:auto val="1"/>
        <c:lblAlgn val="ctr"/>
        <c:lblOffset val="100"/>
        <c:noMultiLvlLbl val="0"/>
      </c:catAx>
      <c:valAx>
        <c:axId val="1814587664"/>
        <c:scaling>
          <c:orientation val="minMax"/>
          <c:min val="0"/>
        </c:scaling>
        <c:delete val="1"/>
        <c:axPos val="b"/>
        <c:numFmt formatCode="General" sourceLinked="1"/>
        <c:majorTickMark val="out"/>
        <c:minorTickMark val="none"/>
        <c:tickLblPos val="nextTo"/>
        <c:crossAx val="169334476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chemeClr val="tx1">
                    <a:lumMod val="65000"/>
                    <a:lumOff val="35000"/>
                  </a:schemeClr>
                </a:solidFill>
                <a:latin typeface="DIN Alternate" panose="020B0500000000000000" pitchFamily="34" charset="77"/>
                <a:ea typeface="+mn-ea"/>
                <a:cs typeface="+mn-cs"/>
              </a:defRPr>
            </a:pPr>
            <a:r>
              <a:rPr lang="en-GB" sz="1500" b="1">
                <a:latin typeface="DIN Alternate" panose="020B0500000000000000" pitchFamily="34" charset="77"/>
              </a:rPr>
              <a:t>Final 1/3 Details</a:t>
            </a:r>
          </a:p>
        </c:rich>
      </c:tx>
      <c:layout>
        <c:manualLayout>
          <c:xMode val="edge"/>
          <c:yMode val="edge"/>
          <c:x val="0.27619465676610949"/>
          <c:y val="0.23892154314717873"/>
        </c:manualLayout>
      </c:layout>
      <c:overlay val="0"/>
      <c:spPr>
        <a:solidFill>
          <a:schemeClr val="bg1"/>
        </a:solidFill>
        <a:ln>
          <a:noFill/>
        </a:ln>
        <a:effectLst/>
      </c:spPr>
      <c:txPr>
        <a:bodyPr rot="0" spcFirstLastPara="1" vertOverflow="ellipsis" vert="horz" wrap="square" anchor="ctr" anchorCtr="1"/>
        <a:lstStyle/>
        <a:p>
          <a:pPr>
            <a:defRPr sz="1500" b="1" i="0" u="none" strike="noStrike" kern="1200" spc="0" baseline="0">
              <a:solidFill>
                <a:schemeClr val="tx1">
                  <a:lumMod val="65000"/>
                  <a:lumOff val="35000"/>
                </a:schemeClr>
              </a:solidFill>
              <a:latin typeface="DIN Alternate" panose="020B0500000000000000" pitchFamily="34" charset="77"/>
              <a:ea typeface="+mn-ea"/>
              <a:cs typeface="+mn-cs"/>
            </a:defRPr>
          </a:pPr>
          <a:endParaRPr lang="en-US"/>
        </a:p>
      </c:txPr>
    </c:title>
    <c:autoTitleDeleted val="0"/>
    <c:plotArea>
      <c:layout>
        <c:manualLayout>
          <c:layoutTarget val="inner"/>
          <c:xMode val="edge"/>
          <c:yMode val="edge"/>
          <c:x val="2.2321439303820415E-2"/>
          <c:y val="0.38582859220785171"/>
          <c:w val="0.95256678712813314"/>
          <c:h val="0.47856631436747948"/>
        </c:manualLayout>
      </c:layout>
      <c:barChart>
        <c:barDir val="bar"/>
        <c:grouping val="stacked"/>
        <c:varyColors val="0"/>
        <c:ser>
          <c:idx val="0"/>
          <c:order val="0"/>
          <c:spPr>
            <a:solidFill>
              <a:schemeClr val="tx2">
                <a:lumMod val="75000"/>
                <a:lumOff val="25000"/>
              </a:schemeClr>
            </a:solidFill>
            <a:ln>
              <a:noFill/>
            </a:ln>
            <a:effectLst/>
          </c:spPr>
          <c:invertIfNegative val="0"/>
          <c:dPt>
            <c:idx val="0"/>
            <c:invertIfNegative val="0"/>
            <c:bubble3D val="0"/>
            <c:spPr>
              <a:solidFill>
                <a:schemeClr val="tx2"/>
              </a:solidFill>
              <a:ln>
                <a:noFill/>
              </a:ln>
              <a:effectLst/>
            </c:spPr>
            <c:extLst>
              <c:ext xmlns:c16="http://schemas.microsoft.com/office/drawing/2014/chart" uri="{C3380CC4-5D6E-409C-BE32-E72D297353CC}">
                <c16:uniqueId val="{00000000-BD37-4C43-B792-7DD2EA84D1DA}"/>
              </c:ext>
            </c:extLst>
          </c:dPt>
          <c:dLbls>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Dashboard!$DS$4</c:f>
              <c:numCache>
                <c:formatCode>General</c:formatCode>
                <c:ptCount val="1"/>
                <c:pt idx="0">
                  <c:v>53</c:v>
                </c:pt>
              </c:numCache>
            </c:numRef>
          </c:val>
          <c:extLst>
            <c:ext xmlns:c16="http://schemas.microsoft.com/office/drawing/2014/chart" uri="{C3380CC4-5D6E-409C-BE32-E72D297353CC}">
              <c16:uniqueId val="{00000000-210E-CF4A-BF12-8B4E3F033F1D}"/>
            </c:ext>
          </c:extLst>
        </c:ser>
        <c:ser>
          <c:idx val="1"/>
          <c:order val="1"/>
          <c:spPr>
            <a:solidFill>
              <a:schemeClr val="bg1">
                <a:lumMod val="50000"/>
              </a:schemeClr>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5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3760752606831442"/>
                      <c:h val="0.33769248979408623"/>
                    </c:manualLayout>
                  </c15:layout>
                </c:ext>
                <c:ext xmlns:c16="http://schemas.microsoft.com/office/drawing/2014/chart" uri="{C3380CC4-5D6E-409C-BE32-E72D297353CC}">
                  <c16:uniqueId val="{00000001-210E-CF4A-BF12-8B4E3F033F1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Dashboard!$DU$4</c:f>
              <c:numCache>
                <c:formatCode>General</c:formatCode>
                <c:ptCount val="1"/>
                <c:pt idx="0">
                  <c:v>20</c:v>
                </c:pt>
              </c:numCache>
            </c:numRef>
          </c:val>
          <c:extLst>
            <c:ext xmlns:c16="http://schemas.microsoft.com/office/drawing/2014/chart" uri="{C3380CC4-5D6E-409C-BE32-E72D297353CC}">
              <c16:uniqueId val="{00000002-210E-CF4A-BF12-8B4E3F033F1D}"/>
            </c:ext>
          </c:extLst>
        </c:ser>
        <c:dLbls>
          <c:showLegendKey val="0"/>
          <c:showVal val="0"/>
          <c:showCatName val="0"/>
          <c:showSerName val="0"/>
          <c:showPercent val="0"/>
          <c:showBubbleSize val="0"/>
        </c:dLbls>
        <c:gapWidth val="200"/>
        <c:overlap val="100"/>
        <c:axId val="1693344768"/>
        <c:axId val="1814587664"/>
      </c:barChart>
      <c:catAx>
        <c:axId val="1693344768"/>
        <c:scaling>
          <c:orientation val="minMax"/>
        </c:scaling>
        <c:delete val="1"/>
        <c:axPos val="l"/>
        <c:numFmt formatCode="General" sourceLinked="1"/>
        <c:majorTickMark val="none"/>
        <c:minorTickMark val="none"/>
        <c:tickLblPos val="nextTo"/>
        <c:crossAx val="1814587664"/>
        <c:crosses val="autoZero"/>
        <c:auto val="1"/>
        <c:lblAlgn val="ctr"/>
        <c:lblOffset val="100"/>
        <c:noMultiLvlLbl val="0"/>
      </c:catAx>
      <c:valAx>
        <c:axId val="1814587664"/>
        <c:scaling>
          <c:orientation val="minMax"/>
        </c:scaling>
        <c:delete val="1"/>
        <c:axPos val="b"/>
        <c:numFmt formatCode="General" sourceLinked="1"/>
        <c:majorTickMark val="none"/>
        <c:minorTickMark val="none"/>
        <c:tickLblPos val="nextTo"/>
        <c:crossAx val="169334476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bg1"/>
                </a:solidFill>
                <a:latin typeface="DIN Alternate" panose="020B0500000000000000" pitchFamily="34" charset="77"/>
                <a:ea typeface="+mn-ea"/>
                <a:cs typeface="+mn-cs"/>
              </a:defRPr>
            </a:pPr>
            <a:r>
              <a:rPr lang="en-GB" sz="1300">
                <a:solidFill>
                  <a:schemeClr val="bg1"/>
                </a:solidFill>
                <a:latin typeface="DIN Alternate" panose="020B0500000000000000" pitchFamily="34" charset="77"/>
              </a:rPr>
              <a:t>Opp Succ</a:t>
            </a:r>
            <a:r>
              <a:rPr lang="en-GB" sz="1300" baseline="0">
                <a:solidFill>
                  <a:schemeClr val="bg1"/>
                </a:solidFill>
                <a:latin typeface="DIN Alternate" panose="020B0500000000000000" pitchFamily="34" charset="77"/>
              </a:rPr>
              <a:t> Cross %</a:t>
            </a:r>
            <a:endParaRPr lang="en-GB" sz="1300">
              <a:solidFill>
                <a:schemeClr val="bg1"/>
              </a:solidFill>
              <a:latin typeface="DIN Alternate" panose="020B0500000000000000" pitchFamily="34" charset="77"/>
            </a:endParaRPr>
          </a:p>
        </c:rich>
      </c:tx>
      <c:overlay val="0"/>
      <c:spPr>
        <a:solidFill>
          <a:schemeClr val="bg1">
            <a:lumMod val="50000"/>
          </a:schemeClr>
        </a:solidFill>
        <a:ln>
          <a:noFill/>
        </a:ln>
        <a:effectLst/>
      </c:spPr>
      <c:txPr>
        <a:bodyPr rot="0" spcFirstLastPara="1" vertOverflow="ellipsis" vert="horz" wrap="square" anchor="ctr" anchorCtr="1"/>
        <a:lstStyle/>
        <a:p>
          <a:pPr>
            <a:defRPr sz="1300" b="0" i="0" u="none" strike="noStrike" kern="1200" spc="0" baseline="0">
              <a:solidFill>
                <a:schemeClr val="bg1"/>
              </a:solidFill>
              <a:latin typeface="DIN Alternate" panose="020B0500000000000000" pitchFamily="34" charset="77"/>
              <a:ea typeface="+mn-ea"/>
              <a:cs typeface="+mn-cs"/>
            </a:defRPr>
          </a:pPr>
          <a:endParaRPr lang="en-GB"/>
        </a:p>
      </c:txPr>
    </c:title>
    <c:autoTitleDeleted val="0"/>
    <c:plotArea>
      <c:layout>
        <c:manualLayout>
          <c:layoutTarget val="inner"/>
          <c:xMode val="edge"/>
          <c:yMode val="edge"/>
          <c:x val="0.29135394661033226"/>
          <c:y val="0.21981372664237864"/>
          <c:w val="0.41729249087766468"/>
          <c:h val="0.63839522858150199"/>
        </c:manualLayout>
      </c:layout>
      <c:doughnutChart>
        <c:varyColors val="1"/>
        <c:ser>
          <c:idx val="0"/>
          <c:order val="0"/>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B244-AC4C-A817-365D515BCBA0}"/>
              </c:ext>
            </c:extLst>
          </c:dPt>
          <c:dPt>
            <c:idx val="1"/>
            <c:bubble3D val="0"/>
            <c:spPr>
              <a:noFill/>
              <a:ln w="19050">
                <a:noFill/>
              </a:ln>
              <a:effectLst/>
            </c:spPr>
            <c:extLst>
              <c:ext xmlns:c16="http://schemas.microsoft.com/office/drawing/2014/chart" uri="{C3380CC4-5D6E-409C-BE32-E72D297353CC}">
                <c16:uniqueId val="{00000003-B244-AC4C-A817-365D515BCBA0}"/>
              </c:ext>
            </c:extLst>
          </c:dPt>
          <c:dLbls>
            <c:dLbl>
              <c:idx val="0"/>
              <c:layout>
                <c:manualLayout>
                  <c:x val="-0.17614235052351723"/>
                  <c:y val="1.3891377653249059E-2"/>
                </c:manualLayout>
              </c:layout>
              <c:tx>
                <c:rich>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fld id="{862AD4FD-B18E-D149-9044-042FBA941FB5}" type="VALUE">
                      <a:rPr lang="en-US" sz="1300">
                        <a:latin typeface="DIN Alternate" panose="020B0500000000000000" pitchFamily="34" charset="77"/>
                      </a:rPr>
                      <a:pPr>
                        <a:defRPr sz="1300"/>
                      </a:pPr>
                      <a:t>[VALUE]</a:t>
                    </a:fld>
                    <a:endParaRPr lang="en-GB"/>
                  </a:p>
                </c:rich>
              </c:tx>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GB"/>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B244-AC4C-A817-365D515BCBA0}"/>
                </c:ext>
              </c:extLst>
            </c:dLbl>
            <c:dLbl>
              <c:idx val="1"/>
              <c:delete val="1"/>
              <c:extLst>
                <c:ext xmlns:c15="http://schemas.microsoft.com/office/drawing/2012/chart" uri="{CE6537A1-D6FC-4f65-9D91-7224C49458BB}"/>
                <c:ext xmlns:c16="http://schemas.microsoft.com/office/drawing/2014/chart" uri="{C3380CC4-5D6E-409C-BE32-E72D297353CC}">
                  <c16:uniqueId val="{00000003-B244-AC4C-A817-365D515BCBA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val>
            <c:numRef>
              <c:f>Dashboard!$BY$4:$BZ$4</c:f>
              <c:numCache>
                <c:formatCode>0%</c:formatCode>
                <c:ptCount val="2"/>
                <c:pt idx="0">
                  <c:v>0.25</c:v>
                </c:pt>
                <c:pt idx="1">
                  <c:v>0.75</c:v>
                </c:pt>
              </c:numCache>
            </c:numRef>
          </c:val>
          <c:extLst>
            <c:ext xmlns:c16="http://schemas.microsoft.com/office/drawing/2014/chart" uri="{C3380CC4-5D6E-409C-BE32-E72D297353CC}">
              <c16:uniqueId val="{00000004-B244-AC4C-A817-365D515BCBA0}"/>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v>Build up +</c:v>
          </c:tx>
          <c:spPr>
            <a:solidFill>
              <a:srgbClr val="C00000"/>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3-1795-D145-B7B0-20FE7C8F359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795-D145-B7B0-20FE7C8F359F}"/>
                </c:ext>
              </c:extLst>
            </c:dLbl>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DIN Alternate" panose="020B0500000000000000" pitchFamily="34" charset="77"/>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Dashboard!$BG$4</c:f>
              <c:numCache>
                <c:formatCode>0%</c:formatCode>
                <c:ptCount val="1"/>
                <c:pt idx="0">
                  <c:v>0.52941176470588236</c:v>
                </c:pt>
              </c:numCache>
            </c:numRef>
          </c:val>
          <c:extLst>
            <c:ext xmlns:c16="http://schemas.microsoft.com/office/drawing/2014/chart" uri="{C3380CC4-5D6E-409C-BE32-E72D297353CC}">
              <c16:uniqueId val="{00000000-1795-D145-B7B0-20FE7C8F359F}"/>
            </c:ext>
          </c:extLst>
        </c:ser>
        <c:ser>
          <c:idx val="1"/>
          <c:order val="1"/>
          <c:tx>
            <c:v>Build up -</c:v>
          </c:tx>
          <c:spPr>
            <a:solidFill>
              <a:schemeClr val="accent2"/>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2-1795-D145-B7B0-20FE7C8F359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795-D145-B7B0-20FE7C8F359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Dashboard!$BH$4</c:f>
              <c:numCache>
                <c:formatCode>0%</c:formatCode>
                <c:ptCount val="1"/>
                <c:pt idx="0">
                  <c:v>0.47058823529411764</c:v>
                </c:pt>
              </c:numCache>
            </c:numRef>
          </c:val>
          <c:extLst>
            <c:ext xmlns:c16="http://schemas.microsoft.com/office/drawing/2014/chart" uri="{C3380CC4-5D6E-409C-BE32-E72D297353CC}">
              <c16:uniqueId val="{00000001-1795-D145-B7B0-20FE7C8F359F}"/>
            </c:ext>
          </c:extLst>
        </c:ser>
        <c:dLbls>
          <c:showLegendKey val="0"/>
          <c:showVal val="0"/>
          <c:showCatName val="0"/>
          <c:showSerName val="0"/>
          <c:showPercent val="0"/>
          <c:showBubbleSize val="0"/>
        </c:dLbls>
        <c:gapWidth val="200"/>
        <c:overlap val="100"/>
        <c:axId val="378243711"/>
        <c:axId val="378245503"/>
      </c:barChart>
      <c:catAx>
        <c:axId val="378243711"/>
        <c:scaling>
          <c:orientation val="minMax"/>
        </c:scaling>
        <c:delete val="1"/>
        <c:axPos val="l"/>
        <c:majorTickMark val="none"/>
        <c:minorTickMark val="none"/>
        <c:tickLblPos val="nextTo"/>
        <c:crossAx val="378245503"/>
        <c:crosses val="autoZero"/>
        <c:auto val="1"/>
        <c:lblAlgn val="ctr"/>
        <c:lblOffset val="100"/>
        <c:noMultiLvlLbl val="0"/>
      </c:catAx>
      <c:valAx>
        <c:axId val="378245503"/>
        <c:scaling>
          <c:orientation val="minMax"/>
        </c:scaling>
        <c:delete val="1"/>
        <c:axPos val="b"/>
        <c:numFmt formatCode="0%" sourceLinked="1"/>
        <c:majorTickMark val="none"/>
        <c:minorTickMark val="none"/>
        <c:tickLblPos val="nextTo"/>
        <c:crossAx val="378243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2-ED86-5D41-BE73-CF2BFDD51110}"/>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ED86-5D41-BE73-CF2BFDD51110}"/>
                </c:ext>
              </c:extLst>
            </c:dLbl>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Dashboard!$BO$4</c:f>
              <c:numCache>
                <c:formatCode>0%</c:formatCode>
                <c:ptCount val="1"/>
                <c:pt idx="0">
                  <c:v>0.2978723404255319</c:v>
                </c:pt>
              </c:numCache>
            </c:numRef>
          </c:val>
          <c:extLst>
            <c:ext xmlns:c15="http://schemas.microsoft.com/office/drawing/2012/chart" uri="{02D57815-91ED-43cb-92C2-25804820EDAC}">
              <c15:filteredSeriesTitle>
                <c15:tx>
                  <c:strRef>
                    <c:extLst>
                      <c:ext uri="{02D57815-91ED-43cb-92C2-25804820EDAC}">
                        <c15:formulaRef>
                          <c15:sqref>#REF!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ED86-5D41-BE73-CF2BFDD51110}"/>
            </c:ext>
          </c:extLst>
        </c:ser>
        <c:ser>
          <c:idx val="1"/>
          <c:order val="1"/>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32F4-784C-B5F5-593E949909A5}"/>
                </c:ext>
              </c:extLst>
            </c:dLbl>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Dashboard!$BP$4</c:f>
              <c:numCache>
                <c:formatCode>0%</c:formatCode>
                <c:ptCount val="1"/>
                <c:pt idx="0">
                  <c:v>0.7021276595744681</c:v>
                </c:pt>
              </c:numCache>
            </c:numRef>
          </c:val>
          <c:extLst>
            <c:ext xmlns:c15="http://schemas.microsoft.com/office/drawing/2012/chart" uri="{02D57815-91ED-43cb-92C2-25804820EDAC}">
              <c15:filteredSeriesTitle>
                <c15:tx>
                  <c:strRef>
                    <c:extLst>
                      <c:ext uri="{02D57815-91ED-43cb-92C2-25804820EDAC}">
                        <c15:formulaRef>
                          <c15:sqref>#REF!</c15:sqref>
                        </c15:formulaRef>
                      </c:ext>
                    </c:extLst>
                    <c:strCache>
                      <c:ptCount val="1"/>
                      <c:pt idx="0">
                        <c:v>#REF!</c:v>
                      </c:pt>
                    </c:strCache>
                  </c:strRef>
                </c15:tx>
              </c15:filteredSeriesTitle>
            </c:ext>
            <c:ext xmlns:c16="http://schemas.microsoft.com/office/drawing/2014/chart" uri="{C3380CC4-5D6E-409C-BE32-E72D297353CC}">
              <c16:uniqueId val="{00000001-ED86-5D41-BE73-CF2BFDD51110}"/>
            </c:ext>
          </c:extLst>
        </c:ser>
        <c:dLbls>
          <c:showLegendKey val="0"/>
          <c:showVal val="0"/>
          <c:showCatName val="0"/>
          <c:showSerName val="0"/>
          <c:showPercent val="0"/>
          <c:showBubbleSize val="0"/>
        </c:dLbls>
        <c:gapWidth val="200"/>
        <c:overlap val="100"/>
        <c:axId val="2083097216"/>
        <c:axId val="2102896704"/>
      </c:barChart>
      <c:catAx>
        <c:axId val="2083097216"/>
        <c:scaling>
          <c:orientation val="minMax"/>
        </c:scaling>
        <c:delete val="1"/>
        <c:axPos val="l"/>
        <c:numFmt formatCode="General" sourceLinked="1"/>
        <c:majorTickMark val="none"/>
        <c:minorTickMark val="none"/>
        <c:tickLblPos val="nextTo"/>
        <c:crossAx val="2102896704"/>
        <c:crosses val="autoZero"/>
        <c:auto val="1"/>
        <c:lblAlgn val="ctr"/>
        <c:lblOffset val="100"/>
        <c:noMultiLvlLbl val="0"/>
      </c:catAx>
      <c:valAx>
        <c:axId val="2102896704"/>
        <c:scaling>
          <c:orientation val="minMax"/>
        </c:scaling>
        <c:delete val="1"/>
        <c:axPos val="b"/>
        <c:numFmt formatCode="0%" sourceLinked="1"/>
        <c:majorTickMark val="none"/>
        <c:minorTickMark val="none"/>
        <c:tickLblPos val="nextTo"/>
        <c:crossAx val="2083097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FC8-DF40-8E16-12EB55204E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Dashboard!$CD$4</c:f>
              <c:numCache>
                <c:formatCode>0%</c:formatCode>
                <c:ptCount val="1"/>
                <c:pt idx="0">
                  <c:v>0.91304347826086951</c:v>
                </c:pt>
              </c:numCache>
            </c:numRef>
          </c:val>
          <c:extLst>
            <c:ext xmlns:c15="http://schemas.microsoft.com/office/drawing/2012/chart" uri="{02D57815-91ED-43cb-92C2-25804820EDAC}">
              <c15:filteredSeriesTitle>
                <c15:tx>
                  <c:strRef>
                    <c:extLst>
                      <c:ext uri="{02D57815-91ED-43cb-92C2-25804820EDAC}">
                        <c15:formulaRef>
                          <c15:sqref>#REF!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8FC8-DF40-8E16-12EB55204E86}"/>
            </c:ext>
          </c:extLst>
        </c:ser>
        <c:ser>
          <c:idx val="1"/>
          <c:order val="1"/>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FC8-DF40-8E16-12EB55204E86}"/>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Dashboard!$CE$4</c:f>
              <c:numCache>
                <c:formatCode>0%</c:formatCode>
                <c:ptCount val="1"/>
                <c:pt idx="0">
                  <c:v>8.6956521739130432E-2</c:v>
                </c:pt>
              </c:numCache>
            </c:numRef>
          </c:val>
          <c:extLst>
            <c:ext xmlns:c15="http://schemas.microsoft.com/office/drawing/2012/chart" uri="{02D57815-91ED-43cb-92C2-25804820EDAC}">
              <c15:filteredSeriesTitle>
                <c15:tx>
                  <c:strRef>
                    <c:extLst>
                      <c:ext uri="{02D57815-91ED-43cb-92C2-25804820EDAC}">
                        <c15:formulaRef>
                          <c15:sqref>#REF!</c15:sqref>
                        </c15:formulaRef>
                      </c:ext>
                    </c:extLst>
                    <c:strCache>
                      <c:ptCount val="1"/>
                      <c:pt idx="0">
                        <c:v>#REF!</c:v>
                      </c:pt>
                    </c:strCache>
                  </c:strRef>
                </c15:tx>
              </c15:filteredSeriesTitle>
            </c:ext>
            <c:ext xmlns:c16="http://schemas.microsoft.com/office/drawing/2014/chart" uri="{C3380CC4-5D6E-409C-BE32-E72D297353CC}">
              <c16:uniqueId val="{00000001-8FC8-DF40-8E16-12EB55204E86}"/>
            </c:ext>
          </c:extLst>
        </c:ser>
        <c:dLbls>
          <c:showLegendKey val="0"/>
          <c:showVal val="0"/>
          <c:showCatName val="0"/>
          <c:showSerName val="0"/>
          <c:showPercent val="0"/>
          <c:showBubbleSize val="0"/>
        </c:dLbls>
        <c:gapWidth val="75"/>
        <c:overlap val="100"/>
        <c:axId val="109901375"/>
        <c:axId val="109898239"/>
      </c:barChart>
      <c:catAx>
        <c:axId val="109901375"/>
        <c:scaling>
          <c:orientation val="minMax"/>
        </c:scaling>
        <c:delete val="1"/>
        <c:axPos val="l"/>
        <c:numFmt formatCode="General" sourceLinked="1"/>
        <c:majorTickMark val="none"/>
        <c:minorTickMark val="none"/>
        <c:tickLblPos val="nextTo"/>
        <c:crossAx val="109898239"/>
        <c:crosses val="autoZero"/>
        <c:auto val="1"/>
        <c:lblAlgn val="ctr"/>
        <c:lblOffset val="100"/>
        <c:noMultiLvlLbl val="0"/>
      </c:catAx>
      <c:valAx>
        <c:axId val="109898239"/>
        <c:scaling>
          <c:orientation val="minMax"/>
          <c:max val="1"/>
          <c:min val="0"/>
        </c:scaling>
        <c:delete val="1"/>
        <c:axPos val="b"/>
        <c:numFmt formatCode="0%" sourceLinked="1"/>
        <c:majorTickMark val="none"/>
        <c:minorTickMark val="none"/>
        <c:tickLblPos val="nextTo"/>
        <c:crossAx val="10990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E1C9-544F-8ADB-BBD1773B106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Dashboard!$CL$4</c:f>
              <c:numCache>
                <c:formatCode>0%</c:formatCode>
                <c:ptCount val="1"/>
                <c:pt idx="0">
                  <c:v>1</c:v>
                </c:pt>
              </c:numCache>
            </c:numRef>
          </c:val>
          <c:extLst>
            <c:ext xmlns:c15="http://schemas.microsoft.com/office/drawing/2012/chart" uri="{02D57815-91ED-43cb-92C2-25804820EDAC}">
              <c15:filteredSeriesTitle>
                <c15:tx>
                  <c:strRef>
                    <c:extLst>
                      <c:ext uri="{02D57815-91ED-43cb-92C2-25804820EDAC}">
                        <c15:formulaRef>
                          <c15:sqref>#REF!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E1C9-544F-8ADB-BBD1773B1062}"/>
            </c:ext>
          </c:extLst>
        </c:ser>
        <c:ser>
          <c:idx val="1"/>
          <c:order val="1"/>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E1C9-544F-8ADB-BBD1773B106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Dashboard!$CM$4</c:f>
              <c:numCache>
                <c:formatCode>0%</c:formatCode>
                <c:ptCount val="1"/>
                <c:pt idx="0">
                  <c:v>0</c:v>
                </c:pt>
              </c:numCache>
            </c:numRef>
          </c:val>
          <c:extLst>
            <c:ext xmlns:c15="http://schemas.microsoft.com/office/drawing/2012/chart" uri="{02D57815-91ED-43cb-92C2-25804820EDAC}">
              <c15:filteredSeriesTitle>
                <c15:tx>
                  <c:strRef>
                    <c:extLst>
                      <c:ext uri="{02D57815-91ED-43cb-92C2-25804820EDAC}">
                        <c15:formulaRef>
                          <c15:sqref>#REF!</c15:sqref>
                        </c15:formulaRef>
                      </c:ext>
                    </c:extLst>
                    <c:strCache>
                      <c:ptCount val="1"/>
                      <c:pt idx="0">
                        <c:v>#REF!</c:v>
                      </c:pt>
                    </c:strCache>
                  </c:strRef>
                </c15:tx>
              </c15:filteredSeriesTitle>
            </c:ext>
            <c:ext xmlns:c16="http://schemas.microsoft.com/office/drawing/2014/chart" uri="{C3380CC4-5D6E-409C-BE32-E72D297353CC}">
              <c16:uniqueId val="{00000001-E1C9-544F-8ADB-BBD1773B1062}"/>
            </c:ext>
          </c:extLst>
        </c:ser>
        <c:dLbls>
          <c:showLegendKey val="0"/>
          <c:showVal val="0"/>
          <c:showCatName val="0"/>
          <c:showSerName val="0"/>
          <c:showPercent val="0"/>
          <c:showBubbleSize val="0"/>
        </c:dLbls>
        <c:gapWidth val="200"/>
        <c:overlap val="100"/>
        <c:axId val="2102747904"/>
        <c:axId val="114416191"/>
      </c:barChart>
      <c:catAx>
        <c:axId val="2102747904"/>
        <c:scaling>
          <c:orientation val="minMax"/>
        </c:scaling>
        <c:delete val="1"/>
        <c:axPos val="l"/>
        <c:numFmt formatCode="General" sourceLinked="1"/>
        <c:majorTickMark val="none"/>
        <c:minorTickMark val="none"/>
        <c:tickLblPos val="nextTo"/>
        <c:crossAx val="114416191"/>
        <c:crosses val="autoZero"/>
        <c:auto val="1"/>
        <c:lblAlgn val="ctr"/>
        <c:lblOffset val="100"/>
        <c:noMultiLvlLbl val="0"/>
      </c:catAx>
      <c:valAx>
        <c:axId val="114416191"/>
        <c:scaling>
          <c:orientation val="minMax"/>
        </c:scaling>
        <c:delete val="1"/>
        <c:axPos val="b"/>
        <c:numFmt formatCode="0%" sourceLinked="1"/>
        <c:majorTickMark val="none"/>
        <c:minorTickMark val="none"/>
        <c:tickLblPos val="nextTo"/>
        <c:crossAx val="2102747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Dashboard!$ED$1</c:f>
              <c:strCache>
                <c:ptCount val="1"/>
                <c:pt idx="0">
                  <c:v>Total Completed Passes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F6F-8541-88A6-34EBAE2A4EBA}"/>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Dashboard!$ED$4</c:f>
              <c:numCache>
                <c:formatCode>0%</c:formatCode>
                <c:ptCount val="1"/>
                <c:pt idx="0">
                  <c:v>0.82281553398058249</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8F6F-8541-88A6-34EBAE2A4EBA}"/>
            </c:ext>
          </c:extLst>
        </c:ser>
        <c:ser>
          <c:idx val="1"/>
          <c:order val="1"/>
          <c:tx>
            <c:strRef>
              <c:f>Dashboard!$EE$1</c:f>
              <c:strCache>
                <c:ptCount val="1"/>
                <c:pt idx="0">
                  <c:v>Total Uncompleted Passes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9-8F6F-8541-88A6-34EBAE2A4EBA}"/>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Dashboard!$EE$4</c:f>
              <c:numCache>
                <c:formatCode>0%</c:formatCode>
                <c:ptCount val="1"/>
                <c:pt idx="0">
                  <c:v>0.17718446601941748</c:v>
                </c:pt>
              </c:numCache>
            </c:numRef>
          </c:val>
          <c:extLst>
            <c:ext xmlns:c16="http://schemas.microsoft.com/office/drawing/2014/chart" uri="{C3380CC4-5D6E-409C-BE32-E72D297353CC}">
              <c16:uniqueId val="{00000001-8F6F-8541-88A6-34EBAE2A4EBA}"/>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Dashboard!$EI$1</c:f>
              <c:strCache>
                <c:ptCount val="1"/>
                <c:pt idx="0">
                  <c:v>Total Completed Forward Passes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9-AB57-B146-8E38-DC79BAE0EB87}"/>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Dashboard!$EI$4</c:f>
              <c:numCache>
                <c:formatCode>0%</c:formatCode>
                <c:ptCount val="1"/>
                <c:pt idx="0">
                  <c:v>0.66860465116279066</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AB57-B146-8E38-DC79BAE0EB87}"/>
            </c:ext>
          </c:extLst>
        </c:ser>
        <c:ser>
          <c:idx val="1"/>
          <c:order val="1"/>
          <c:tx>
            <c:strRef>
              <c:f>Dashboard!$EJ$1</c:f>
              <c:strCache>
                <c:ptCount val="1"/>
                <c:pt idx="0">
                  <c:v>Total Uncompleted Forward Passes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8-AB57-B146-8E38-DC79BAE0EB87}"/>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Dashboard!$EJ$4</c:f>
              <c:numCache>
                <c:formatCode>0%</c:formatCode>
                <c:ptCount val="1"/>
                <c:pt idx="0">
                  <c:v>0.33139534883720928</c:v>
                </c:pt>
              </c:numCache>
            </c:numRef>
          </c:val>
          <c:extLst>
            <c:ext xmlns:c16="http://schemas.microsoft.com/office/drawing/2014/chart" uri="{C3380CC4-5D6E-409C-BE32-E72D297353CC}">
              <c16:uniqueId val="{00000001-AB57-B146-8E38-DC79BAE0EB87}"/>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Dashboard!$EN$1</c:f>
              <c:strCache>
                <c:ptCount val="1"/>
                <c:pt idx="0">
                  <c:v>Total Completed Lateral Passes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8-2E23-F448-B3D1-C29406A0F15D}"/>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Dashboard!$EN$4</c:f>
              <c:numCache>
                <c:formatCode>0%</c:formatCode>
                <c:ptCount val="1"/>
                <c:pt idx="0">
                  <c:v>0.91603053435114501</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2E23-F448-B3D1-C29406A0F15D}"/>
            </c:ext>
          </c:extLst>
        </c:ser>
        <c:ser>
          <c:idx val="1"/>
          <c:order val="1"/>
          <c:tx>
            <c:strRef>
              <c:f>Dashboard!$EO$1</c:f>
              <c:strCache>
                <c:ptCount val="1"/>
                <c:pt idx="0">
                  <c:v>Total Uncompleted Lateral Passes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9-2E23-F448-B3D1-C29406A0F15D}"/>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Dashboard!$EO$4</c:f>
              <c:numCache>
                <c:formatCode>0%</c:formatCode>
                <c:ptCount val="1"/>
                <c:pt idx="0">
                  <c:v>8.3969465648854963E-2</c:v>
                </c:pt>
              </c:numCache>
            </c:numRef>
          </c:val>
          <c:extLst>
            <c:ext xmlns:c16="http://schemas.microsoft.com/office/drawing/2014/chart" uri="{C3380CC4-5D6E-409C-BE32-E72D297353CC}">
              <c16:uniqueId val="{00000001-2E23-F448-B3D1-C29406A0F15D}"/>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Dashboard!$EX$1</c:f>
              <c:strCache>
                <c:ptCount val="1"/>
                <c:pt idx="0">
                  <c:v>Total Completed Long Passes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F6BF-AC4A-9593-F3918659D55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Dashboard!$EX$4</c:f>
              <c:numCache>
                <c:formatCode>0%</c:formatCode>
                <c:ptCount val="1"/>
                <c:pt idx="0">
                  <c:v>0.58333333333333337</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F6BF-AC4A-9593-F3918659D559}"/>
            </c:ext>
          </c:extLst>
        </c:ser>
        <c:ser>
          <c:idx val="1"/>
          <c:order val="1"/>
          <c:tx>
            <c:strRef>
              <c:f>Dashboard!$EY$1</c:f>
              <c:strCache>
                <c:ptCount val="1"/>
                <c:pt idx="0">
                  <c:v>Total Uncompleted Long Passes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F6BF-AC4A-9593-F3918659D55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Dashboard!$EY$4</c:f>
              <c:numCache>
                <c:formatCode>0%</c:formatCode>
                <c:ptCount val="1"/>
                <c:pt idx="0">
                  <c:v>0.55555555555555558</c:v>
                </c:pt>
              </c:numCache>
            </c:numRef>
          </c:val>
          <c:extLst>
            <c:ext xmlns:c16="http://schemas.microsoft.com/office/drawing/2014/chart" uri="{C3380CC4-5D6E-409C-BE32-E72D297353CC}">
              <c16:uniqueId val="{00000001-F6BF-AC4A-9593-F3918659D559}"/>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Dashboard!$ES$1</c:f>
              <c:strCache>
                <c:ptCount val="1"/>
                <c:pt idx="0">
                  <c:v>Total Completed Backward Passes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928E-8343-9AFB-1142700B783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Dashboard!$ES$4</c:f>
              <c:numCache>
                <c:formatCode>0%</c:formatCode>
                <c:ptCount val="1"/>
                <c:pt idx="0">
                  <c:v>0.95412844036697253</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928E-8343-9AFB-1142700B7839}"/>
            </c:ext>
          </c:extLst>
        </c:ser>
        <c:ser>
          <c:idx val="1"/>
          <c:order val="1"/>
          <c:tx>
            <c:strRef>
              <c:f>Dashboard!$ET$1</c:f>
              <c:strCache>
                <c:ptCount val="1"/>
                <c:pt idx="0">
                  <c:v>Total Uncompleted Backward Passes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928E-8343-9AFB-1142700B783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Dashboard!$ET$4</c:f>
              <c:numCache>
                <c:formatCode>0%</c:formatCode>
                <c:ptCount val="1"/>
                <c:pt idx="0">
                  <c:v>4.5871559633027525E-2</c:v>
                </c:pt>
              </c:numCache>
            </c:numRef>
          </c:val>
          <c:extLst>
            <c:ext xmlns:c16="http://schemas.microsoft.com/office/drawing/2014/chart" uri="{C3380CC4-5D6E-409C-BE32-E72D297353CC}">
              <c16:uniqueId val="{00000001-928E-8343-9AFB-1142700B7839}"/>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Dashboard!$FW$1</c:f>
              <c:strCache>
                <c:ptCount val="1"/>
                <c:pt idx="0">
                  <c:v>Total Completed 1v1 %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AC77-B640-B138-34A9BFCC29F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Dashboard!$FW$4</c:f>
              <c:numCache>
                <c:formatCode>0%</c:formatCode>
                <c:ptCount val="1"/>
                <c:pt idx="0">
                  <c:v>0.76666666666666672</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AC77-B640-B138-34A9BFCC29FF}"/>
            </c:ext>
          </c:extLst>
        </c:ser>
        <c:ser>
          <c:idx val="1"/>
          <c:order val="1"/>
          <c:tx>
            <c:strRef>
              <c:f>Dashboard!$FX$1</c:f>
              <c:strCache>
                <c:ptCount val="1"/>
                <c:pt idx="0">
                  <c:v>Total Uncompleted 1v1 %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AC77-B640-B138-34A9BFCC29F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Dashboard!$FX$4</c:f>
              <c:numCache>
                <c:formatCode>0%</c:formatCode>
                <c:ptCount val="1"/>
                <c:pt idx="0">
                  <c:v>0.23333333333333334</c:v>
                </c:pt>
              </c:numCache>
            </c:numRef>
          </c:val>
          <c:extLst>
            <c:ext xmlns:c16="http://schemas.microsoft.com/office/drawing/2014/chart" uri="{C3380CC4-5D6E-409C-BE32-E72D297353CC}">
              <c16:uniqueId val="{00000001-AC77-B640-B138-34A9BFCC29FF}"/>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Dashboard!$GM$1</c:f>
              <c:strCache>
                <c:ptCount val="1"/>
                <c:pt idx="0">
                  <c:v>Total Succ Offensive duel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0C75-CC4E-9444-482D1848A95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Dashboard!$GM$4</c:f>
              <c:numCache>
                <c:formatCode>0%</c:formatCode>
                <c:ptCount val="1"/>
                <c:pt idx="0">
                  <c:v>0.85</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0C75-CC4E-9444-482D1848A95B}"/>
            </c:ext>
          </c:extLst>
        </c:ser>
        <c:ser>
          <c:idx val="1"/>
          <c:order val="1"/>
          <c:tx>
            <c:strRef>
              <c:f>Dashboard!$GN$1</c:f>
              <c:strCache>
                <c:ptCount val="1"/>
                <c:pt idx="0">
                  <c:v>Total Unsuc Offensive duel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0C75-CC4E-9444-482D1848A95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Dashboard!$GN$4</c:f>
              <c:numCache>
                <c:formatCode>0%</c:formatCode>
                <c:ptCount val="1"/>
                <c:pt idx="0">
                  <c:v>0.15</c:v>
                </c:pt>
              </c:numCache>
            </c:numRef>
          </c:val>
          <c:extLst>
            <c:ext xmlns:c16="http://schemas.microsoft.com/office/drawing/2014/chart" uri="{C3380CC4-5D6E-409C-BE32-E72D297353CC}">
              <c16:uniqueId val="{00000001-0C75-CC4E-9444-482D1848A95B}"/>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Dashboard!$HD$1</c:f>
              <c:strCache>
                <c:ptCount val="1"/>
                <c:pt idx="0">
                  <c:v>Total Succ Defensive duel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BE77-7446-8B1E-478F0E528ECA}"/>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Dashboard!$HD$4</c:f>
              <c:numCache>
                <c:formatCode>0%</c:formatCode>
                <c:ptCount val="1"/>
                <c:pt idx="0">
                  <c:v>0.47826086956521741</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BE77-7446-8B1E-478F0E528ECA}"/>
            </c:ext>
          </c:extLst>
        </c:ser>
        <c:ser>
          <c:idx val="1"/>
          <c:order val="1"/>
          <c:tx>
            <c:strRef>
              <c:f>Dashboard!$HE$1</c:f>
              <c:strCache>
                <c:ptCount val="1"/>
                <c:pt idx="0">
                  <c:v>Total Unsuc Defensive duel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BE77-7446-8B1E-478F0E528ECA}"/>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Dashboard!$HE$4</c:f>
              <c:numCache>
                <c:formatCode>0%</c:formatCode>
                <c:ptCount val="1"/>
                <c:pt idx="0">
                  <c:v>0.52173913043478259</c:v>
                </c:pt>
              </c:numCache>
            </c:numRef>
          </c:val>
          <c:extLst>
            <c:ext xmlns:c16="http://schemas.microsoft.com/office/drawing/2014/chart" uri="{C3380CC4-5D6E-409C-BE32-E72D297353CC}">
              <c16:uniqueId val="{00000001-BE77-7446-8B1E-478F0E528ECA}"/>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Dashboard!$HI$1</c:f>
              <c:strCache>
                <c:ptCount val="1"/>
                <c:pt idx="0">
                  <c:v>Total Succ Aerial duel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D6D8-6E4A-87E5-1F284C3D78D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Dashboard!$HI$4</c:f>
              <c:numCache>
                <c:formatCode>0%</c:formatCode>
                <c:ptCount val="1"/>
                <c:pt idx="0">
                  <c:v>0.44444444444444442</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D6D8-6E4A-87E5-1F284C3D78D9}"/>
            </c:ext>
          </c:extLst>
        </c:ser>
        <c:ser>
          <c:idx val="1"/>
          <c:order val="1"/>
          <c:tx>
            <c:strRef>
              <c:f>Dashboard!$HJ$1</c:f>
              <c:strCache>
                <c:ptCount val="1"/>
                <c:pt idx="0">
                  <c:v>Total Unsuc Aerial duel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D6D8-6E4A-87E5-1F284C3D78D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Dashboard!$HJ$4</c:f>
              <c:numCache>
                <c:formatCode>0%</c:formatCode>
                <c:ptCount val="1"/>
                <c:pt idx="0">
                  <c:v>0.55555555555555558</c:v>
                </c:pt>
              </c:numCache>
            </c:numRef>
          </c:val>
          <c:extLst>
            <c:ext xmlns:c16="http://schemas.microsoft.com/office/drawing/2014/chart" uri="{C3380CC4-5D6E-409C-BE32-E72D297353CC}">
              <c16:uniqueId val="{00000001-D6D8-6E4A-87E5-1F284C3D78D9}"/>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Dashboard!$HX$1</c:f>
              <c:strCache>
                <c:ptCount val="1"/>
                <c:pt idx="0">
                  <c:v>Total Succ 2nd Ball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CA91-E749-9BD0-CE64EA531071}"/>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Dashboard!$HX$4</c:f>
              <c:numCache>
                <c:formatCode>0%</c:formatCode>
                <c:ptCount val="1"/>
                <c:pt idx="0">
                  <c:v>0.54545454545454541</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CA91-E749-9BD0-CE64EA531071}"/>
            </c:ext>
          </c:extLst>
        </c:ser>
        <c:ser>
          <c:idx val="1"/>
          <c:order val="1"/>
          <c:tx>
            <c:strRef>
              <c:f>Dashboard!$HY$1</c:f>
              <c:strCache>
                <c:ptCount val="1"/>
                <c:pt idx="0">
                  <c:v>Total Unsuc 2nd Ball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CA91-E749-9BD0-CE64EA531071}"/>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Dashboard!$HY$4</c:f>
              <c:numCache>
                <c:formatCode>0%</c:formatCode>
                <c:ptCount val="1"/>
                <c:pt idx="0">
                  <c:v>0.45454545454545453</c:v>
                </c:pt>
              </c:numCache>
            </c:numRef>
          </c:val>
          <c:extLst>
            <c:ext xmlns:c16="http://schemas.microsoft.com/office/drawing/2014/chart" uri="{C3380CC4-5D6E-409C-BE32-E72D297353CC}">
              <c16:uniqueId val="{00000001-CA91-E749-9BD0-CE64EA531071}"/>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Dashboard!$HN$1</c:f>
              <c:strCache>
                <c:ptCount val="1"/>
                <c:pt idx="0">
                  <c:v>Total Succ 1v1 Defence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BADC-AC42-A90E-2A1D3BA7AC9E}"/>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Dashboard!$HN$4</c:f>
              <c:numCache>
                <c:formatCode>0%</c:formatCode>
                <c:ptCount val="1"/>
                <c:pt idx="0">
                  <c:v>0.14285714285714285</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BADC-AC42-A90E-2A1D3BA7AC9E}"/>
            </c:ext>
          </c:extLst>
        </c:ser>
        <c:ser>
          <c:idx val="1"/>
          <c:order val="1"/>
          <c:tx>
            <c:strRef>
              <c:f>Dashboard!$HO$1</c:f>
              <c:strCache>
                <c:ptCount val="1"/>
                <c:pt idx="0">
                  <c:v>Total Unsuc 1v1 Defence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BADC-AC42-A90E-2A1D3BA7AC9E}"/>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Dashboard!$HO$4</c:f>
              <c:numCache>
                <c:formatCode>0%</c:formatCode>
                <c:ptCount val="1"/>
                <c:pt idx="0">
                  <c:v>0.8571428571428571</c:v>
                </c:pt>
              </c:numCache>
            </c:numRef>
          </c:val>
          <c:extLst>
            <c:ext xmlns:c16="http://schemas.microsoft.com/office/drawing/2014/chart" uri="{C3380CC4-5D6E-409C-BE32-E72D297353CC}">
              <c16:uniqueId val="{00000001-BADC-AC42-A90E-2A1D3BA7AC9E}"/>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Dashboard!$HS$1</c:f>
              <c:strCache>
                <c:ptCount val="1"/>
                <c:pt idx="0">
                  <c:v>Total Succ Tackles %</c:v>
                </c:pt>
              </c:strCache>
            </c:strRef>
          </c:tx>
          <c:spPr>
            <a:solidFill>
              <a:schemeClr val="accent6"/>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4728-0C4C-B6D5-905FFF755133}"/>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Dashboard!$HS$4</c:f>
              <c:numCache>
                <c:formatCode>0%</c:formatCode>
                <c:ptCount val="1"/>
                <c:pt idx="0">
                  <c:v>0.44444444444444442</c:v>
                </c:pt>
              </c:numCache>
            </c:numRef>
          </c:val>
          <c:extLst>
            <c:ext xmlns:c15="http://schemas.microsoft.com/office/drawing/2012/chart" uri="{02D57815-91ED-43cb-92C2-25804820EDAC}">
              <c15:filteredCategoryTitle>
                <c15:cat>
                  <c:multiLvlStrRef>
                    <c:extLst>
                      <c:ext uri="{02D57815-91ED-43cb-92C2-25804820EDAC}">
                        <c15:formulaRef>
                          <c15:sqref>(#REF!,#REF!)</c15:sqref>
                        </c15:formulaRef>
                      </c:ext>
                    </c:extLst>
                  </c:multiLvlStrRef>
                </c15:cat>
              </c15:filteredCategoryTitle>
            </c:ext>
            <c:ext xmlns:c16="http://schemas.microsoft.com/office/drawing/2014/chart" uri="{C3380CC4-5D6E-409C-BE32-E72D297353CC}">
              <c16:uniqueId val="{00000000-4728-0C4C-B6D5-905FFF755133}"/>
            </c:ext>
          </c:extLst>
        </c:ser>
        <c:ser>
          <c:idx val="1"/>
          <c:order val="1"/>
          <c:tx>
            <c:strRef>
              <c:f>Dashboard!$HT$1</c:f>
              <c:strCache>
                <c:ptCount val="1"/>
                <c:pt idx="0">
                  <c:v>Total Unsuc Tackles %</c:v>
                </c:pt>
              </c:strCache>
            </c:strRef>
          </c:tx>
          <c:spPr>
            <a:solidFill>
              <a:srgbClr val="C000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4728-0C4C-B6D5-905FFF755133}"/>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DIN Alternate" panose="020B0500000000000000" pitchFamily="34" charset="77"/>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Dashboard!$HT$4</c:f>
              <c:numCache>
                <c:formatCode>0%</c:formatCode>
                <c:ptCount val="1"/>
                <c:pt idx="0">
                  <c:v>0.55555555555555558</c:v>
                </c:pt>
              </c:numCache>
            </c:numRef>
          </c:val>
          <c:extLst>
            <c:ext xmlns:c16="http://schemas.microsoft.com/office/drawing/2014/chart" uri="{C3380CC4-5D6E-409C-BE32-E72D297353CC}">
              <c16:uniqueId val="{00000001-4728-0C4C-B6D5-905FFF755133}"/>
            </c:ext>
          </c:extLst>
        </c:ser>
        <c:dLbls>
          <c:showLegendKey val="0"/>
          <c:showVal val="0"/>
          <c:showCatName val="0"/>
          <c:showSerName val="0"/>
          <c:showPercent val="0"/>
          <c:showBubbleSize val="0"/>
        </c:dLbls>
        <c:gapWidth val="200"/>
        <c:overlap val="100"/>
        <c:axId val="609054527"/>
        <c:axId val="609042431"/>
      </c:barChart>
      <c:catAx>
        <c:axId val="609054527"/>
        <c:scaling>
          <c:orientation val="minMax"/>
        </c:scaling>
        <c:delete val="1"/>
        <c:axPos val="l"/>
        <c:numFmt formatCode="General" sourceLinked="1"/>
        <c:majorTickMark val="none"/>
        <c:minorTickMark val="none"/>
        <c:tickLblPos val="nextTo"/>
        <c:crossAx val="609042431"/>
        <c:crosses val="autoZero"/>
        <c:auto val="1"/>
        <c:lblAlgn val="ctr"/>
        <c:lblOffset val="100"/>
        <c:noMultiLvlLbl val="0"/>
      </c:catAx>
      <c:valAx>
        <c:axId val="609042431"/>
        <c:scaling>
          <c:orientation val="minMax"/>
          <c:max val="1"/>
          <c:min val="0"/>
        </c:scaling>
        <c:delete val="1"/>
        <c:axPos val="b"/>
        <c:numFmt formatCode="0%" sourceLinked="1"/>
        <c:majorTickMark val="out"/>
        <c:minorTickMark val="none"/>
        <c:tickLblPos val="nextTo"/>
        <c:crossAx val="60905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chart" Target="../charts/chart10.xml"/><Relationship Id="rId18" Type="http://schemas.openxmlformats.org/officeDocument/2006/relationships/chart" Target="../charts/chart15.xml"/><Relationship Id="rId26" Type="http://schemas.openxmlformats.org/officeDocument/2006/relationships/chart" Target="../charts/chart23.xml"/><Relationship Id="rId3" Type="http://schemas.openxmlformats.org/officeDocument/2006/relationships/image" Target="../media/image30.png"/><Relationship Id="rId21" Type="http://schemas.openxmlformats.org/officeDocument/2006/relationships/chart" Target="../charts/chart18.xml"/><Relationship Id="rId7" Type="http://schemas.openxmlformats.org/officeDocument/2006/relationships/chart" Target="../charts/chart4.xml"/><Relationship Id="rId12" Type="http://schemas.openxmlformats.org/officeDocument/2006/relationships/chart" Target="../charts/chart9.xml"/><Relationship Id="rId17" Type="http://schemas.openxmlformats.org/officeDocument/2006/relationships/chart" Target="../charts/chart14.xml"/><Relationship Id="rId25" Type="http://schemas.openxmlformats.org/officeDocument/2006/relationships/chart" Target="../charts/chart22.xml"/><Relationship Id="rId2" Type="http://schemas.openxmlformats.org/officeDocument/2006/relationships/customXml" Target="../ink/ink1.xml"/><Relationship Id="rId16" Type="http://schemas.openxmlformats.org/officeDocument/2006/relationships/chart" Target="../charts/chart13.xml"/><Relationship Id="rId20" Type="http://schemas.openxmlformats.org/officeDocument/2006/relationships/chart" Target="../charts/chart17.xml"/><Relationship Id="rId29" Type="http://schemas.openxmlformats.org/officeDocument/2006/relationships/customXml" Target="../ink/ink3.xml"/><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chart" Target="../charts/chart8.xml"/><Relationship Id="rId24" Type="http://schemas.openxmlformats.org/officeDocument/2006/relationships/chart" Target="../charts/chart21.xml"/><Relationship Id="rId5" Type="http://schemas.openxmlformats.org/officeDocument/2006/relationships/chart" Target="../charts/chart2.xml"/><Relationship Id="rId15" Type="http://schemas.openxmlformats.org/officeDocument/2006/relationships/chart" Target="../charts/chart12.xml"/><Relationship Id="rId23" Type="http://schemas.openxmlformats.org/officeDocument/2006/relationships/chart" Target="../charts/chart20.xml"/><Relationship Id="rId28" Type="http://schemas.openxmlformats.org/officeDocument/2006/relationships/chart" Target="../charts/chart25.xml"/><Relationship Id="rId10" Type="http://schemas.openxmlformats.org/officeDocument/2006/relationships/chart" Target="../charts/chart7.xml"/><Relationship Id="rId19" Type="http://schemas.openxmlformats.org/officeDocument/2006/relationships/chart" Target="../charts/chart16.xml"/><Relationship Id="rId4" Type="http://schemas.openxmlformats.org/officeDocument/2006/relationships/customXml" Target="../ink/ink2.xml"/><Relationship Id="rId9" Type="http://schemas.openxmlformats.org/officeDocument/2006/relationships/chart" Target="../charts/chart6.xml"/><Relationship Id="rId14" Type="http://schemas.openxmlformats.org/officeDocument/2006/relationships/chart" Target="../charts/chart11.xml"/><Relationship Id="rId22" Type="http://schemas.openxmlformats.org/officeDocument/2006/relationships/chart" Target="../charts/chart19.xml"/><Relationship Id="rId27" Type="http://schemas.openxmlformats.org/officeDocument/2006/relationships/chart" Target="../charts/chart24.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4</xdr:col>
      <xdr:colOff>497810</xdr:colOff>
      <xdr:row>7</xdr:row>
      <xdr:rowOff>136919</xdr:rowOff>
    </xdr:from>
    <xdr:to>
      <xdr:col>7</xdr:col>
      <xdr:colOff>546100</xdr:colOff>
      <xdr:row>14</xdr:row>
      <xdr:rowOff>114300</xdr:rowOff>
    </xdr:to>
    <xdr:graphicFrame macro="">
      <xdr:nvGraphicFramePr>
        <xdr:cNvPr id="2" name="Chart 1">
          <a:extLst>
            <a:ext uri="{FF2B5EF4-FFF2-40B4-BE49-F238E27FC236}">
              <a16:creationId xmlns:a16="http://schemas.microsoft.com/office/drawing/2014/main" id="{980FE49B-C15C-D348-BB03-4193CA0161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32320</xdr:colOff>
      <xdr:row>5</xdr:row>
      <xdr:rowOff>216380</xdr:rowOff>
    </xdr:from>
    <xdr:to>
      <xdr:col>15</xdr:col>
      <xdr:colOff>64640</xdr:colOff>
      <xdr:row>5</xdr:row>
      <xdr:rowOff>216740</xdr:rowOff>
    </xdr:to>
    <mc:AlternateContent xmlns:mc="http://schemas.openxmlformats.org/markup-compatibility/2006" xmlns:xdr14="http://schemas.microsoft.com/office/excel/2010/spreadsheetDrawing">
      <mc:Choice Requires="xdr14">
        <xdr:contentPart xmlns:r="http://schemas.openxmlformats.org/officeDocument/2006/relationships" r:id="rId2">
          <xdr14:nvContentPartPr>
            <xdr14:cNvPr id="3" name="Ink 2">
              <a:extLst>
                <a:ext uri="{FF2B5EF4-FFF2-40B4-BE49-F238E27FC236}">
                  <a16:creationId xmlns:a16="http://schemas.microsoft.com/office/drawing/2014/main" id="{66784579-C7C7-F24D-8913-BA9E3851817D}"/>
                </a:ext>
              </a:extLst>
            </xdr14:cNvPr>
            <xdr14:cNvContentPartPr/>
          </xdr14:nvContentPartPr>
          <xdr14:nvPr macro=""/>
          <xdr14:xfrm>
            <a:off x="8363520" y="533880"/>
            <a:ext cx="360" cy="360"/>
          </xdr14:xfrm>
        </xdr:contentPart>
      </mc:Choice>
      <mc:Fallback xmlns="">
        <xdr:pic>
          <xdr:nvPicPr>
            <xdr:cNvPr id="3" name="Ink 2">
              <a:extLst>
                <a:ext uri="{FF2B5EF4-FFF2-40B4-BE49-F238E27FC236}">
                  <a16:creationId xmlns:a16="http://schemas.microsoft.com/office/drawing/2014/main" id="{EAAE4234-4954-F27B-9762-C3BC13D4D555}"/>
                </a:ext>
              </a:extLst>
            </xdr:cNvPr>
            <xdr:cNvPicPr/>
          </xdr:nvPicPr>
          <xdr:blipFill>
            <a:blip xmlns:r="http://schemas.openxmlformats.org/officeDocument/2006/relationships" r:embed="rId3"/>
            <a:stretch>
              <a:fillRect/>
            </a:stretch>
          </xdr:blipFill>
          <xdr:spPr>
            <a:xfrm>
              <a:off x="8354880" y="524880"/>
              <a:ext cx="18000" cy="18000"/>
            </a:xfrm>
            <a:prstGeom prst="rect">
              <a:avLst/>
            </a:prstGeom>
          </xdr:spPr>
        </xdr:pic>
      </mc:Fallback>
    </mc:AlternateContent>
    <xdr:clientData/>
  </xdr:twoCellAnchor>
  <xdr:twoCellAnchor editAs="oneCell">
    <xdr:from>
      <xdr:col>7</xdr:col>
      <xdr:colOff>418900</xdr:colOff>
      <xdr:row>14</xdr:row>
      <xdr:rowOff>0</xdr:rowOff>
    </xdr:from>
    <xdr:to>
      <xdr:col>7</xdr:col>
      <xdr:colOff>419260</xdr:colOff>
      <xdr:row>14</xdr:row>
      <xdr:rowOff>360</xdr:rowOff>
    </xdr:to>
    <mc:AlternateContent xmlns:mc="http://schemas.openxmlformats.org/markup-compatibility/2006" xmlns:xdr14="http://schemas.microsoft.com/office/excel/2010/spreadsheetDrawing">
      <mc:Choice Requires="xdr14">
        <xdr:contentPart xmlns:r="http://schemas.openxmlformats.org/officeDocument/2006/relationships" r:id="rId4">
          <xdr14:nvContentPartPr>
            <xdr14:cNvPr id="4" name="Ink 3">
              <a:extLst>
                <a:ext uri="{FF2B5EF4-FFF2-40B4-BE49-F238E27FC236}">
                  <a16:creationId xmlns:a16="http://schemas.microsoft.com/office/drawing/2014/main" id="{E3A3835F-11C9-C14D-9D98-FB2250A4A1AA}"/>
                </a:ext>
              </a:extLst>
            </xdr14:cNvPr>
            <xdr14:cNvContentPartPr/>
          </xdr14:nvContentPartPr>
          <xdr14:nvPr macro=""/>
          <xdr14:xfrm>
            <a:off x="4597200" y="3710520"/>
            <a:ext cx="360" cy="360"/>
          </xdr14:xfrm>
        </xdr:contentPart>
      </mc:Choice>
      <mc:Fallback xmlns="">
        <xdr:pic>
          <xdr:nvPicPr>
            <xdr:cNvPr id="6" name="Ink 5">
              <a:extLst>
                <a:ext uri="{FF2B5EF4-FFF2-40B4-BE49-F238E27FC236}">
                  <a16:creationId xmlns:a16="http://schemas.microsoft.com/office/drawing/2014/main" id="{7F6200B5-2365-3705-236F-77DF4E506623}"/>
                </a:ext>
              </a:extLst>
            </xdr:cNvPr>
            <xdr:cNvPicPr/>
          </xdr:nvPicPr>
          <xdr:blipFill>
            <a:blip xmlns:r="http://schemas.openxmlformats.org/officeDocument/2006/relationships" r:embed="rId3"/>
            <a:stretch>
              <a:fillRect/>
            </a:stretch>
          </xdr:blipFill>
          <xdr:spPr>
            <a:xfrm>
              <a:off x="4588200" y="3701520"/>
              <a:ext cx="18000" cy="18000"/>
            </a:xfrm>
            <a:prstGeom prst="rect">
              <a:avLst/>
            </a:prstGeom>
          </xdr:spPr>
        </xdr:pic>
      </mc:Fallback>
    </mc:AlternateContent>
    <xdr:clientData/>
  </xdr:twoCellAnchor>
  <xdr:twoCellAnchor>
    <xdr:from>
      <xdr:col>10</xdr:col>
      <xdr:colOff>465517</xdr:colOff>
      <xdr:row>12</xdr:row>
      <xdr:rowOff>108624</xdr:rowOff>
    </xdr:from>
    <xdr:to>
      <xdr:col>19</xdr:col>
      <xdr:colOff>243340</xdr:colOff>
      <xdr:row>16</xdr:row>
      <xdr:rowOff>94953</xdr:rowOff>
    </xdr:to>
    <xdr:graphicFrame macro="">
      <xdr:nvGraphicFramePr>
        <xdr:cNvPr id="5" name="Chart 4">
          <a:extLst>
            <a:ext uri="{FF2B5EF4-FFF2-40B4-BE49-F238E27FC236}">
              <a16:creationId xmlns:a16="http://schemas.microsoft.com/office/drawing/2014/main" id="{3E3968B4-6E9E-E04C-BB36-1F06EAF7C7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188016</xdr:colOff>
      <xdr:row>23</xdr:row>
      <xdr:rowOff>214715</xdr:rowOff>
    </xdr:from>
    <xdr:to>
      <xdr:col>11</xdr:col>
      <xdr:colOff>397200</xdr:colOff>
      <xdr:row>29</xdr:row>
      <xdr:rowOff>25631</xdr:rowOff>
    </xdr:to>
    <xdr:graphicFrame macro="">
      <xdr:nvGraphicFramePr>
        <xdr:cNvPr id="6" name="Chart 5">
          <a:extLst>
            <a:ext uri="{FF2B5EF4-FFF2-40B4-BE49-F238E27FC236}">
              <a16:creationId xmlns:a16="http://schemas.microsoft.com/office/drawing/2014/main" id="{DF4E0C4B-4DF5-3041-B571-5E7F96A60B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552061</xdr:colOff>
      <xdr:row>23</xdr:row>
      <xdr:rowOff>160779</xdr:rowOff>
    </xdr:from>
    <xdr:to>
      <xdr:col>20</xdr:col>
      <xdr:colOff>184498</xdr:colOff>
      <xdr:row>28</xdr:row>
      <xdr:rowOff>280251</xdr:rowOff>
    </xdr:to>
    <xdr:graphicFrame macro="">
      <xdr:nvGraphicFramePr>
        <xdr:cNvPr id="7" name="Chart 6">
          <a:extLst>
            <a:ext uri="{FF2B5EF4-FFF2-40B4-BE49-F238E27FC236}">
              <a16:creationId xmlns:a16="http://schemas.microsoft.com/office/drawing/2014/main" id="{74497941-47EC-0041-A932-621821FA60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314138</xdr:colOff>
      <xdr:row>36</xdr:row>
      <xdr:rowOff>0</xdr:rowOff>
    </xdr:from>
    <xdr:to>
      <xdr:col>14</xdr:col>
      <xdr:colOff>439559</xdr:colOff>
      <xdr:row>40</xdr:row>
      <xdr:rowOff>0</xdr:rowOff>
    </xdr:to>
    <xdr:graphicFrame macro="">
      <xdr:nvGraphicFramePr>
        <xdr:cNvPr id="8" name="Chart 7">
          <a:extLst>
            <a:ext uri="{FF2B5EF4-FFF2-40B4-BE49-F238E27FC236}">
              <a16:creationId xmlns:a16="http://schemas.microsoft.com/office/drawing/2014/main" id="{4D5E9722-0D7C-8C47-B460-82545268CD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335202</xdr:colOff>
      <xdr:row>36</xdr:row>
      <xdr:rowOff>0</xdr:rowOff>
    </xdr:from>
    <xdr:to>
      <xdr:col>10</xdr:col>
      <xdr:colOff>564443</xdr:colOff>
      <xdr:row>40</xdr:row>
      <xdr:rowOff>0</xdr:rowOff>
    </xdr:to>
    <xdr:graphicFrame macro="">
      <xdr:nvGraphicFramePr>
        <xdr:cNvPr id="12" name="Chart 11">
          <a:extLst>
            <a:ext uri="{FF2B5EF4-FFF2-40B4-BE49-F238E27FC236}">
              <a16:creationId xmlns:a16="http://schemas.microsoft.com/office/drawing/2014/main" id="{68CD0C92-C395-F64B-9182-097AD2E15A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457656</xdr:colOff>
      <xdr:row>18</xdr:row>
      <xdr:rowOff>251711</xdr:rowOff>
    </xdr:from>
    <xdr:to>
      <xdr:col>19</xdr:col>
      <xdr:colOff>235479</xdr:colOff>
      <xdr:row>22</xdr:row>
      <xdr:rowOff>201776</xdr:rowOff>
    </xdr:to>
    <xdr:graphicFrame macro="">
      <xdr:nvGraphicFramePr>
        <xdr:cNvPr id="15" name="Chart 14">
          <a:extLst>
            <a:ext uri="{FF2B5EF4-FFF2-40B4-BE49-F238E27FC236}">
              <a16:creationId xmlns:a16="http://schemas.microsoft.com/office/drawing/2014/main" id="{5AEFEF4F-D175-484C-B565-4778AFF02F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411891</xdr:colOff>
      <xdr:row>15</xdr:row>
      <xdr:rowOff>91531</xdr:rowOff>
    </xdr:from>
    <xdr:to>
      <xdr:col>19</xdr:col>
      <xdr:colOff>189714</xdr:colOff>
      <xdr:row>19</xdr:row>
      <xdr:rowOff>205699</xdr:rowOff>
    </xdr:to>
    <xdr:graphicFrame macro="">
      <xdr:nvGraphicFramePr>
        <xdr:cNvPr id="16" name="Chart 15">
          <a:extLst>
            <a:ext uri="{FF2B5EF4-FFF2-40B4-BE49-F238E27FC236}">
              <a16:creationId xmlns:a16="http://schemas.microsoft.com/office/drawing/2014/main" id="{83B0318B-FFF8-5344-8EF1-F8281269C7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305441</xdr:colOff>
      <xdr:row>36</xdr:row>
      <xdr:rowOff>51955</xdr:rowOff>
    </xdr:from>
    <xdr:to>
      <xdr:col>22</xdr:col>
      <xdr:colOff>154196</xdr:colOff>
      <xdr:row>40</xdr:row>
      <xdr:rowOff>0</xdr:rowOff>
    </xdr:to>
    <xdr:graphicFrame macro="">
      <xdr:nvGraphicFramePr>
        <xdr:cNvPr id="19" name="Chart 18">
          <a:extLst>
            <a:ext uri="{FF2B5EF4-FFF2-40B4-BE49-F238E27FC236}">
              <a16:creationId xmlns:a16="http://schemas.microsoft.com/office/drawing/2014/main" id="{71B21EDB-5A46-234C-9853-A38011FF98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595754</xdr:colOff>
      <xdr:row>34</xdr:row>
      <xdr:rowOff>80838</xdr:rowOff>
    </xdr:from>
    <xdr:to>
      <xdr:col>15</xdr:col>
      <xdr:colOff>498899</xdr:colOff>
      <xdr:row>36</xdr:row>
      <xdr:rowOff>281144</xdr:rowOff>
    </xdr:to>
    <xdr:graphicFrame macro="">
      <xdr:nvGraphicFramePr>
        <xdr:cNvPr id="20" name="Chart 19">
          <a:extLst>
            <a:ext uri="{FF2B5EF4-FFF2-40B4-BE49-F238E27FC236}">
              <a16:creationId xmlns:a16="http://schemas.microsoft.com/office/drawing/2014/main" id="{EAF5747D-82C8-354E-9E18-642B5E9D94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403004</xdr:colOff>
      <xdr:row>34</xdr:row>
      <xdr:rowOff>65213</xdr:rowOff>
    </xdr:from>
    <xdr:to>
      <xdr:col>8</xdr:col>
      <xdr:colOff>130995</xdr:colOff>
      <xdr:row>36</xdr:row>
      <xdr:rowOff>245362</xdr:rowOff>
    </xdr:to>
    <xdr:graphicFrame macro="">
      <xdr:nvGraphicFramePr>
        <xdr:cNvPr id="21" name="Chart 20">
          <a:extLst>
            <a:ext uri="{FF2B5EF4-FFF2-40B4-BE49-F238E27FC236}">
              <a16:creationId xmlns:a16="http://schemas.microsoft.com/office/drawing/2014/main" id="{2AD0513B-2C21-7E47-9710-408917CBC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15</xdr:col>
      <xdr:colOff>475870</xdr:colOff>
      <xdr:row>34</xdr:row>
      <xdr:rowOff>202555</xdr:rowOff>
    </xdr:from>
    <xdr:to>
      <xdr:col>22</xdr:col>
      <xdr:colOff>67862</xdr:colOff>
      <xdr:row>36</xdr:row>
      <xdr:rowOff>135725</xdr:rowOff>
    </xdr:to>
    <xdr:graphicFrame macro="">
      <xdr:nvGraphicFramePr>
        <xdr:cNvPr id="22" name="Chart 21">
          <a:extLst>
            <a:ext uri="{FF2B5EF4-FFF2-40B4-BE49-F238E27FC236}">
              <a16:creationId xmlns:a16="http://schemas.microsoft.com/office/drawing/2014/main" id="{038A862A-4FB7-6E4B-9313-152E933B9F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22</xdr:col>
      <xdr:colOff>431468</xdr:colOff>
      <xdr:row>34</xdr:row>
      <xdr:rowOff>74336</xdr:rowOff>
    </xdr:from>
    <xdr:to>
      <xdr:col>28</xdr:col>
      <xdr:colOff>229693</xdr:colOff>
      <xdr:row>36</xdr:row>
      <xdr:rowOff>213282</xdr:rowOff>
    </xdr:to>
    <xdr:graphicFrame macro="">
      <xdr:nvGraphicFramePr>
        <xdr:cNvPr id="25" name="Chart 24">
          <a:extLst>
            <a:ext uri="{FF2B5EF4-FFF2-40B4-BE49-F238E27FC236}">
              <a16:creationId xmlns:a16="http://schemas.microsoft.com/office/drawing/2014/main" id="{9A4529CD-73B6-8A46-A60B-6527A43109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419698</xdr:colOff>
      <xdr:row>47</xdr:row>
      <xdr:rowOff>146638</xdr:rowOff>
    </xdr:from>
    <xdr:to>
      <xdr:col>15</xdr:col>
      <xdr:colOff>190174</xdr:colOff>
      <xdr:row>49</xdr:row>
      <xdr:rowOff>204180</xdr:rowOff>
    </xdr:to>
    <xdr:graphicFrame macro="">
      <xdr:nvGraphicFramePr>
        <xdr:cNvPr id="10" name="Chart 9">
          <a:extLst>
            <a:ext uri="{FF2B5EF4-FFF2-40B4-BE49-F238E27FC236}">
              <a16:creationId xmlns:a16="http://schemas.microsoft.com/office/drawing/2014/main" id="{957C4FAA-DF1D-2446-9A8C-83794A1F3E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6</xdr:col>
      <xdr:colOff>404227</xdr:colOff>
      <xdr:row>47</xdr:row>
      <xdr:rowOff>154627</xdr:rowOff>
    </xdr:from>
    <xdr:to>
      <xdr:col>10</xdr:col>
      <xdr:colOff>151613</xdr:colOff>
      <xdr:row>49</xdr:row>
      <xdr:rowOff>212169</xdr:rowOff>
    </xdr:to>
    <xdr:graphicFrame macro="">
      <xdr:nvGraphicFramePr>
        <xdr:cNvPr id="11" name="Chart 10">
          <a:extLst>
            <a:ext uri="{FF2B5EF4-FFF2-40B4-BE49-F238E27FC236}">
              <a16:creationId xmlns:a16="http://schemas.microsoft.com/office/drawing/2014/main" id="{9CB86484-39B1-B443-8537-0325C0657C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6</xdr:col>
      <xdr:colOff>360020</xdr:colOff>
      <xdr:row>50</xdr:row>
      <xdr:rowOff>131477</xdr:rowOff>
    </xdr:from>
    <xdr:to>
      <xdr:col>10</xdr:col>
      <xdr:colOff>107406</xdr:colOff>
      <xdr:row>52</xdr:row>
      <xdr:rowOff>189019</xdr:rowOff>
    </xdr:to>
    <xdr:graphicFrame macro="">
      <xdr:nvGraphicFramePr>
        <xdr:cNvPr id="18" name="Chart 17">
          <a:extLst>
            <a:ext uri="{FF2B5EF4-FFF2-40B4-BE49-F238E27FC236}">
              <a16:creationId xmlns:a16="http://schemas.microsoft.com/office/drawing/2014/main" id="{94F78F79-1357-F643-9E20-3000DB5096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10</xdr:col>
      <xdr:colOff>423919</xdr:colOff>
      <xdr:row>50</xdr:row>
      <xdr:rowOff>144797</xdr:rowOff>
    </xdr:from>
    <xdr:to>
      <xdr:col>15</xdr:col>
      <xdr:colOff>194395</xdr:colOff>
      <xdr:row>52</xdr:row>
      <xdr:rowOff>202339</xdr:rowOff>
    </xdr:to>
    <xdr:graphicFrame macro="">
      <xdr:nvGraphicFramePr>
        <xdr:cNvPr id="23" name="Chart 22">
          <a:extLst>
            <a:ext uri="{FF2B5EF4-FFF2-40B4-BE49-F238E27FC236}">
              <a16:creationId xmlns:a16="http://schemas.microsoft.com/office/drawing/2014/main" id="{330CA6B4-E558-E443-8C44-D7B4418E7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xdr:col>
      <xdr:colOff>416800</xdr:colOff>
      <xdr:row>47</xdr:row>
      <xdr:rowOff>123511</xdr:rowOff>
    </xdr:from>
    <xdr:to>
      <xdr:col>6</xdr:col>
      <xdr:colOff>164185</xdr:colOff>
      <xdr:row>49</xdr:row>
      <xdr:rowOff>181053</xdr:rowOff>
    </xdr:to>
    <xdr:graphicFrame macro="">
      <xdr:nvGraphicFramePr>
        <xdr:cNvPr id="24" name="Chart 23">
          <a:extLst>
            <a:ext uri="{FF2B5EF4-FFF2-40B4-BE49-F238E27FC236}">
              <a16:creationId xmlns:a16="http://schemas.microsoft.com/office/drawing/2014/main" id="{AF9CDDF9-A8A8-454C-BF22-E3A1C3FF0B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15</xdr:col>
      <xdr:colOff>442471</xdr:colOff>
      <xdr:row>53</xdr:row>
      <xdr:rowOff>185229</xdr:rowOff>
    </xdr:from>
    <xdr:to>
      <xdr:col>19</xdr:col>
      <xdr:colOff>191422</xdr:colOff>
      <xdr:row>55</xdr:row>
      <xdr:rowOff>242772</xdr:rowOff>
    </xdr:to>
    <xdr:graphicFrame macro="">
      <xdr:nvGraphicFramePr>
        <xdr:cNvPr id="26" name="Chart 25">
          <a:extLst>
            <a:ext uri="{FF2B5EF4-FFF2-40B4-BE49-F238E27FC236}">
              <a16:creationId xmlns:a16="http://schemas.microsoft.com/office/drawing/2014/main" id="{2F2C7F72-1614-3047-9B6C-28C015443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6</xdr:col>
      <xdr:colOff>366011</xdr:colOff>
      <xdr:row>53</xdr:row>
      <xdr:rowOff>199287</xdr:rowOff>
    </xdr:from>
    <xdr:to>
      <xdr:col>10</xdr:col>
      <xdr:colOff>113397</xdr:colOff>
      <xdr:row>55</xdr:row>
      <xdr:rowOff>256830</xdr:rowOff>
    </xdr:to>
    <xdr:graphicFrame macro="">
      <xdr:nvGraphicFramePr>
        <xdr:cNvPr id="27" name="Chart 26">
          <a:extLst>
            <a:ext uri="{FF2B5EF4-FFF2-40B4-BE49-F238E27FC236}">
              <a16:creationId xmlns:a16="http://schemas.microsoft.com/office/drawing/2014/main" id="{95161DFE-95F2-034E-B3AF-453EF4ECB6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15</xdr:col>
      <xdr:colOff>420338</xdr:colOff>
      <xdr:row>47</xdr:row>
      <xdr:rowOff>112696</xdr:rowOff>
    </xdr:from>
    <xdr:to>
      <xdr:col>19</xdr:col>
      <xdr:colOff>167723</xdr:colOff>
      <xdr:row>49</xdr:row>
      <xdr:rowOff>170238</xdr:rowOff>
    </xdr:to>
    <xdr:graphicFrame macro="">
      <xdr:nvGraphicFramePr>
        <xdr:cNvPr id="28" name="Chart 27">
          <a:extLst>
            <a:ext uri="{FF2B5EF4-FFF2-40B4-BE49-F238E27FC236}">
              <a16:creationId xmlns:a16="http://schemas.microsoft.com/office/drawing/2014/main" id="{75E6D6E2-4037-A74E-AF63-0252F6A7C9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19</xdr:col>
      <xdr:colOff>429266</xdr:colOff>
      <xdr:row>47</xdr:row>
      <xdr:rowOff>137346</xdr:rowOff>
    </xdr:from>
    <xdr:to>
      <xdr:col>23</xdr:col>
      <xdr:colOff>176652</xdr:colOff>
      <xdr:row>49</xdr:row>
      <xdr:rowOff>191016</xdr:rowOff>
    </xdr:to>
    <xdr:graphicFrame macro="">
      <xdr:nvGraphicFramePr>
        <xdr:cNvPr id="29" name="Chart 28">
          <a:extLst>
            <a:ext uri="{FF2B5EF4-FFF2-40B4-BE49-F238E27FC236}">
              <a16:creationId xmlns:a16="http://schemas.microsoft.com/office/drawing/2014/main" id="{A3A67A12-5075-E44D-98D0-6E1BD64923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19</xdr:col>
      <xdr:colOff>398401</xdr:colOff>
      <xdr:row>50</xdr:row>
      <xdr:rowOff>166948</xdr:rowOff>
    </xdr:from>
    <xdr:to>
      <xdr:col>23</xdr:col>
      <xdr:colOff>145787</xdr:colOff>
      <xdr:row>52</xdr:row>
      <xdr:rowOff>220618</xdr:rowOff>
    </xdr:to>
    <xdr:graphicFrame macro="">
      <xdr:nvGraphicFramePr>
        <xdr:cNvPr id="30" name="Chart 29">
          <a:extLst>
            <a:ext uri="{FF2B5EF4-FFF2-40B4-BE49-F238E27FC236}">
              <a16:creationId xmlns:a16="http://schemas.microsoft.com/office/drawing/2014/main" id="{9F57FB6F-7F8D-C741-A14D-6AC881F722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19</xdr:col>
      <xdr:colOff>383753</xdr:colOff>
      <xdr:row>53</xdr:row>
      <xdr:rowOff>156183</xdr:rowOff>
    </xdr:from>
    <xdr:to>
      <xdr:col>23</xdr:col>
      <xdr:colOff>131137</xdr:colOff>
      <xdr:row>55</xdr:row>
      <xdr:rowOff>213726</xdr:rowOff>
    </xdr:to>
    <xdr:graphicFrame macro="">
      <xdr:nvGraphicFramePr>
        <xdr:cNvPr id="31" name="Chart 30">
          <a:extLst>
            <a:ext uri="{FF2B5EF4-FFF2-40B4-BE49-F238E27FC236}">
              <a16:creationId xmlns:a16="http://schemas.microsoft.com/office/drawing/2014/main" id="{6EB1C423-37A0-E845-8E35-F038537E0E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15</xdr:col>
      <xdr:colOff>438144</xdr:colOff>
      <xdr:row>50</xdr:row>
      <xdr:rowOff>152756</xdr:rowOff>
    </xdr:from>
    <xdr:to>
      <xdr:col>19</xdr:col>
      <xdr:colOff>185529</xdr:colOff>
      <xdr:row>52</xdr:row>
      <xdr:rowOff>210298</xdr:rowOff>
    </xdr:to>
    <xdr:graphicFrame macro="">
      <xdr:nvGraphicFramePr>
        <xdr:cNvPr id="32" name="Chart 31">
          <a:extLst>
            <a:ext uri="{FF2B5EF4-FFF2-40B4-BE49-F238E27FC236}">
              <a16:creationId xmlns:a16="http://schemas.microsoft.com/office/drawing/2014/main" id="{EC24C6EF-9325-FC4C-AF64-890EE1AD9A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oneCellAnchor>
    <xdr:from>
      <xdr:col>7</xdr:col>
      <xdr:colOff>418900</xdr:colOff>
      <xdr:row>17</xdr:row>
      <xdr:rowOff>0</xdr:rowOff>
    </xdr:from>
    <xdr:ext cx="360" cy="360"/>
    <mc:AlternateContent xmlns:mc="http://schemas.openxmlformats.org/markup-compatibility/2006" xmlns:xdr14="http://schemas.microsoft.com/office/excel/2010/spreadsheetDrawing">
      <mc:Choice Requires="xdr14">
        <xdr:contentPart xmlns:r="http://schemas.openxmlformats.org/officeDocument/2006/relationships" r:id="rId29">
          <xdr14:nvContentPartPr>
            <xdr14:cNvPr id="34" name="Ink 33">
              <a:extLst>
                <a:ext uri="{FF2B5EF4-FFF2-40B4-BE49-F238E27FC236}">
                  <a16:creationId xmlns:a16="http://schemas.microsoft.com/office/drawing/2014/main" id="{2F7592B5-4F28-954F-8325-FDD04F61BB69}"/>
                </a:ext>
              </a:extLst>
            </xdr14:cNvPr>
            <xdr14:cNvContentPartPr/>
          </xdr14:nvContentPartPr>
          <xdr14:nvPr macro=""/>
          <xdr14:xfrm>
            <a:off x="4597200" y="3710520"/>
            <a:ext cx="360" cy="360"/>
          </xdr14:xfrm>
        </xdr:contentPart>
      </mc:Choice>
      <mc:Fallback xmlns="">
        <xdr:pic>
          <xdr:nvPicPr>
            <xdr:cNvPr id="6" name="Ink 5">
              <a:extLst>
                <a:ext uri="{FF2B5EF4-FFF2-40B4-BE49-F238E27FC236}">
                  <a16:creationId xmlns:a16="http://schemas.microsoft.com/office/drawing/2014/main" id="{7F6200B5-2365-3705-236F-77DF4E506623}"/>
                </a:ext>
              </a:extLst>
            </xdr:cNvPr>
            <xdr:cNvPicPr/>
          </xdr:nvPicPr>
          <xdr:blipFill>
            <a:blip xmlns:r="http://schemas.openxmlformats.org/officeDocument/2006/relationships" r:embed="rId3"/>
            <a:stretch>
              <a:fillRect/>
            </a:stretch>
          </xdr:blipFill>
          <xdr:spPr>
            <a:xfrm>
              <a:off x="4588200" y="3701520"/>
              <a:ext cx="18000" cy="18000"/>
            </a:xfrm>
            <a:prstGeom prst="rect">
              <a:avLst/>
            </a:prstGeom>
          </xdr:spPr>
        </xdr:pic>
      </mc:Fallback>
    </mc:AlternateContent>
    <xdr:clientData/>
  </xdr:oneCellAnchor>
</xdr:wsDr>
</file>

<file path=xl/drawings/drawing2.xml><?xml version="1.0" encoding="utf-8"?>
<xdr:wsDr xmlns:xdr="http://schemas.openxmlformats.org/drawingml/2006/spreadsheetDrawing" xmlns:a="http://schemas.openxmlformats.org/drawingml/2006/main">
  <xdr:twoCellAnchor>
    <xdr:from>
      <xdr:col>14</xdr:col>
      <xdr:colOff>188251</xdr:colOff>
      <xdr:row>30</xdr:row>
      <xdr:rowOff>134779</xdr:rowOff>
    </xdr:from>
    <xdr:to>
      <xdr:col>16</xdr:col>
      <xdr:colOff>274037</xdr:colOff>
      <xdr:row>31</xdr:row>
      <xdr:rowOff>82118</xdr:rowOff>
    </xdr:to>
    <xdr:sp macro="" textlink="">
      <xdr:nvSpPr>
        <xdr:cNvPr id="29" name="TextBox 28">
          <a:extLst>
            <a:ext uri="{FF2B5EF4-FFF2-40B4-BE49-F238E27FC236}">
              <a16:creationId xmlns:a16="http://schemas.microsoft.com/office/drawing/2014/main" id="{11630E36-8F7B-1F4B-B7CA-6327A1DFB2CA}"/>
            </a:ext>
          </a:extLst>
        </xdr:cNvPr>
        <xdr:cNvSpPr txBox="1"/>
      </xdr:nvSpPr>
      <xdr:spPr>
        <a:xfrm>
          <a:off x="10477092" y="8831518"/>
          <a:ext cx="969264" cy="2694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000" b="1">
              <a:solidFill>
                <a:srgbClr val="FFFF00"/>
              </a:solidFill>
              <a:latin typeface="DIN Alternate" panose="020B0500000000000000" pitchFamily="34" charset="77"/>
            </a:rPr>
            <a:t>Middle 1/3</a:t>
          </a:r>
        </a:p>
      </xdr:txBody>
    </xdr:sp>
    <xdr:clientData/>
  </xdr:twoCellAnchor>
  <xdr:twoCellAnchor>
    <xdr:from>
      <xdr:col>14</xdr:col>
      <xdr:colOff>166317</xdr:colOff>
      <xdr:row>31</xdr:row>
      <xdr:rowOff>203405</xdr:rowOff>
    </xdr:from>
    <xdr:to>
      <xdr:col>16</xdr:col>
      <xdr:colOff>230157</xdr:colOff>
      <xdr:row>32</xdr:row>
      <xdr:rowOff>144430</xdr:rowOff>
    </xdr:to>
    <xdr:sp macro="" textlink="">
      <xdr:nvSpPr>
        <xdr:cNvPr id="30" name="TextBox 29">
          <a:extLst>
            <a:ext uri="{FF2B5EF4-FFF2-40B4-BE49-F238E27FC236}">
              <a16:creationId xmlns:a16="http://schemas.microsoft.com/office/drawing/2014/main" id="{2B780178-EF7C-4342-B111-B0CD4B532C46}"/>
            </a:ext>
          </a:extLst>
        </xdr:cNvPr>
        <xdr:cNvSpPr txBox="1"/>
      </xdr:nvSpPr>
      <xdr:spPr>
        <a:xfrm>
          <a:off x="10455158" y="9222246"/>
          <a:ext cx="947318" cy="2631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000" b="1">
              <a:solidFill>
                <a:srgbClr val="FFFF00"/>
              </a:solidFill>
              <a:latin typeface="DIN Alternate" panose="020B0500000000000000" pitchFamily="34" charset="77"/>
            </a:rPr>
            <a:t>Own</a:t>
          </a:r>
          <a:r>
            <a:rPr lang="en-GB" sz="1000" b="1" baseline="0">
              <a:solidFill>
                <a:srgbClr val="FFFF00"/>
              </a:solidFill>
              <a:latin typeface="DIN Alternate" panose="020B0500000000000000" pitchFamily="34" charset="77"/>
            </a:rPr>
            <a:t> 1/3</a:t>
          </a:r>
        </a:p>
      </xdr:txBody>
    </xdr:sp>
    <xdr:clientData/>
  </xdr:twoCellAnchor>
  <xdr:twoCellAnchor>
    <xdr:from>
      <xdr:col>14</xdr:col>
      <xdr:colOff>189624</xdr:colOff>
      <xdr:row>29</xdr:row>
      <xdr:rowOff>33178</xdr:rowOff>
    </xdr:from>
    <xdr:to>
      <xdr:col>16</xdr:col>
      <xdr:colOff>275410</xdr:colOff>
      <xdr:row>29</xdr:row>
      <xdr:rowOff>302620</xdr:rowOff>
    </xdr:to>
    <xdr:sp macro="" textlink="">
      <xdr:nvSpPr>
        <xdr:cNvPr id="3" name="TextBox 2">
          <a:extLst>
            <a:ext uri="{FF2B5EF4-FFF2-40B4-BE49-F238E27FC236}">
              <a16:creationId xmlns:a16="http://schemas.microsoft.com/office/drawing/2014/main" id="{E270D210-6A84-B646-993A-E7B7915B6A92}"/>
            </a:ext>
          </a:extLst>
        </xdr:cNvPr>
        <xdr:cNvSpPr txBox="1"/>
      </xdr:nvSpPr>
      <xdr:spPr>
        <a:xfrm>
          <a:off x="10478465" y="8407816"/>
          <a:ext cx="969264" cy="2694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000" b="1">
              <a:solidFill>
                <a:srgbClr val="FFFF00"/>
              </a:solidFill>
              <a:latin typeface="DIN Alternate" panose="020B0500000000000000" pitchFamily="34" charset="77"/>
            </a:rPr>
            <a:t>Final 1/3</a:t>
          </a:r>
        </a:p>
      </xdr:txBody>
    </xdr:sp>
    <xdr:clientData/>
  </xdr:twoCellAnchor>
  <xdr:twoCellAnchor editAs="oneCell">
    <xdr:from>
      <xdr:col>11</xdr:col>
      <xdr:colOff>17449</xdr:colOff>
      <xdr:row>24</xdr:row>
      <xdr:rowOff>196721</xdr:rowOff>
    </xdr:from>
    <xdr:to>
      <xdr:col>14</xdr:col>
      <xdr:colOff>188254</xdr:colOff>
      <xdr:row>36</xdr:row>
      <xdr:rowOff>52603</xdr:rowOff>
    </xdr:to>
    <xdr:pic>
      <xdr:nvPicPr>
        <xdr:cNvPr id="5" name="Picture 4">
          <a:extLst>
            <a:ext uri="{FF2B5EF4-FFF2-40B4-BE49-F238E27FC236}">
              <a16:creationId xmlns:a16="http://schemas.microsoft.com/office/drawing/2014/main" id="{98BE424C-837A-700C-7BD8-9B5CDAEA4DEF}"/>
            </a:ext>
          </a:extLst>
        </xdr:cNvPr>
        <xdr:cNvPicPr>
          <a:picLocks noChangeAspect="1"/>
        </xdr:cNvPicPr>
      </xdr:nvPicPr>
      <xdr:blipFill>
        <a:blip xmlns:r="http://schemas.openxmlformats.org/officeDocument/2006/relationships" r:embed="rId1"/>
        <a:stretch>
          <a:fillRect/>
        </a:stretch>
      </xdr:blipFill>
      <xdr:spPr>
        <a:xfrm>
          <a:off x="7891449" y="7755761"/>
          <a:ext cx="2700645" cy="3635402"/>
        </a:xfrm>
        <a:prstGeom prst="rect">
          <a:avLst/>
        </a:prstGeom>
      </xdr:spPr>
    </xdr:pic>
    <xdr:clientData/>
  </xdr:twoCellAnchor>
  <xdr:twoCellAnchor editAs="oneCell">
    <xdr:from>
      <xdr:col>23</xdr:col>
      <xdr:colOff>137160</xdr:colOff>
      <xdr:row>18</xdr:row>
      <xdr:rowOff>50800</xdr:rowOff>
    </xdr:from>
    <xdr:to>
      <xdr:col>25</xdr:col>
      <xdr:colOff>492760</xdr:colOff>
      <xdr:row>23</xdr:row>
      <xdr:rowOff>233680</xdr:rowOff>
    </xdr:to>
    <mc:AlternateContent xmlns:mc="http://schemas.openxmlformats.org/markup-compatibility/2006" xmlns:a14="http://schemas.microsoft.com/office/drawing/2010/main">
      <mc:Choice Requires="a14">
        <xdr:graphicFrame macro="">
          <xdr:nvGraphicFramePr>
            <xdr:cNvPr id="6" name="Position 3">
              <a:extLst>
                <a:ext uri="{FF2B5EF4-FFF2-40B4-BE49-F238E27FC236}">
                  <a16:creationId xmlns:a16="http://schemas.microsoft.com/office/drawing/2014/main" id="{DCFDCF5B-5A52-CC4D-B2AF-32D8AEC72F45}"/>
                </a:ext>
              </a:extLst>
            </xdr:cNvPr>
            <xdr:cNvGraphicFramePr/>
          </xdr:nvGraphicFramePr>
          <xdr:xfrm>
            <a:off x="0" y="0"/>
            <a:ext cx="0" cy="0"/>
          </xdr:xfrm>
          <a:graphic>
            <a:graphicData uri="http://schemas.microsoft.com/office/drawing/2010/slicer">
              <sle:slicer xmlns:sle="http://schemas.microsoft.com/office/drawing/2010/slicer" name="Position 3"/>
            </a:graphicData>
          </a:graphic>
        </xdr:graphicFrame>
      </mc:Choice>
      <mc:Fallback xmlns="">
        <xdr:sp macro="" textlink="">
          <xdr:nvSpPr>
            <xdr:cNvPr id="0" name=""/>
            <xdr:cNvSpPr>
              <a:spLocks noTextEdit="1"/>
            </xdr:cNvSpPr>
          </xdr:nvSpPr>
          <xdr:spPr>
            <a:xfrm>
              <a:off x="16210280" y="5720080"/>
              <a:ext cx="1828800" cy="175768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132080</xdr:colOff>
      <xdr:row>6</xdr:row>
      <xdr:rowOff>0</xdr:rowOff>
    </xdr:from>
    <xdr:to>
      <xdr:col>25</xdr:col>
      <xdr:colOff>487680</xdr:colOff>
      <xdr:row>9</xdr:row>
      <xdr:rowOff>284480</xdr:rowOff>
    </xdr:to>
    <mc:AlternateContent xmlns:mc="http://schemas.openxmlformats.org/markup-compatibility/2006" xmlns:a14="http://schemas.microsoft.com/office/drawing/2010/main">
      <mc:Choice Requires="a14">
        <xdr:graphicFrame macro="">
          <xdr:nvGraphicFramePr>
            <xdr:cNvPr id="7" name="Time 1">
              <a:extLst>
                <a:ext uri="{FF2B5EF4-FFF2-40B4-BE49-F238E27FC236}">
                  <a16:creationId xmlns:a16="http://schemas.microsoft.com/office/drawing/2014/main" id="{9F999402-7026-DA4D-8AFF-8FC00A59F5D2}"/>
                </a:ext>
              </a:extLst>
            </xdr:cNvPr>
            <xdr:cNvGraphicFramePr/>
          </xdr:nvGraphicFramePr>
          <xdr:xfrm>
            <a:off x="0" y="0"/>
            <a:ext cx="0" cy="0"/>
          </xdr:xfrm>
          <a:graphic>
            <a:graphicData uri="http://schemas.microsoft.com/office/drawing/2010/slicer">
              <sle:slicer xmlns:sle="http://schemas.microsoft.com/office/drawing/2010/slicer" name="Time 1"/>
            </a:graphicData>
          </a:graphic>
        </xdr:graphicFrame>
      </mc:Choice>
      <mc:Fallback xmlns="">
        <xdr:sp macro="" textlink="">
          <xdr:nvSpPr>
            <xdr:cNvPr id="0" name=""/>
            <xdr:cNvSpPr>
              <a:spLocks noTextEdit="1"/>
            </xdr:cNvSpPr>
          </xdr:nvSpPr>
          <xdr:spPr>
            <a:xfrm>
              <a:off x="16205200" y="1828800"/>
              <a:ext cx="1828800" cy="119888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142240</xdr:colOff>
      <xdr:row>9</xdr:row>
      <xdr:rowOff>284480</xdr:rowOff>
    </xdr:from>
    <xdr:to>
      <xdr:col>25</xdr:col>
      <xdr:colOff>497840</xdr:colOff>
      <xdr:row>18</xdr:row>
      <xdr:rowOff>60960</xdr:rowOff>
    </xdr:to>
    <mc:AlternateContent xmlns:mc="http://schemas.openxmlformats.org/markup-compatibility/2006" xmlns:a14="http://schemas.microsoft.com/office/drawing/2010/main">
      <mc:Choice Requires="a14">
        <xdr:graphicFrame macro="">
          <xdr:nvGraphicFramePr>
            <xdr:cNvPr id="8" name="Player 3">
              <a:extLst>
                <a:ext uri="{FF2B5EF4-FFF2-40B4-BE49-F238E27FC236}">
                  <a16:creationId xmlns:a16="http://schemas.microsoft.com/office/drawing/2014/main" id="{3A1645F7-D34E-0148-9523-D4A5DD5C70FE}"/>
                </a:ext>
              </a:extLst>
            </xdr:cNvPr>
            <xdr:cNvGraphicFramePr/>
          </xdr:nvGraphicFramePr>
          <xdr:xfrm>
            <a:off x="0" y="0"/>
            <a:ext cx="0" cy="0"/>
          </xdr:xfrm>
          <a:graphic>
            <a:graphicData uri="http://schemas.microsoft.com/office/drawing/2010/slicer">
              <sle:slicer xmlns:sle="http://schemas.microsoft.com/office/drawing/2010/slicer" name="Player 3"/>
            </a:graphicData>
          </a:graphic>
        </xdr:graphicFrame>
      </mc:Choice>
      <mc:Fallback xmlns="">
        <xdr:sp macro="" textlink="">
          <xdr:nvSpPr>
            <xdr:cNvPr id="0" name=""/>
            <xdr:cNvSpPr>
              <a:spLocks noTextEdit="1"/>
            </xdr:cNvSpPr>
          </xdr:nvSpPr>
          <xdr:spPr>
            <a:xfrm>
              <a:off x="16215360" y="3119120"/>
              <a:ext cx="1828800" cy="261112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533400</xdr:colOff>
      <xdr:row>27</xdr:row>
      <xdr:rowOff>76200</xdr:rowOff>
    </xdr:from>
    <xdr:to>
      <xdr:col>4</xdr:col>
      <xdr:colOff>12700</xdr:colOff>
      <xdr:row>40</xdr:row>
      <xdr:rowOff>53972</xdr:rowOff>
    </xdr:to>
    <mc:AlternateContent xmlns:mc="http://schemas.openxmlformats.org/markup-compatibility/2006" xmlns:a14="http://schemas.microsoft.com/office/drawing/2010/main">
      <mc:Choice Requires="a14">
        <xdr:graphicFrame macro="">
          <xdr:nvGraphicFramePr>
            <xdr:cNvPr id="3" name="Position 2">
              <a:extLst>
                <a:ext uri="{FF2B5EF4-FFF2-40B4-BE49-F238E27FC236}">
                  <a16:creationId xmlns:a16="http://schemas.microsoft.com/office/drawing/2014/main" id="{0B234BF5-F5F5-085B-7B84-0B5FA7DD6F59}"/>
                </a:ext>
              </a:extLst>
            </xdr:cNvPr>
            <xdr:cNvGraphicFramePr/>
          </xdr:nvGraphicFramePr>
          <xdr:xfrm>
            <a:off x="0" y="0"/>
            <a:ext cx="0" cy="0"/>
          </xdr:xfrm>
          <a:graphic>
            <a:graphicData uri="http://schemas.microsoft.com/office/drawing/2010/slicer">
              <sle:slicer xmlns:sle="http://schemas.microsoft.com/office/drawing/2010/slicer" name="Position 2"/>
            </a:graphicData>
          </a:graphic>
        </xdr:graphicFrame>
      </mc:Choice>
      <mc:Fallback xmlns="">
        <xdr:sp macro="" textlink="">
          <xdr:nvSpPr>
            <xdr:cNvPr id="0" name=""/>
            <xdr:cNvSpPr>
              <a:spLocks noTextEdit="1"/>
            </xdr:cNvSpPr>
          </xdr:nvSpPr>
          <xdr:spPr>
            <a:xfrm>
              <a:off x="5588000" y="55626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660400</xdr:colOff>
      <xdr:row>28</xdr:row>
      <xdr:rowOff>25400</xdr:rowOff>
    </xdr:from>
    <xdr:to>
      <xdr:col>5</xdr:col>
      <xdr:colOff>228600</xdr:colOff>
      <xdr:row>34</xdr:row>
      <xdr:rowOff>76200</xdr:rowOff>
    </xdr:to>
    <mc:AlternateContent xmlns:mc="http://schemas.openxmlformats.org/markup-compatibility/2006" xmlns:a14="http://schemas.microsoft.com/office/drawing/2010/main">
      <mc:Choice Requires="a14">
        <xdr:graphicFrame macro="">
          <xdr:nvGraphicFramePr>
            <xdr:cNvPr id="6" name="Time">
              <a:extLst>
                <a:ext uri="{FF2B5EF4-FFF2-40B4-BE49-F238E27FC236}">
                  <a16:creationId xmlns:a16="http://schemas.microsoft.com/office/drawing/2014/main" id="{07324F19-35A4-1106-F1EC-50567C895155}"/>
                </a:ext>
              </a:extLst>
            </xdr:cNvPr>
            <xdr:cNvGraphicFramePr/>
          </xdr:nvGraphicFramePr>
          <xdr:xfrm>
            <a:off x="0" y="0"/>
            <a:ext cx="0" cy="0"/>
          </xdr:xfrm>
          <a:graphic>
            <a:graphicData uri="http://schemas.microsoft.com/office/drawing/2010/slicer">
              <sle:slicer xmlns:sle="http://schemas.microsoft.com/office/drawing/2010/slicer" name="Time"/>
            </a:graphicData>
          </a:graphic>
        </xdr:graphicFrame>
      </mc:Choice>
      <mc:Fallback xmlns="">
        <xdr:sp macro="" textlink="">
          <xdr:nvSpPr>
            <xdr:cNvPr id="0" name=""/>
            <xdr:cNvSpPr>
              <a:spLocks noTextEdit="1"/>
            </xdr:cNvSpPr>
          </xdr:nvSpPr>
          <xdr:spPr>
            <a:xfrm>
              <a:off x="8064500" y="5715000"/>
              <a:ext cx="1828800" cy="127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952500</xdr:colOff>
      <xdr:row>26</xdr:row>
      <xdr:rowOff>190500</xdr:rowOff>
    </xdr:from>
    <xdr:to>
      <xdr:col>3</xdr:col>
      <xdr:colOff>838200</xdr:colOff>
      <xdr:row>39</xdr:row>
      <xdr:rowOff>168272</xdr:rowOff>
    </xdr:to>
    <mc:AlternateContent xmlns:mc="http://schemas.openxmlformats.org/markup-compatibility/2006" xmlns:a14="http://schemas.microsoft.com/office/drawing/2010/main">
      <mc:Choice Requires="a14">
        <xdr:graphicFrame macro="">
          <xdr:nvGraphicFramePr>
            <xdr:cNvPr id="7" name="Player 2">
              <a:extLst>
                <a:ext uri="{FF2B5EF4-FFF2-40B4-BE49-F238E27FC236}">
                  <a16:creationId xmlns:a16="http://schemas.microsoft.com/office/drawing/2014/main" id="{776E3AF8-5BC0-157C-841A-EF55710A5D70}"/>
                </a:ext>
              </a:extLst>
            </xdr:cNvPr>
            <xdr:cNvGraphicFramePr/>
          </xdr:nvGraphicFramePr>
          <xdr:xfrm>
            <a:off x="0" y="0"/>
            <a:ext cx="0" cy="0"/>
          </xdr:xfrm>
          <a:graphic>
            <a:graphicData uri="http://schemas.microsoft.com/office/drawing/2010/slicer">
              <sle:slicer xmlns:sle="http://schemas.microsoft.com/office/drawing/2010/slicer" name="Player 2"/>
            </a:graphicData>
          </a:graphic>
        </xdr:graphicFrame>
      </mc:Choice>
      <mc:Fallback xmlns="">
        <xdr:sp macro="" textlink="">
          <xdr:nvSpPr>
            <xdr:cNvPr id="0" name=""/>
            <xdr:cNvSpPr>
              <a:spLocks noTextEdit="1"/>
            </xdr:cNvSpPr>
          </xdr:nvSpPr>
          <xdr:spPr>
            <a:xfrm>
              <a:off x="4064000" y="54737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3-19T23:10:06.957"/>
    </inkml:context>
    <inkml:brush xml:id="br0">
      <inkml:brushProperty name="width" value="0.05" units="cm"/>
      <inkml:brushProperty name="height" value="0.05" units="cm"/>
    </inkml:brush>
  </inkml:definitions>
  <inkml:trace contextRef="#ctx0" brushRef="#br0">1 0 24575,'0'0'0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3-19T23:10:06.958"/>
    </inkml:context>
    <inkml:brush xml:id="br0">
      <inkml:brushProperty name="width" value="0.05" units="cm"/>
      <inkml:brushProperty name="height" value="0.05" units="cm"/>
    </inkml:brush>
  </inkml:definitions>
  <inkml:trace contextRef="#ctx0" brushRef="#br0">0 0 24575,'0'0'0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6T16:17:00.959"/>
    </inkml:context>
    <inkml:brush xml:id="br0">
      <inkml:brushProperty name="width" value="0.05" units="cm"/>
      <inkml:brushProperty name="height" value="0.05" units="cm"/>
    </inkml:brush>
  </inkml:definitions>
  <inkml:trace contextRef="#ctx0" brushRef="#br0">0 0 24575,'0'0'0</inkml:trace>
</inkm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hee" refreshedDate="46231.676856365739" createdVersion="8" refreshedVersion="8" minRefreshableVersion="3" recordCount="44" xr:uid="{507C8B18-6F4C-3641-BF1D-4EF4879A095D}">
  <cacheSource type="worksheet">
    <worksheetSource ref="DW12:IP56" sheet="Dashboard"/>
  </cacheSource>
  <cacheFields count="124">
    <cacheField name="Time" numFmtId="0">
      <sharedItems containsBlank="1" count="5">
        <s v="1st Half"/>
        <m/>
        <s v="Time"/>
        <s v="2nd Half"/>
        <s v="Full time"/>
      </sharedItems>
    </cacheField>
    <cacheField name="Player" numFmtId="0">
      <sharedItems containsBlank="1" count="26">
        <s v="Louie Briggs"/>
        <s v="Joshua Laotan"/>
        <s v="Ayodele Akinsanya"/>
        <s v="Sam Miljkovic"/>
        <s v="Romeo Hamilton"/>
        <s v="Kevin Jalo-Gomes"/>
        <s v="Ethan Lake"/>
        <s v="Jayden To"/>
        <s v="Usim Ijere"/>
        <s v="Cordell Morgan-Antonio"/>
        <s v="Godwin Mfuri"/>
        <s v="Harley Moyes"/>
        <m/>
        <s v="Player"/>
        <s v="Joshua Harrup"/>
        <s v="Melvin Brandford"/>
        <s v="Levi Ampofo"/>
        <s v="Sebastian Bixby-Gutierrez"/>
        <s v="Aaran Sudakaran" u="1"/>
        <s v="Tamas Fekete" u="1"/>
        <s v="Prosper Sango" u="1"/>
        <s v="Chibuzo Okoli" u="1"/>
        <s v="Dylan Tambe" u="1"/>
        <s v="Diyar Sonzamanci" u="1"/>
        <s v="William Swannell" u="1"/>
        <s v="Jeffrey Sam-Deekue" u="1"/>
      </sharedItems>
    </cacheField>
    <cacheField name="Duration (mins)" numFmtId="0">
      <sharedItems containsBlank="1" containsMixedTypes="1" containsNumber="1" containsInteger="1" minValue="20" maxValue="80" count="8">
        <n v="40"/>
        <m/>
        <s v="Duration (mins)"/>
        <n v="30"/>
        <n v="20"/>
        <n v="70"/>
        <n v="80"/>
        <n v="60"/>
      </sharedItems>
    </cacheField>
    <cacheField name="Position" numFmtId="0">
      <sharedItems containsBlank="1" count="11">
        <s v="GK"/>
        <s v="CB"/>
        <s v="RB"/>
        <s v="LB"/>
        <s v="CM"/>
        <s v="LW"/>
        <s v="RW"/>
        <s v="ST"/>
        <m/>
        <s v="Position"/>
        <s v="LB/CB" u="1"/>
      </sharedItems>
    </cacheField>
    <cacheField name="Total Passes" numFmtId="0">
      <sharedItems containsBlank="1" containsMixedTypes="1" containsNumber="1" containsInteger="1" minValue="1" maxValue="69"/>
    </cacheField>
    <cacheField name="Completed Passes" numFmtId="0">
      <sharedItems containsBlank="1" containsMixedTypes="1" containsNumber="1" containsInteger="1" minValue="1" maxValue="56"/>
    </cacheField>
    <cacheField name="Uncompleted Passes" numFmtId="0">
      <sharedItems containsBlank="1" containsMixedTypes="1" containsNumber="1" containsInteger="1" minValue="0" maxValue="13"/>
    </cacheField>
    <cacheField name="Completed Passes %" numFmtId="0">
      <sharedItems containsBlank="1" containsMixedTypes="1" containsNumber="1" minValue="0.66666666666666663" maxValue="1"/>
    </cacheField>
    <cacheField name="Uncompleted Passes %" numFmtId="0">
      <sharedItems containsBlank="1" containsMixedTypes="1" containsNumber="1" minValue="0" maxValue="0.33333333333333331"/>
    </cacheField>
    <cacheField name="Total Forward Passes" numFmtId="0">
      <sharedItems containsBlank="1" containsMixedTypes="1" containsNumber="1" containsInteger="1" minValue="0" maxValue="31"/>
    </cacheField>
    <cacheField name="Completed Forward Passes" numFmtId="0">
      <sharedItems containsBlank="1" containsMixedTypes="1" containsNumber="1" containsInteger="1" minValue="0" maxValue="21"/>
    </cacheField>
    <cacheField name="Uncompleted Forward Passes" numFmtId="0">
      <sharedItems containsBlank="1" containsMixedTypes="1" containsNumber="1" containsInteger="1" minValue="0" maxValue="10"/>
    </cacheField>
    <cacheField name="Completed Forward Passes %" numFmtId="0">
      <sharedItems containsBlank="1" containsMixedTypes="1" containsNumber="1" minValue="0" maxValue="1"/>
    </cacheField>
    <cacheField name="Uncompleted Forward Passes %" numFmtId="0">
      <sharedItems containsBlank="1" containsMixedTypes="1" containsNumber="1" minValue="0" maxValue="1"/>
    </cacheField>
    <cacheField name="Total Lateral Passes" numFmtId="0">
      <sharedItems containsBlank="1" containsMixedTypes="1" containsNumber="1" containsInteger="1" minValue="0" maxValue="27"/>
    </cacheField>
    <cacheField name="Completed Lateral Passes" numFmtId="0">
      <sharedItems containsBlank="1" containsMixedTypes="1" containsNumber="1" containsInteger="1" minValue="0" maxValue="24"/>
    </cacheField>
    <cacheField name="Uncompleted Lateral Passes" numFmtId="0">
      <sharedItems containsBlank="1" containsMixedTypes="1" containsNumber="1" containsInteger="1" minValue="0" maxValue="3"/>
    </cacheField>
    <cacheField name="Completed Lateral Passes %" numFmtId="9">
      <sharedItems containsBlank="1" containsMixedTypes="1" containsNumber="1" minValue="0.5" maxValue="1"/>
    </cacheField>
    <cacheField name="Uncompleted Lateral Passes %" numFmtId="0">
      <sharedItems containsBlank="1" containsMixedTypes="1" containsNumber="1" minValue="0" maxValue="0.5"/>
    </cacheField>
    <cacheField name="Total Backward Passes" numFmtId="0">
      <sharedItems containsBlank="1" containsMixedTypes="1" containsNumber="1" containsInteger="1" minValue="0" maxValue="17"/>
    </cacheField>
    <cacheField name="Completed Backward Passes" numFmtId="0">
      <sharedItems containsBlank="1" containsMixedTypes="1" containsNumber="1" containsInteger="1" minValue="0" maxValue="17"/>
    </cacheField>
    <cacheField name="Uncompleted Backward Passes" numFmtId="0">
      <sharedItems containsBlank="1" containsMixedTypes="1" containsNumber="1" containsInteger="1" minValue="0" maxValue="2"/>
    </cacheField>
    <cacheField name="Completed Backward Passes %" numFmtId="0">
      <sharedItems containsBlank="1" containsMixedTypes="1" containsNumber="1" containsInteger="1" minValue="1" maxValue="1"/>
    </cacheField>
    <cacheField name="Uncompleted Backward Passes %" numFmtId="0">
      <sharedItems containsBlank="1" containsMixedTypes="1" containsNumber="1" minValue="0" maxValue="0.5"/>
    </cacheField>
    <cacheField name="Total Long Passes" numFmtId="0">
      <sharedItems containsBlank="1" containsMixedTypes="1" containsNumber="1" containsInteger="1" minValue="0" maxValue="7"/>
    </cacheField>
    <cacheField name="Completed Long Passes" numFmtId="0">
      <sharedItems containsBlank="1" containsMixedTypes="1" containsNumber="1" containsInteger="1" minValue="0" maxValue="4"/>
    </cacheField>
    <cacheField name="Uncompleted Long Passes" numFmtId="0">
      <sharedItems containsBlank="1" containsMixedTypes="1" containsNumber="1" containsInteger="1" minValue="0" maxValue="5"/>
    </cacheField>
    <cacheField name="Completed Long Passes %" numFmtId="0">
      <sharedItems containsBlank="1" containsMixedTypes="1" containsNumber="1" minValue="0" maxValue="1"/>
    </cacheField>
    <cacheField name="Uncompleted Long Passes %" numFmtId="0">
      <sharedItems containsBlank="1" containsMixedTypes="1" containsNumber="1" minValue="0" maxValue="1"/>
    </cacheField>
    <cacheField name="Total Balls in Behind" numFmtId="0">
      <sharedItems containsBlank="1" containsMixedTypes="1" containsNumber="1" containsInteger="1" minValue="0" maxValue="7"/>
    </cacheField>
    <cacheField name="Completed Balls in Behind" numFmtId="0">
      <sharedItems containsBlank="1" containsMixedTypes="1" containsNumber="1" containsInteger="1" minValue="0" maxValue="3"/>
    </cacheField>
    <cacheField name="Uncompleted Balls in Behind" numFmtId="0">
      <sharedItems containsBlank="1" containsMixedTypes="1" containsNumber="1" containsInteger="1" minValue="0" maxValue="5"/>
    </cacheField>
    <cacheField name="Completed Balls in Behind %" numFmtId="0">
      <sharedItems containsBlank="1" containsMixedTypes="1" containsNumber="1" minValue="0" maxValue="1"/>
    </cacheField>
    <cacheField name="Uncompleted Balls in Behind %" numFmtId="0">
      <sharedItems containsBlank="1" containsMixedTypes="1" containsNumber="1" minValue="0" maxValue="1"/>
    </cacheField>
    <cacheField name="Total Through Passes" numFmtId="0">
      <sharedItems containsBlank="1" containsMixedTypes="1" containsNumber="1" containsInteger="1" minValue="0" maxValue="3"/>
    </cacheField>
    <cacheField name="Total Diagonal Passes" numFmtId="0">
      <sharedItems containsBlank="1" containsMixedTypes="1" containsNumber="1" containsInteger="1" minValue="0" maxValue="0"/>
    </cacheField>
    <cacheField name="Completed Diagonal Passes" numFmtId="0">
      <sharedItems containsBlank="1" containsMixedTypes="1" containsNumber="1" containsInteger="1" minValue="0" maxValue="0"/>
    </cacheField>
    <cacheField name="Uncompleted Diagonal Passes" numFmtId="0">
      <sharedItems containsBlank="1" containsMixedTypes="1" containsNumber="1" containsInteger="1" minValue="0" maxValue="0"/>
    </cacheField>
    <cacheField name="Completed Diagonal Passes %" numFmtId="0">
      <sharedItems containsBlank="1"/>
    </cacheField>
    <cacheField name="Uncompleted Diagonal Passes %" numFmtId="0">
      <sharedItems containsBlank="1"/>
    </cacheField>
    <cacheField name="Total Pass Received" numFmtId="0">
      <sharedItems containsBlank="1" containsMixedTypes="1" containsNumber="1" containsInteger="1" minValue="3" maxValue="53"/>
    </cacheField>
    <cacheField name="Pass Received &amp; Pass completed" numFmtId="0">
      <sharedItems containsBlank="1" containsMixedTypes="1" containsNumber="1" containsInteger="1" minValue="1" maxValue="43"/>
    </cacheField>
    <cacheField name="Pass Received &amp; Pass Uncompleted" numFmtId="0">
      <sharedItems containsBlank="1" containsMixedTypes="1" containsNumber="1" containsInteger="1" minValue="0" maxValue="11"/>
    </cacheField>
    <cacheField name="Ball Kept" numFmtId="0">
      <sharedItems containsBlank="1" containsMixedTypes="1" containsNumber="1" containsInteger="1" minValue="0" maxValue="4"/>
    </cacheField>
    <cacheField name="Ball Lost" numFmtId="0">
      <sharedItems containsBlank="1" containsMixedTypes="1" containsNumber="1" containsInteger="1" minValue="0" maxValue="5"/>
    </cacheField>
    <cacheField name="Ball Lost in Final 1/3" numFmtId="0">
      <sharedItems containsBlank="1" containsMixedTypes="1" containsNumber="1" containsInteger="1" minValue="0" maxValue="3"/>
    </cacheField>
    <cacheField name="Ball Lost in Middle 1/3" numFmtId="0">
      <sharedItems containsBlank="1" containsMixedTypes="1" containsNumber="1" containsInteger="1" minValue="0" maxValue="3"/>
    </cacheField>
    <cacheField name="Ball Lost in Own 1/3" numFmtId="0">
      <sharedItems containsBlank="1" containsMixedTypes="1" containsNumber="1" containsInteger="1" minValue="0" maxValue="2"/>
    </cacheField>
    <cacheField name="Touches in the Box" numFmtId="0">
      <sharedItems containsBlank="1" containsMixedTypes="1" containsNumber="1" containsInteger="1" minValue="0" maxValue="7"/>
    </cacheField>
    <cacheField name="Total 1v1" numFmtId="0">
      <sharedItems containsBlank="1" containsMixedTypes="1" containsNumber="1" containsInteger="1" minValue="0" maxValue="6"/>
    </cacheField>
    <cacheField name="Successful 1v1" numFmtId="0">
      <sharedItems containsBlank="1" containsMixedTypes="1" containsNumber="1" containsInteger="1" minValue="0" maxValue="4"/>
    </cacheField>
    <cacheField name="Unsuccessful 1v1" numFmtId="0">
      <sharedItems containsBlank="1" containsMixedTypes="1" containsNumber="1" containsInteger="1" minValue="0" maxValue="2"/>
    </cacheField>
    <cacheField name="Completed 1v1 %" numFmtId="0">
      <sharedItems containsBlank="1" containsMixedTypes="1" containsNumber="1" minValue="0" maxValue="1"/>
    </cacheField>
    <cacheField name="Uncompleted 1v1 %" numFmtId="0">
      <sharedItems containsBlank="1" containsMixedTypes="1" containsNumber="1" minValue="0" maxValue="1"/>
    </cacheField>
    <cacheField name="Total Cross" numFmtId="0">
      <sharedItems containsBlank="1" containsMixedTypes="1" containsNumber="1" containsInteger="1" minValue="0" maxValue="3"/>
    </cacheField>
    <cacheField name="Completed Cross" numFmtId="0">
      <sharedItems containsBlank="1" containsMixedTypes="1" containsNumber="1" containsInteger="1" minValue="0" maxValue="2"/>
    </cacheField>
    <cacheField name="Uncompleted Cross" numFmtId="0">
      <sharedItems containsBlank="1" containsMixedTypes="1" containsNumber="1" containsInteger="1" minValue="0" maxValue="2"/>
    </cacheField>
    <cacheField name="Completed Cross %" numFmtId="0">
      <sharedItems containsBlank="1" containsMixedTypes="1" containsNumber="1" minValue="0" maxValue="1"/>
    </cacheField>
    <cacheField name="Uncompleted Cross %" numFmtId="0">
      <sharedItems containsBlank="1" containsMixedTypes="1" containsNumber="1" minValue="0" maxValue="1"/>
    </cacheField>
    <cacheField name="Total Shots" numFmtId="0">
      <sharedItems containsBlank="1" containsMixedTypes="1" containsNumber="1" containsInteger="1" minValue="0" maxValue="6"/>
    </cacheField>
    <cacheField name="On Target" numFmtId="0">
      <sharedItems containsBlank="1" containsMixedTypes="1" containsNumber="1" containsInteger="1" minValue="0" maxValue="4"/>
    </cacheField>
    <cacheField name="Off Target" numFmtId="0">
      <sharedItems containsBlank="1" containsMixedTypes="1" containsNumber="1" containsInteger="1" minValue="0" maxValue="3"/>
    </cacheField>
    <cacheField name="Blocked" numFmtId="0">
      <sharedItems containsBlank="1" containsMixedTypes="1" containsNumber="1" containsInteger="1" minValue="0" maxValue="1"/>
    </cacheField>
    <cacheField name="Goal" numFmtId="0">
      <sharedItems containsBlank="1" containsMixedTypes="1" containsNumber="1" containsInteger="1" minValue="0" maxValue="3"/>
    </cacheField>
    <cacheField name="Assist" numFmtId="0">
      <sharedItems containsBlank="1" containsMixedTypes="1" containsNumber="1" containsInteger="1" minValue="0" maxValue="1"/>
    </cacheField>
    <cacheField name="Total Offensive duel" numFmtId="0">
      <sharedItems containsBlank="1" containsMixedTypes="1" containsNumber="1" containsInteger="1" minValue="0" maxValue="5"/>
    </cacheField>
    <cacheField name="Successful Offensive Duel" numFmtId="0">
      <sharedItems containsBlank="1" containsMixedTypes="1" containsNumber="1" containsInteger="1" minValue="0" maxValue="4"/>
    </cacheField>
    <cacheField name="Unsuccessful Offensive Duel" numFmtId="0">
      <sharedItems containsBlank="1" containsMixedTypes="1" containsNumber="1" containsInteger="1" minValue="0" maxValue="1"/>
    </cacheField>
    <cacheField name="Successful Offensive Duel %" numFmtId="0">
      <sharedItems containsBlank="1" containsMixedTypes="1" containsNumber="1" minValue="0.66666666666666663" maxValue="1"/>
    </cacheField>
    <cacheField name="Unsuccessful Offensive Duel %" numFmtId="0">
      <sharedItems containsBlank="1" containsMixedTypes="1" containsNumber="1" minValue="0" maxValue="0.33333333333333331"/>
    </cacheField>
    <cacheField name="Total Acceleration" numFmtId="0">
      <sharedItems containsBlank="1" containsMixedTypes="1" containsNumber="1" containsInteger="1" minValue="0" maxValue="4"/>
    </cacheField>
    <cacheField name="Total Into Pocket" numFmtId="0">
      <sharedItems containsBlank="1" containsMixedTypes="1" containsNumber="1" containsInteger="1" minValue="0" maxValue="9"/>
    </cacheField>
    <cacheField name="Total Wide Area" numFmtId="0">
      <sharedItems containsBlank="1" containsMixedTypes="1" containsNumber="1" containsInteger="1" minValue="0" maxValue="14"/>
    </cacheField>
    <cacheField name="Total Back to Goal" numFmtId="0">
      <sharedItems containsBlank="1" containsMixedTypes="1" containsNumber="1" containsInteger="1" minValue="0" maxValue="1"/>
    </cacheField>
    <cacheField name="Total Over/Underlaps" numFmtId="0">
      <sharedItems containsBlank="1" containsMixedTypes="1" containsNumber="1" containsInteger="1" minValue="0" maxValue="1"/>
    </cacheField>
    <cacheField name="Total Runs in Behind" numFmtId="0">
      <sharedItems containsBlank="1" containsMixedTypes="1" containsNumber="1" containsInteger="1" minValue="0" maxValue="5"/>
    </cacheField>
    <cacheField name="Total Half-space Runs" numFmtId="0">
      <sharedItems containsBlank="1" containsMixedTypes="1" containsNumber="1" containsInteger="1" minValue="0" maxValue="1"/>
    </cacheField>
    <cacheField name="Total Duel" numFmtId="0">
      <sharedItems containsBlank="1" containsMixedTypes="1" containsNumber="1" containsInteger="1" minValue="0" maxValue="7"/>
    </cacheField>
    <cacheField name="Successful Duel" numFmtId="0">
      <sharedItems containsBlank="1" containsMixedTypes="1" containsNumber="1" containsInteger="1" minValue="0" maxValue="6"/>
    </cacheField>
    <cacheField name="Unsuccesful Duel" numFmtId="0">
      <sharedItems containsBlank="1" containsMixedTypes="1" containsNumber="1" containsInteger="1" minValue="0" maxValue="4"/>
    </cacheField>
    <cacheField name="Successful Duel %" numFmtId="0">
      <sharedItems containsBlank="1" containsMixedTypes="1" containsNumber="1" minValue="0" maxValue="1"/>
    </cacheField>
    <cacheField name="Unsuccesful Duel %" numFmtId="0">
      <sharedItems containsBlank="1" containsMixedTypes="1" containsNumber="1" minValue="0" maxValue="1"/>
    </cacheField>
    <cacheField name="Total Defensive Duel" numFmtId="0">
      <sharedItems containsBlank="1" containsMixedTypes="1" containsNumber="1" containsInteger="1" minValue="0" maxValue="3"/>
    </cacheField>
    <cacheField name="Successful Defensive Duel" numFmtId="0">
      <sharedItems containsBlank="1" containsMixedTypes="1" containsNumber="1" containsInteger="1" minValue="0" maxValue="3"/>
    </cacheField>
    <cacheField name="Unsuccesful Defensive Duel" numFmtId="0">
      <sharedItems containsBlank="1" containsMixedTypes="1" containsNumber="1" containsInteger="1" minValue="0" maxValue="2"/>
    </cacheField>
    <cacheField name="Successful Defensive Duel %" numFmtId="0">
      <sharedItems containsBlank="1" containsMixedTypes="1" containsNumber="1" minValue="0" maxValue="1"/>
    </cacheField>
    <cacheField name="Unsuccesful Defensive Duel %" numFmtId="0">
      <sharedItems containsBlank="1" containsMixedTypes="1" containsNumber="1" minValue="0" maxValue="1"/>
    </cacheField>
    <cacheField name="Total Aerial Duel" numFmtId="0">
      <sharedItems containsBlank="1" containsMixedTypes="1" containsNumber="1" containsInteger="1" minValue="0" maxValue="2"/>
    </cacheField>
    <cacheField name="Succesful Aerial Duel" numFmtId="0">
      <sharedItems containsBlank="1" containsMixedTypes="1" containsNumber="1" containsInteger="1" minValue="0" maxValue="1"/>
    </cacheField>
    <cacheField name="Unsuccessful Aerial Duel" numFmtId="0">
      <sharedItems containsBlank="1" containsMixedTypes="1" containsNumber="1" containsInteger="1" minValue="0" maxValue="2"/>
    </cacheField>
    <cacheField name="Succesful Aerial Duel %" numFmtId="0">
      <sharedItems containsBlank="1" containsMixedTypes="1" containsNumber="1" containsInteger="1" minValue="1" maxValue="1"/>
    </cacheField>
    <cacheField name="Unsuccessful Aerial Duel %" numFmtId="0">
      <sharedItems containsBlank="1" containsMixedTypes="1" containsNumber="1" containsInteger="1" minValue="0" maxValue="1"/>
    </cacheField>
    <cacheField name="Total 1v1 Defence" numFmtId="0">
      <sharedItems containsBlank="1" containsMixedTypes="1" containsNumber="1" containsInteger="1" minValue="0" maxValue="2"/>
    </cacheField>
    <cacheField name="Successful 1v1 Defence" numFmtId="0">
      <sharedItems containsBlank="1" containsMixedTypes="1" containsNumber="1" containsInteger="1" minValue="0" maxValue="1"/>
    </cacheField>
    <cacheField name="Unsuccessful 1v1 Defence" numFmtId="0">
      <sharedItems containsBlank="1" containsMixedTypes="1" containsNumber="1" containsInteger="1" minValue="0" maxValue="2"/>
    </cacheField>
    <cacheField name="Successful 1v1 Defence %" numFmtId="0">
      <sharedItems containsBlank="1" containsMixedTypes="1" containsNumber="1" minValue="0" maxValue="0.5"/>
    </cacheField>
    <cacheField name="Unsuccessful 1v1 Defence %" numFmtId="0">
      <sharedItems containsBlank="1" containsMixedTypes="1" containsNumber="1" minValue="0.5" maxValue="1"/>
    </cacheField>
    <cacheField name="Total Tackles" numFmtId="0">
      <sharedItems containsBlank="1" containsMixedTypes="1" containsNumber="1" containsInteger="1" minValue="0" maxValue="2"/>
    </cacheField>
    <cacheField name="Successful Tackles" numFmtId="0">
      <sharedItems containsBlank="1" containsMixedTypes="1" containsNumber="1" containsInteger="1" minValue="0" maxValue="1"/>
    </cacheField>
    <cacheField name="Unsuccessful Tackles" numFmtId="0">
      <sharedItems containsBlank="1" containsMixedTypes="1" containsNumber="1" containsInteger="1" minValue="0" maxValue="1"/>
    </cacheField>
    <cacheField name="Successful Tackles %" numFmtId="9">
      <sharedItems containsBlank="1" containsMixedTypes="1" containsNumber="1" minValue="0" maxValue="1"/>
    </cacheField>
    <cacheField name="Unsuccessful Tackles %" numFmtId="9">
      <sharedItems containsBlank="1" containsMixedTypes="1" containsNumber="1" minValue="0" maxValue="1"/>
    </cacheField>
    <cacheField name="Total 2nd Ball" numFmtId="0">
      <sharedItems containsBlank="1" containsMixedTypes="1" containsNumber="1" containsInteger="1" minValue="0" maxValue="4"/>
    </cacheField>
    <cacheField name="Successful 2nd Ball" numFmtId="0">
      <sharedItems containsBlank="1" containsMixedTypes="1" containsNumber="1" containsInteger="1" minValue="0" maxValue="2"/>
    </cacheField>
    <cacheField name="Unsuccessful 2nd Ball" numFmtId="0">
      <sharedItems containsBlank="1" containsMixedTypes="1" containsNumber="1" containsInteger="1" minValue="0" maxValue="2"/>
    </cacheField>
    <cacheField name="Successful 2nd Ball %" numFmtId="0">
      <sharedItems containsBlank="1" containsMixedTypes="1" containsNumber="1" minValue="0" maxValue="1"/>
    </cacheField>
    <cacheField name="Unsuccessful 2nd Ball %" numFmtId="0">
      <sharedItems containsBlank="1" containsMixedTypes="1" containsNumber="1" minValue="0" maxValue="1"/>
    </cacheField>
    <cacheField name="Clearance" numFmtId="0">
      <sharedItems containsBlank="1" containsMixedTypes="1" containsNumber="1" containsInteger="1" minValue="0" maxValue="2"/>
    </cacheField>
    <cacheField name="Interception" numFmtId="0">
      <sharedItems containsBlank="1" containsMixedTypes="1" containsNumber="1" containsInteger="1" minValue="0" maxValue="7"/>
    </cacheField>
    <cacheField name="Turnover Won" numFmtId="0">
      <sharedItems containsBlank="1" containsMixedTypes="1" containsNumber="1" containsInteger="1" minValue="0" maxValue="8"/>
    </cacheField>
    <cacheField name="Recovery" numFmtId="0">
      <sharedItems containsBlank="1" containsMixedTypes="1" containsNumber="1" containsInteger="1" minValue="0" maxValue="2"/>
    </cacheField>
    <cacheField name="Blocked Shots" numFmtId="0">
      <sharedItems containsBlank="1" containsMixedTypes="1" containsNumber="1" containsInteger="1" minValue="0" maxValue="0"/>
    </cacheField>
    <cacheField name="Missed Man-marking" numFmtId="0">
      <sharedItems containsBlank="1" containsMixedTypes="1" containsNumber="1" containsInteger="1" minValue="0" maxValue="0"/>
    </cacheField>
    <cacheField name="Fouls" numFmtId="0">
      <sharedItems containsBlank="1" containsMixedTypes="1" containsNumber="1" containsInteger="1" minValue="0" maxValue="3"/>
    </cacheField>
    <cacheField name="Won Fouls" numFmtId="0">
      <sharedItems containsBlank="1" containsMixedTypes="1" containsNumber="1" containsInteger="1" minValue="0" maxValue="2"/>
    </cacheField>
    <cacheField name="GK 1v1" numFmtId="0">
      <sharedItems containsBlank="1" containsMixedTypes="1" containsNumber="1" containsInteger="1" minValue="0" maxValue="0"/>
    </cacheField>
    <cacheField name="GK On target" numFmtId="0">
      <sharedItems containsBlank="1" containsMixedTypes="1" containsNumber="1" containsInteger="1" minValue="0" maxValue="3"/>
    </cacheField>
    <cacheField name="GK Off Target" numFmtId="0">
      <sharedItems containsBlank="1" containsMixedTypes="1" containsNumber="1" containsInteger="1" minValue="0" maxValue="1"/>
    </cacheField>
    <cacheField name="Defence the Space" numFmtId="0">
      <sharedItems containsBlank="1" containsMixedTypes="1" containsNumber="1" containsInteger="1" minValue="0" maxValue="5"/>
    </cacheField>
    <cacheField name="Goal Conceded" numFmtId="0">
      <sharedItems containsBlank="1" containsMixedTypes="1" containsNumber="1" containsInteger="1" minValue="0" maxValue="1"/>
    </cacheField>
    <cacheField name="Save" numFmtId="0">
      <sharedItems containsBlank="1" containsMixedTypes="1" containsNumber="1" containsInteger="1" minValue="0" maxValue="0"/>
    </cacheField>
    <cacheField name="Defend the line (Cross)" numFmtId="0">
      <sharedItems containsBlank="1" containsMixedTypes="1" containsNumber="1" containsInteger="1" minValue="0" maxValue="0"/>
    </cacheField>
    <cacheField name="Counter Kick" numFmtId="0">
      <sharedItems containsBlank="1" containsMixedTypes="1" containsNumber="1" containsInteger="1" minValue="0" maxValue="0"/>
    </cacheField>
    <cacheField name="Player 2" numFmtId="0">
      <sharedItems containsBlank="1" count="26">
        <s v="Louie Briggs"/>
        <s v="Joshua Laotan"/>
        <s v="Ayodele Akinsanya"/>
        <s v="Sam Miljkovic"/>
        <s v="Romeo Hamilton"/>
        <s v="Kevin Jalo-Gomes"/>
        <s v="Ethan Lake"/>
        <s v="Jayden To"/>
        <s v="Usim Ijere"/>
        <s v="Cordell Morgan-Antonio"/>
        <s v="Godwin Mfuri"/>
        <s v="Harley Moyes"/>
        <m/>
        <s v="Player 2"/>
        <s v="Joshua Harrup"/>
        <s v="Melvin Brandford"/>
        <s v="Levi Ampofo"/>
        <s v="Sebastian Bixby-Gutierrez"/>
        <s v="Aaran Sudakaran" u="1"/>
        <s v="Tamas Fekete" u="1"/>
        <s v="Prosper Sango" u="1"/>
        <s v="Chibuzo Okoli" u="1"/>
        <s v="Dylan Tambe" u="1"/>
        <s v="Diyar Sonzamanci" u="1"/>
        <s v="William Swannell" u="1"/>
        <s v="Jeffrey Sam-Deekue" u="1"/>
      </sharedItems>
    </cacheField>
  </cacheFields>
  <extLst>
    <ext xmlns:x14="http://schemas.microsoft.com/office/spreadsheetml/2009/9/main" uri="{725AE2AE-9491-48be-B2B4-4EB974FC3084}">
      <x14:pivotCacheDefinition pivotCacheId="11625921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
  <r>
    <x v="0"/>
    <x v="0"/>
    <x v="0"/>
    <x v="0"/>
    <n v="23"/>
    <n v="22"/>
    <n v="1"/>
    <n v="0.95652173913043481"/>
    <n v="4.3478260869565216E-2"/>
    <n v="9"/>
    <n v="8"/>
    <n v="1"/>
    <n v="0.88888888888888884"/>
    <n v="0.1111111111111111"/>
    <n v="14"/>
    <n v="14"/>
    <n v="0"/>
    <n v="1"/>
    <n v="0"/>
    <n v="0"/>
    <n v="0"/>
    <n v="0"/>
    <s v="-"/>
    <s v="-"/>
    <n v="1"/>
    <n v="1"/>
    <n v="0"/>
    <n v="1"/>
    <n v="0"/>
    <n v="0"/>
    <n v="0"/>
    <n v="0"/>
    <s v="-"/>
    <s v="-"/>
    <n v="0"/>
    <n v="0"/>
    <n v="0"/>
    <n v="0"/>
    <s v="-"/>
    <s v="-"/>
    <n v="17"/>
    <n v="17"/>
    <n v="1"/>
    <n v="1"/>
    <n v="0"/>
    <n v="0"/>
    <n v="0"/>
    <n v="0"/>
    <n v="0"/>
    <n v="1"/>
    <n v="1"/>
    <n v="0"/>
    <n v="1"/>
    <n v="0"/>
    <n v="0"/>
    <n v="0"/>
    <n v="0"/>
    <s v="-"/>
    <s v="-"/>
    <n v="0"/>
    <n v="0"/>
    <n v="0"/>
    <n v="0"/>
    <n v="0"/>
    <n v="0"/>
    <n v="0"/>
    <n v="0"/>
    <n v="0"/>
    <s v="-"/>
    <s v="-"/>
    <n v="0"/>
    <n v="0"/>
    <n v="0"/>
    <n v="0"/>
    <n v="0"/>
    <n v="0"/>
    <n v="0"/>
    <n v="0"/>
    <n v="0"/>
    <n v="0"/>
    <s v="-"/>
    <s v="-"/>
    <n v="0"/>
    <n v="0"/>
    <n v="0"/>
    <s v="-"/>
    <s v="-"/>
    <n v="0"/>
    <n v="0"/>
    <n v="0"/>
    <s v="-"/>
    <s v="-"/>
    <n v="0"/>
    <n v="0"/>
    <n v="0"/>
    <s v="-"/>
    <s v="-"/>
    <n v="0"/>
    <n v="0"/>
    <n v="0"/>
    <s v="-"/>
    <s v="-"/>
    <n v="0"/>
    <n v="0"/>
    <n v="0"/>
    <s v="-"/>
    <s v="-"/>
    <n v="0"/>
    <n v="0"/>
    <n v="0"/>
    <n v="0"/>
    <n v="0"/>
    <n v="0"/>
    <n v="0"/>
    <n v="0"/>
    <n v="0"/>
    <n v="0"/>
    <n v="0"/>
    <n v="4"/>
    <n v="0"/>
    <n v="0"/>
    <n v="0"/>
    <n v="0"/>
    <x v="0"/>
  </r>
  <r>
    <x v="0"/>
    <x v="1"/>
    <x v="0"/>
    <x v="1"/>
    <n v="36"/>
    <n v="28"/>
    <n v="8"/>
    <n v="0.77777777777777779"/>
    <n v="0.22222222222222221"/>
    <n v="16"/>
    <n v="9"/>
    <n v="7"/>
    <n v="0.5625"/>
    <n v="0.4375"/>
    <n v="15"/>
    <n v="14"/>
    <n v="1"/>
    <n v="0.93333333333333335"/>
    <n v="6.6666666666666666E-2"/>
    <n v="5"/>
    <n v="5"/>
    <n v="0"/>
    <n v="1"/>
    <n v="0"/>
    <n v="6"/>
    <n v="3"/>
    <n v="3"/>
    <n v="0.5"/>
    <n v="0.5"/>
    <n v="6"/>
    <n v="2"/>
    <n v="4"/>
    <n v="0.33333333333333331"/>
    <n v="0.66666666666666663"/>
    <n v="0"/>
    <n v="0"/>
    <n v="0"/>
    <n v="0"/>
    <s v="-"/>
    <s v="-"/>
    <n v="30"/>
    <n v="24"/>
    <n v="7"/>
    <n v="1"/>
    <n v="0"/>
    <n v="0"/>
    <n v="0"/>
    <n v="0"/>
    <n v="0"/>
    <n v="0"/>
    <n v="0"/>
    <n v="0"/>
    <s v="-"/>
    <s v="-"/>
    <n v="0"/>
    <n v="0"/>
    <n v="0"/>
    <s v="-"/>
    <s v="-"/>
    <n v="0"/>
    <n v="0"/>
    <n v="0"/>
    <n v="0"/>
    <n v="0"/>
    <n v="0"/>
    <n v="1"/>
    <n v="1"/>
    <n v="0"/>
    <n v="1"/>
    <n v="0"/>
    <n v="2"/>
    <n v="0"/>
    <n v="0"/>
    <n v="0"/>
    <n v="0"/>
    <n v="0"/>
    <n v="0"/>
    <n v="2"/>
    <n v="2"/>
    <n v="0"/>
    <n v="1"/>
    <n v="0"/>
    <n v="0"/>
    <n v="0"/>
    <n v="0"/>
    <s v="-"/>
    <s v="-"/>
    <n v="1"/>
    <n v="1"/>
    <n v="0"/>
    <n v="1"/>
    <n v="0"/>
    <n v="0"/>
    <n v="0"/>
    <n v="0"/>
    <s v="-"/>
    <s v="-"/>
    <n v="0"/>
    <n v="0"/>
    <n v="0"/>
    <s v="-"/>
    <s v="-"/>
    <n v="0"/>
    <n v="0"/>
    <n v="0"/>
    <s v="-"/>
    <s v="-"/>
    <n v="0"/>
    <n v="0"/>
    <n v="0"/>
    <n v="0"/>
    <n v="0"/>
    <n v="0"/>
    <n v="0"/>
    <n v="0"/>
    <n v="0"/>
    <n v="0"/>
    <n v="0"/>
    <n v="0"/>
    <n v="0"/>
    <n v="0"/>
    <n v="0"/>
    <n v="0"/>
    <x v="1"/>
  </r>
  <r>
    <x v="0"/>
    <x v="2"/>
    <x v="0"/>
    <x v="1"/>
    <n v="33"/>
    <n v="25"/>
    <n v="8"/>
    <n v="0.75757575757575757"/>
    <n v="0.24242424242424243"/>
    <n v="15"/>
    <n v="8"/>
    <n v="7"/>
    <n v="0.53333333333333333"/>
    <n v="0.46666666666666667"/>
    <n v="12"/>
    <n v="12"/>
    <n v="0"/>
    <n v="1"/>
    <n v="0"/>
    <n v="6"/>
    <n v="5"/>
    <n v="1"/>
    <n v="1"/>
    <n v="0.2"/>
    <n v="4"/>
    <n v="3"/>
    <n v="1"/>
    <n v="0.75"/>
    <n v="0.25"/>
    <n v="3"/>
    <n v="2"/>
    <n v="1"/>
    <n v="0.66666666666666663"/>
    <n v="0.33333333333333331"/>
    <n v="1"/>
    <n v="0"/>
    <n v="0"/>
    <n v="0"/>
    <s v="-"/>
    <s v="-"/>
    <n v="20"/>
    <n v="17"/>
    <n v="4"/>
    <n v="1"/>
    <n v="0"/>
    <n v="0"/>
    <n v="0"/>
    <n v="0"/>
    <n v="0"/>
    <n v="1"/>
    <n v="1"/>
    <n v="0"/>
    <n v="1"/>
    <n v="0"/>
    <n v="0"/>
    <n v="0"/>
    <n v="0"/>
    <s v="-"/>
    <s v="-"/>
    <n v="1"/>
    <n v="1"/>
    <n v="0"/>
    <n v="0"/>
    <n v="1"/>
    <n v="0"/>
    <n v="1"/>
    <n v="1"/>
    <n v="0"/>
    <n v="1"/>
    <n v="0"/>
    <n v="0"/>
    <n v="0"/>
    <n v="0"/>
    <n v="0"/>
    <n v="0"/>
    <n v="0"/>
    <n v="0"/>
    <n v="2"/>
    <n v="2"/>
    <n v="0"/>
    <n v="1"/>
    <n v="0"/>
    <n v="1"/>
    <n v="1"/>
    <n v="0"/>
    <n v="1"/>
    <n v="0"/>
    <n v="0"/>
    <n v="0"/>
    <n v="0"/>
    <s v="-"/>
    <s v="-"/>
    <n v="0"/>
    <n v="0"/>
    <n v="0"/>
    <s v="-"/>
    <s v="-"/>
    <n v="0"/>
    <n v="0"/>
    <n v="0"/>
    <s v="-"/>
    <s v="-"/>
    <n v="0"/>
    <n v="0"/>
    <n v="0"/>
    <s v="-"/>
    <s v="-"/>
    <n v="0"/>
    <n v="1"/>
    <n v="0"/>
    <n v="0"/>
    <n v="0"/>
    <n v="0"/>
    <n v="0"/>
    <n v="0"/>
    <n v="0"/>
    <n v="0"/>
    <n v="0"/>
    <n v="0"/>
    <n v="0"/>
    <n v="0"/>
    <n v="0"/>
    <n v="0"/>
    <x v="2"/>
  </r>
  <r>
    <x v="0"/>
    <x v="3"/>
    <x v="0"/>
    <x v="2"/>
    <n v="13"/>
    <n v="10"/>
    <n v="3"/>
    <n v="0.76923076923076927"/>
    <n v="0.23076923076923078"/>
    <n v="6"/>
    <n v="3"/>
    <n v="3"/>
    <n v="0.5"/>
    <n v="0.5"/>
    <n v="2"/>
    <n v="2"/>
    <n v="0"/>
    <n v="1"/>
    <n v="0"/>
    <n v="5"/>
    <n v="5"/>
    <n v="0"/>
    <n v="1"/>
    <n v="0"/>
    <n v="0"/>
    <n v="0"/>
    <n v="0"/>
    <s v="-"/>
    <s v="-"/>
    <n v="1"/>
    <n v="0"/>
    <n v="1"/>
    <n v="0"/>
    <n v="1"/>
    <n v="1"/>
    <n v="0"/>
    <n v="0"/>
    <n v="0"/>
    <s v="-"/>
    <s v="-"/>
    <n v="8"/>
    <n v="8"/>
    <n v="0"/>
    <n v="0"/>
    <n v="0"/>
    <n v="0"/>
    <n v="0"/>
    <n v="0"/>
    <n v="1"/>
    <n v="0"/>
    <n v="0"/>
    <n v="0"/>
    <s v="-"/>
    <s v="-"/>
    <n v="1"/>
    <n v="0"/>
    <n v="1"/>
    <n v="0"/>
    <n v="1"/>
    <n v="0"/>
    <n v="0"/>
    <n v="0"/>
    <n v="0"/>
    <n v="0"/>
    <n v="0"/>
    <n v="0"/>
    <n v="0"/>
    <n v="0"/>
    <s v="-"/>
    <s v="-"/>
    <n v="0"/>
    <n v="0"/>
    <n v="4"/>
    <n v="0"/>
    <n v="0"/>
    <n v="0"/>
    <n v="0"/>
    <n v="4"/>
    <n v="3"/>
    <n v="1"/>
    <n v="0.75"/>
    <n v="0.25"/>
    <n v="3"/>
    <n v="2"/>
    <n v="1"/>
    <n v="0.66666666666666663"/>
    <n v="0.33333333333333331"/>
    <n v="1"/>
    <n v="1"/>
    <n v="0"/>
    <n v="1"/>
    <n v="0"/>
    <n v="0"/>
    <n v="0"/>
    <n v="0"/>
    <s v="-"/>
    <s v="-"/>
    <n v="0"/>
    <n v="0"/>
    <n v="0"/>
    <s v="-"/>
    <s v="-"/>
    <n v="0"/>
    <n v="0"/>
    <n v="0"/>
    <s v="-"/>
    <s v="-"/>
    <n v="0"/>
    <n v="3"/>
    <n v="4"/>
    <n v="1"/>
    <n v="0"/>
    <n v="0"/>
    <n v="1"/>
    <n v="0"/>
    <n v="0"/>
    <n v="0"/>
    <n v="0"/>
    <n v="0"/>
    <n v="0"/>
    <n v="0"/>
    <n v="0"/>
    <n v="0"/>
    <x v="3"/>
  </r>
  <r>
    <x v="0"/>
    <x v="4"/>
    <x v="0"/>
    <x v="3"/>
    <n v="10"/>
    <n v="7"/>
    <n v="3"/>
    <n v="0.7"/>
    <n v="0.3"/>
    <n v="5"/>
    <n v="2"/>
    <n v="3"/>
    <n v="0.4"/>
    <n v="0.6"/>
    <n v="1"/>
    <n v="1"/>
    <n v="0"/>
    <n v="1"/>
    <n v="0"/>
    <n v="4"/>
    <n v="4"/>
    <n v="0"/>
    <n v="1"/>
    <n v="0"/>
    <n v="1"/>
    <n v="0"/>
    <n v="1"/>
    <n v="0"/>
    <n v="1"/>
    <n v="1"/>
    <n v="1"/>
    <n v="0"/>
    <n v="1"/>
    <n v="0"/>
    <n v="0"/>
    <n v="0"/>
    <n v="0"/>
    <n v="0"/>
    <s v="-"/>
    <s v="-"/>
    <n v="9"/>
    <n v="7"/>
    <n v="2"/>
    <n v="1"/>
    <n v="2"/>
    <n v="2"/>
    <n v="0"/>
    <n v="0"/>
    <n v="0"/>
    <n v="1"/>
    <n v="1"/>
    <n v="0"/>
    <n v="1"/>
    <n v="0"/>
    <n v="1"/>
    <n v="1"/>
    <n v="0"/>
    <n v="1"/>
    <n v="0"/>
    <n v="0"/>
    <n v="0"/>
    <n v="0"/>
    <n v="0"/>
    <n v="0"/>
    <n v="0"/>
    <n v="1"/>
    <n v="1"/>
    <n v="0"/>
    <n v="1"/>
    <n v="0"/>
    <n v="0"/>
    <n v="0"/>
    <n v="8"/>
    <n v="0"/>
    <n v="0"/>
    <n v="0"/>
    <n v="0"/>
    <n v="4"/>
    <n v="3"/>
    <n v="1"/>
    <n v="0.75"/>
    <n v="0.25"/>
    <n v="2"/>
    <n v="2"/>
    <n v="0"/>
    <n v="1"/>
    <n v="0"/>
    <n v="1"/>
    <n v="0"/>
    <n v="1"/>
    <s v="-"/>
    <s v="-"/>
    <n v="0"/>
    <n v="0"/>
    <n v="0"/>
    <s v="-"/>
    <s v="-"/>
    <n v="0"/>
    <n v="0"/>
    <n v="0"/>
    <s v="-"/>
    <s v="-"/>
    <n v="1"/>
    <n v="0"/>
    <n v="1"/>
    <n v="0"/>
    <n v="1"/>
    <n v="0"/>
    <n v="0"/>
    <n v="1"/>
    <n v="1"/>
    <n v="0"/>
    <n v="0"/>
    <n v="0"/>
    <n v="0"/>
    <n v="0"/>
    <n v="0"/>
    <n v="0"/>
    <n v="0"/>
    <n v="0"/>
    <n v="0"/>
    <n v="0"/>
    <n v="0"/>
    <x v="4"/>
  </r>
  <r>
    <x v="0"/>
    <x v="5"/>
    <x v="0"/>
    <x v="4"/>
    <n v="21"/>
    <n v="18"/>
    <n v="3"/>
    <n v="0.8571428571428571"/>
    <n v="0.14285714285714285"/>
    <n v="9"/>
    <n v="6"/>
    <n v="3"/>
    <n v="0.66666666666666663"/>
    <n v="0.33333333333333331"/>
    <n v="9"/>
    <n v="9"/>
    <n v="0"/>
    <n v="1"/>
    <n v="0"/>
    <n v="3"/>
    <n v="3"/>
    <n v="0"/>
    <n v="1"/>
    <n v="0"/>
    <n v="0"/>
    <n v="0"/>
    <n v="0"/>
    <s v="-"/>
    <s v="-"/>
    <n v="0"/>
    <n v="0"/>
    <n v="0"/>
    <s v="-"/>
    <s v="-"/>
    <n v="0"/>
    <n v="0"/>
    <n v="0"/>
    <n v="0"/>
    <s v="-"/>
    <s v="-"/>
    <n v="12"/>
    <n v="11"/>
    <n v="1"/>
    <n v="0"/>
    <n v="0"/>
    <n v="0"/>
    <n v="0"/>
    <n v="0"/>
    <n v="0"/>
    <n v="1"/>
    <n v="1"/>
    <n v="0"/>
    <n v="1"/>
    <n v="0"/>
    <n v="0"/>
    <n v="0"/>
    <n v="0"/>
    <s v="-"/>
    <s v="-"/>
    <n v="0"/>
    <n v="0"/>
    <n v="0"/>
    <n v="0"/>
    <n v="0"/>
    <n v="0"/>
    <n v="0"/>
    <n v="0"/>
    <n v="0"/>
    <s v="-"/>
    <s v="-"/>
    <n v="0"/>
    <n v="5"/>
    <n v="0"/>
    <n v="0"/>
    <n v="0"/>
    <n v="0"/>
    <n v="0"/>
    <n v="3"/>
    <n v="1"/>
    <n v="2"/>
    <n v="0.33333333333333331"/>
    <n v="0.66666666666666663"/>
    <n v="3"/>
    <n v="1"/>
    <n v="2"/>
    <n v="0.33333333333333331"/>
    <n v="0.66666666666666663"/>
    <n v="0"/>
    <n v="0"/>
    <n v="0"/>
    <s v="-"/>
    <s v="-"/>
    <n v="0"/>
    <n v="0"/>
    <n v="0"/>
    <s v="-"/>
    <s v="-"/>
    <n v="1"/>
    <n v="1"/>
    <n v="0"/>
    <n v="1"/>
    <n v="0"/>
    <n v="1"/>
    <n v="0"/>
    <n v="1"/>
    <n v="0"/>
    <n v="1"/>
    <n v="0"/>
    <n v="6"/>
    <n v="8"/>
    <n v="0"/>
    <n v="0"/>
    <n v="0"/>
    <n v="1"/>
    <n v="0"/>
    <n v="0"/>
    <n v="0"/>
    <n v="0"/>
    <n v="0"/>
    <n v="0"/>
    <n v="0"/>
    <n v="0"/>
    <n v="0"/>
    <x v="5"/>
  </r>
  <r>
    <x v="0"/>
    <x v="6"/>
    <x v="0"/>
    <x v="4"/>
    <n v="11"/>
    <n v="9"/>
    <n v="2"/>
    <n v="0.81818181818181823"/>
    <n v="0.18181818181818182"/>
    <n v="5"/>
    <n v="4"/>
    <n v="1"/>
    <n v="0.8"/>
    <n v="0.2"/>
    <n v="2"/>
    <n v="1"/>
    <n v="1"/>
    <n v="0.5"/>
    <n v="0.5"/>
    <n v="4"/>
    <n v="4"/>
    <n v="0"/>
    <n v="1"/>
    <n v="0"/>
    <n v="1"/>
    <n v="0"/>
    <n v="1"/>
    <n v="0"/>
    <n v="1"/>
    <n v="1"/>
    <n v="0"/>
    <n v="1"/>
    <n v="0"/>
    <n v="1"/>
    <n v="0"/>
    <n v="0"/>
    <n v="0"/>
    <n v="0"/>
    <s v="-"/>
    <s v="-"/>
    <n v="12"/>
    <n v="5"/>
    <n v="2"/>
    <n v="1"/>
    <n v="2"/>
    <n v="2"/>
    <n v="0"/>
    <n v="0"/>
    <n v="1"/>
    <n v="3"/>
    <n v="2"/>
    <n v="1"/>
    <n v="0.66666666666666663"/>
    <n v="0.33333333333333331"/>
    <n v="0"/>
    <n v="0"/>
    <n v="0"/>
    <s v="-"/>
    <s v="-"/>
    <n v="2"/>
    <n v="2"/>
    <n v="0"/>
    <n v="0"/>
    <n v="1"/>
    <n v="0"/>
    <n v="0"/>
    <n v="0"/>
    <n v="0"/>
    <s v="-"/>
    <s v="-"/>
    <n v="0"/>
    <n v="1"/>
    <n v="1"/>
    <n v="0"/>
    <n v="0"/>
    <n v="1"/>
    <n v="0"/>
    <n v="1"/>
    <n v="0"/>
    <n v="1"/>
    <n v="0"/>
    <n v="1"/>
    <n v="1"/>
    <n v="0"/>
    <n v="1"/>
    <n v="0"/>
    <n v="1"/>
    <n v="0"/>
    <n v="0"/>
    <n v="0"/>
    <s v="-"/>
    <s v="-"/>
    <n v="0"/>
    <n v="0"/>
    <n v="0"/>
    <s v="-"/>
    <s v="-"/>
    <n v="0"/>
    <n v="0"/>
    <n v="0"/>
    <s v="-"/>
    <s v="-"/>
    <n v="0"/>
    <n v="0"/>
    <n v="0"/>
    <s v="-"/>
    <s v="-"/>
    <n v="0"/>
    <n v="2"/>
    <n v="5"/>
    <n v="0"/>
    <n v="0"/>
    <n v="0"/>
    <n v="0"/>
    <n v="0"/>
    <n v="0"/>
    <n v="0"/>
    <n v="0"/>
    <n v="0"/>
    <n v="0"/>
    <n v="0"/>
    <n v="0"/>
    <n v="0"/>
    <x v="6"/>
  </r>
  <r>
    <x v="0"/>
    <x v="7"/>
    <x v="0"/>
    <x v="4"/>
    <n v="4"/>
    <n v="4"/>
    <n v="0"/>
    <n v="1"/>
    <n v="0"/>
    <n v="2"/>
    <n v="2"/>
    <n v="0"/>
    <n v="1"/>
    <n v="0"/>
    <n v="1"/>
    <n v="1"/>
    <n v="0"/>
    <n v="1"/>
    <n v="0"/>
    <n v="1"/>
    <n v="1"/>
    <n v="0"/>
    <n v="1"/>
    <n v="0"/>
    <n v="0"/>
    <n v="0"/>
    <n v="0"/>
    <s v="-"/>
    <s v="-"/>
    <n v="1"/>
    <n v="1"/>
    <n v="0"/>
    <n v="1"/>
    <n v="0"/>
    <n v="1"/>
    <n v="0"/>
    <n v="0"/>
    <n v="0"/>
    <s v="-"/>
    <s v="-"/>
    <n v="4"/>
    <n v="4"/>
    <n v="0"/>
    <n v="1"/>
    <n v="1"/>
    <n v="1"/>
    <n v="0"/>
    <n v="0"/>
    <n v="0"/>
    <n v="0"/>
    <n v="0"/>
    <n v="0"/>
    <s v="-"/>
    <s v="-"/>
    <n v="0"/>
    <n v="0"/>
    <n v="0"/>
    <s v="-"/>
    <s v="-"/>
    <n v="0"/>
    <n v="0"/>
    <n v="0"/>
    <n v="0"/>
    <n v="0"/>
    <n v="0"/>
    <n v="1"/>
    <n v="1"/>
    <n v="0"/>
    <n v="1"/>
    <n v="0"/>
    <n v="0"/>
    <n v="2"/>
    <n v="0"/>
    <n v="0"/>
    <n v="0"/>
    <n v="0"/>
    <n v="1"/>
    <n v="2"/>
    <n v="2"/>
    <n v="0"/>
    <n v="1"/>
    <n v="0"/>
    <n v="1"/>
    <n v="1"/>
    <n v="0"/>
    <n v="1"/>
    <n v="0"/>
    <n v="0"/>
    <n v="0"/>
    <n v="0"/>
    <s v="-"/>
    <s v="-"/>
    <n v="0"/>
    <n v="0"/>
    <n v="0"/>
    <s v="-"/>
    <s v="-"/>
    <n v="0"/>
    <n v="0"/>
    <n v="0"/>
    <s v="-"/>
    <s v="-"/>
    <n v="1"/>
    <n v="0"/>
    <n v="1"/>
    <n v="0"/>
    <n v="1"/>
    <n v="0"/>
    <n v="3"/>
    <n v="3"/>
    <n v="0"/>
    <n v="0"/>
    <n v="0"/>
    <n v="0"/>
    <n v="0"/>
    <n v="0"/>
    <n v="0"/>
    <n v="0"/>
    <n v="0"/>
    <n v="0"/>
    <n v="0"/>
    <n v="0"/>
    <n v="0"/>
    <x v="7"/>
  </r>
  <r>
    <x v="0"/>
    <x v="8"/>
    <x v="0"/>
    <x v="5"/>
    <n v="5"/>
    <n v="4"/>
    <n v="1"/>
    <n v="0.8"/>
    <n v="0.2"/>
    <n v="2"/>
    <n v="1"/>
    <n v="1"/>
    <n v="0.5"/>
    <n v="0.5"/>
    <n v="1"/>
    <n v="1"/>
    <n v="0"/>
    <n v="1"/>
    <n v="0"/>
    <n v="2"/>
    <n v="2"/>
    <n v="0"/>
    <n v="1"/>
    <n v="0"/>
    <n v="1"/>
    <n v="0"/>
    <n v="1"/>
    <n v="0"/>
    <n v="1"/>
    <n v="1"/>
    <n v="0"/>
    <n v="1"/>
    <n v="0"/>
    <n v="1"/>
    <n v="0"/>
    <n v="0"/>
    <n v="0"/>
    <n v="0"/>
    <s v="-"/>
    <s v="-"/>
    <n v="9"/>
    <n v="4"/>
    <n v="1"/>
    <n v="1"/>
    <n v="1"/>
    <n v="1"/>
    <n v="0"/>
    <n v="0"/>
    <n v="2"/>
    <n v="3"/>
    <n v="2"/>
    <n v="1"/>
    <n v="0.66666666666666663"/>
    <n v="0.33333333333333331"/>
    <n v="2"/>
    <n v="1"/>
    <n v="1"/>
    <n v="0.5"/>
    <n v="0.5"/>
    <n v="4"/>
    <n v="3"/>
    <n v="1"/>
    <n v="0"/>
    <n v="0"/>
    <n v="1"/>
    <n v="0"/>
    <n v="0"/>
    <n v="0"/>
    <s v="-"/>
    <s v="-"/>
    <n v="0"/>
    <n v="0"/>
    <n v="2"/>
    <n v="0"/>
    <n v="0"/>
    <n v="4"/>
    <n v="0"/>
    <n v="0"/>
    <n v="0"/>
    <n v="0"/>
    <s v="-"/>
    <s v="-"/>
    <n v="0"/>
    <n v="0"/>
    <n v="0"/>
    <s v="-"/>
    <s v="-"/>
    <n v="0"/>
    <n v="0"/>
    <n v="0"/>
    <s v="-"/>
    <s v="-"/>
    <n v="0"/>
    <n v="0"/>
    <n v="0"/>
    <s v="-"/>
    <s v="-"/>
    <n v="0"/>
    <n v="0"/>
    <n v="0"/>
    <s v="-"/>
    <s v="-"/>
    <n v="0"/>
    <n v="0"/>
    <n v="0"/>
    <s v="-"/>
    <s v="-"/>
    <n v="0"/>
    <n v="0"/>
    <n v="1"/>
    <n v="0"/>
    <n v="0"/>
    <n v="0"/>
    <n v="2"/>
    <n v="1"/>
    <n v="0"/>
    <n v="0"/>
    <n v="0"/>
    <n v="0"/>
    <n v="0"/>
    <n v="0"/>
    <n v="0"/>
    <n v="0"/>
    <x v="8"/>
  </r>
  <r>
    <x v="0"/>
    <x v="9"/>
    <x v="0"/>
    <x v="6"/>
    <n v="6"/>
    <n v="4"/>
    <n v="2"/>
    <n v="0.66666666666666663"/>
    <n v="0.33333333333333331"/>
    <n v="1"/>
    <n v="0"/>
    <n v="1"/>
    <n v="0"/>
    <n v="1"/>
    <n v="2"/>
    <n v="2"/>
    <n v="0"/>
    <n v="1"/>
    <n v="0"/>
    <n v="3"/>
    <n v="2"/>
    <n v="1"/>
    <n v="1"/>
    <n v="0.5"/>
    <n v="0"/>
    <n v="0"/>
    <n v="0"/>
    <s v="-"/>
    <s v="-"/>
    <n v="1"/>
    <n v="0"/>
    <n v="1"/>
    <n v="0"/>
    <n v="1"/>
    <n v="0"/>
    <n v="0"/>
    <n v="0"/>
    <n v="0"/>
    <s v="-"/>
    <s v="-"/>
    <n v="3"/>
    <n v="1"/>
    <n v="0"/>
    <n v="0"/>
    <n v="2"/>
    <n v="2"/>
    <n v="0"/>
    <n v="0"/>
    <n v="3"/>
    <n v="1"/>
    <n v="1"/>
    <n v="0"/>
    <n v="1"/>
    <n v="0"/>
    <n v="3"/>
    <n v="2"/>
    <n v="1"/>
    <n v="0.66666666666666663"/>
    <n v="0.33333333333333331"/>
    <n v="2"/>
    <n v="1"/>
    <n v="0"/>
    <n v="1"/>
    <n v="0"/>
    <n v="0"/>
    <n v="0"/>
    <n v="0"/>
    <n v="0"/>
    <s v="-"/>
    <s v="-"/>
    <n v="1"/>
    <n v="0"/>
    <n v="1"/>
    <n v="0"/>
    <n v="0"/>
    <n v="2"/>
    <n v="0"/>
    <n v="1"/>
    <n v="1"/>
    <n v="0"/>
    <n v="1"/>
    <n v="0"/>
    <n v="1"/>
    <n v="1"/>
    <n v="0"/>
    <n v="1"/>
    <n v="0"/>
    <n v="0"/>
    <n v="0"/>
    <n v="0"/>
    <s v="-"/>
    <s v="-"/>
    <n v="2"/>
    <n v="0"/>
    <n v="2"/>
    <n v="0"/>
    <n v="1"/>
    <n v="0"/>
    <n v="0"/>
    <n v="0"/>
    <s v="-"/>
    <s v="-"/>
    <n v="0"/>
    <n v="0"/>
    <n v="0"/>
    <s v="-"/>
    <s v="-"/>
    <n v="0"/>
    <n v="5"/>
    <n v="5"/>
    <n v="0"/>
    <n v="0"/>
    <n v="0"/>
    <n v="2"/>
    <n v="1"/>
    <n v="0"/>
    <n v="0"/>
    <n v="0"/>
    <n v="0"/>
    <n v="0"/>
    <n v="0"/>
    <n v="0"/>
    <n v="0"/>
    <x v="9"/>
  </r>
  <r>
    <x v="0"/>
    <x v="10"/>
    <x v="0"/>
    <x v="7"/>
    <n v="8"/>
    <n v="6"/>
    <n v="2"/>
    <n v="0.75"/>
    <n v="0.25"/>
    <n v="2"/>
    <n v="1"/>
    <n v="1"/>
    <n v="0.5"/>
    <n v="0.5"/>
    <n v="2"/>
    <n v="1"/>
    <n v="1"/>
    <n v="0.5"/>
    <n v="0.5"/>
    <n v="4"/>
    <n v="4"/>
    <n v="0"/>
    <n v="1"/>
    <n v="0"/>
    <n v="0"/>
    <n v="0"/>
    <n v="0"/>
    <s v="-"/>
    <s v="-"/>
    <n v="0"/>
    <n v="0"/>
    <n v="0"/>
    <s v="-"/>
    <s v="-"/>
    <n v="2"/>
    <n v="0"/>
    <n v="0"/>
    <n v="0"/>
    <s v="-"/>
    <s v="-"/>
    <n v="9"/>
    <n v="5"/>
    <n v="1"/>
    <n v="0"/>
    <n v="1"/>
    <n v="1"/>
    <n v="0"/>
    <n v="0"/>
    <n v="3"/>
    <n v="0"/>
    <n v="0"/>
    <n v="0"/>
    <s v="-"/>
    <s v="-"/>
    <n v="0"/>
    <n v="0"/>
    <n v="0"/>
    <s v="-"/>
    <s v="-"/>
    <n v="1"/>
    <n v="0"/>
    <n v="1"/>
    <n v="0"/>
    <n v="0"/>
    <n v="1"/>
    <n v="4"/>
    <n v="3"/>
    <n v="1"/>
    <n v="0.75"/>
    <n v="0.25"/>
    <n v="0"/>
    <n v="2"/>
    <n v="0"/>
    <n v="0"/>
    <n v="0"/>
    <n v="0"/>
    <n v="0"/>
    <n v="5"/>
    <n v="3"/>
    <n v="2"/>
    <n v="0.6"/>
    <n v="0.4"/>
    <n v="1"/>
    <n v="0"/>
    <n v="1"/>
    <n v="0"/>
    <n v="1"/>
    <n v="0"/>
    <n v="0"/>
    <n v="0"/>
    <s v="-"/>
    <s v="-"/>
    <n v="0"/>
    <n v="0"/>
    <n v="0"/>
    <s v="-"/>
    <s v="-"/>
    <n v="2"/>
    <n v="1"/>
    <n v="1"/>
    <n v="0.5"/>
    <n v="0.5"/>
    <n v="2"/>
    <n v="2"/>
    <n v="0"/>
    <n v="1"/>
    <n v="0"/>
    <n v="0"/>
    <n v="1"/>
    <n v="1"/>
    <n v="0"/>
    <n v="0"/>
    <n v="0"/>
    <n v="2"/>
    <n v="1"/>
    <n v="0"/>
    <n v="0"/>
    <n v="0"/>
    <n v="0"/>
    <n v="0"/>
    <n v="0"/>
    <n v="0"/>
    <n v="0"/>
    <x v="10"/>
  </r>
  <r>
    <x v="0"/>
    <x v="11"/>
    <x v="0"/>
    <x v="4"/>
    <n v="2"/>
    <n v="2"/>
    <n v="0"/>
    <n v="1"/>
    <n v="0"/>
    <n v="0"/>
    <n v="0"/>
    <n v="0"/>
    <s v="-"/>
    <s v="-"/>
    <n v="1"/>
    <n v="1"/>
    <n v="0"/>
    <n v="1"/>
    <n v="0"/>
    <n v="1"/>
    <n v="1"/>
    <n v="0"/>
    <n v="1"/>
    <n v="0"/>
    <n v="0"/>
    <n v="0"/>
    <n v="0"/>
    <s v="-"/>
    <s v="-"/>
    <n v="0"/>
    <n v="0"/>
    <n v="0"/>
    <s v="-"/>
    <s v="-"/>
    <n v="0"/>
    <n v="0"/>
    <n v="0"/>
    <n v="0"/>
    <s v="-"/>
    <s v="-"/>
    <n v="3"/>
    <n v="2"/>
    <n v="0"/>
    <n v="0"/>
    <n v="1"/>
    <n v="0"/>
    <n v="1"/>
    <n v="0"/>
    <n v="0"/>
    <n v="0"/>
    <n v="0"/>
    <n v="0"/>
    <s v="-"/>
    <s v="-"/>
    <n v="0"/>
    <n v="0"/>
    <n v="0"/>
    <s v="-"/>
    <s v="-"/>
    <n v="4"/>
    <n v="1"/>
    <n v="2"/>
    <n v="1"/>
    <n v="1"/>
    <n v="0"/>
    <n v="0"/>
    <n v="0"/>
    <n v="0"/>
    <s v="-"/>
    <s v="-"/>
    <n v="0"/>
    <n v="2"/>
    <n v="0"/>
    <n v="0"/>
    <n v="0"/>
    <n v="0"/>
    <n v="0"/>
    <n v="2"/>
    <n v="0"/>
    <n v="2"/>
    <n v="0"/>
    <n v="1"/>
    <n v="2"/>
    <n v="0"/>
    <n v="2"/>
    <n v="0"/>
    <n v="1"/>
    <n v="0"/>
    <n v="0"/>
    <n v="0"/>
    <s v="-"/>
    <s v="-"/>
    <n v="0"/>
    <n v="0"/>
    <n v="0"/>
    <s v="-"/>
    <s v="-"/>
    <n v="0"/>
    <n v="0"/>
    <n v="0"/>
    <s v="-"/>
    <s v="-"/>
    <n v="0"/>
    <n v="0"/>
    <n v="0"/>
    <s v="-"/>
    <s v="-"/>
    <n v="0"/>
    <n v="1"/>
    <n v="1"/>
    <n v="0"/>
    <n v="0"/>
    <n v="0"/>
    <n v="0"/>
    <n v="0"/>
    <n v="0"/>
    <n v="0"/>
    <n v="0"/>
    <n v="0"/>
    <n v="0"/>
    <n v="0"/>
    <n v="0"/>
    <n v="0"/>
    <x v="11"/>
  </r>
  <r>
    <x v="1"/>
    <x v="12"/>
    <x v="1"/>
    <x v="8"/>
    <m/>
    <m/>
    <m/>
    <m/>
    <m/>
    <m/>
    <m/>
    <m/>
    <m/>
    <m/>
    <m/>
    <m/>
    <m/>
    <m/>
    <m/>
    <m/>
    <m/>
    <m/>
    <m/>
    <m/>
    <m/>
    <m/>
    <m/>
    <m/>
    <m/>
    <m/>
    <m/>
    <m/>
    <m/>
    <m/>
    <m/>
    <m/>
    <m/>
    <m/>
    <m/>
    <m/>
    <m/>
    <m/>
    <m/>
    <m/>
    <m/>
    <m/>
    <m/>
    <m/>
    <m/>
    <m/>
    <m/>
    <m/>
    <m/>
    <m/>
    <m/>
    <m/>
    <m/>
    <m/>
    <m/>
    <m/>
    <m/>
    <m/>
    <m/>
    <m/>
    <m/>
    <m/>
    <m/>
    <m/>
    <m/>
    <m/>
    <m/>
    <m/>
    <m/>
    <m/>
    <m/>
    <m/>
    <m/>
    <m/>
    <m/>
    <m/>
    <m/>
    <m/>
    <m/>
    <m/>
    <m/>
    <m/>
    <m/>
    <m/>
    <m/>
    <m/>
    <m/>
    <m/>
    <m/>
    <m/>
    <m/>
    <m/>
    <m/>
    <m/>
    <m/>
    <m/>
    <m/>
    <m/>
    <m/>
    <m/>
    <m/>
    <m/>
    <m/>
    <m/>
    <m/>
    <m/>
    <m/>
    <m/>
    <m/>
    <m/>
    <m/>
    <m/>
    <m/>
    <m/>
    <m/>
    <m/>
    <m/>
    <m/>
    <m/>
    <x v="12"/>
  </r>
  <r>
    <x v="2"/>
    <x v="13"/>
    <x v="2"/>
    <x v="9"/>
    <s v="Total Passes"/>
    <s v="Completed Passes"/>
    <s v="Uncompleted Passes"/>
    <s v="Completed Passes %"/>
    <s v="Uncompleted Passes %"/>
    <s v="Total Forward Passes"/>
    <s v="Completed Forward Passes"/>
    <s v="Uncompleted Forward Passes"/>
    <s v="Completed Forward Passes %"/>
    <s v="Uncompleted Forward Passes %"/>
    <s v="Total Lateral Passes"/>
    <s v="Completed Lateral Passes"/>
    <s v="Uncompleted Lateral Passes"/>
    <s v="Completed Lateral Passes %"/>
    <s v="Uncompleted Lateral Passes %"/>
    <s v="Total Backward Passes"/>
    <s v="Completed Backward Passes"/>
    <s v="Uncompleted Backward Passes"/>
    <s v="Completed Backward Passes %"/>
    <s v="Uncompleted Backward Passes %"/>
    <s v="Total Long Passes"/>
    <s v="Completed Long Passes"/>
    <s v="Uncompleted Long Passes"/>
    <s v="Completed Long Passes %"/>
    <s v="Uncompleted Long Passes %"/>
    <s v="Total Balls in Behind"/>
    <s v="Completed Balls in Behind"/>
    <s v="Uncompleted Balls in Behind"/>
    <s v="Completed Balls in Behind %"/>
    <s v="Uncompleted Balls in Behind %"/>
    <s v="Total Through Passes"/>
    <s v="Total Diagonal Passes"/>
    <s v="Completed Diagonal Passes"/>
    <s v="Uncompleted Diagonal Passes"/>
    <s v="Completed Diagonal Passes %"/>
    <s v="Uncompleted Diagonal Passes %"/>
    <s v="Total Pass Received"/>
    <s v="Pass Received &amp; Pass completed"/>
    <s v="Pass Received &amp; Pass Uncompleted"/>
    <s v="Ball Kept"/>
    <s v="Ball Lost"/>
    <s v="Ball Lost in Final 1/3"/>
    <s v="Ball Lost in Middle 1/3"/>
    <s v="Ball Lost in Own 1/3"/>
    <s v="Touches in the Box"/>
    <s v="Total 1v1"/>
    <s v="Successful 1v1"/>
    <s v="Unsuccessful 1v1"/>
    <s v="Completed 1v1 %"/>
    <s v="Uncompleted 1v1 %"/>
    <s v="Total Cross"/>
    <s v="Completed Cross"/>
    <s v="Uncompleted Cross"/>
    <s v="Completed Cross %"/>
    <s v="Uncompleted Cross %"/>
    <s v="Total Shots"/>
    <s v="On Target"/>
    <s v="Off Target"/>
    <s v="Blocked"/>
    <s v="Goal"/>
    <s v="Assist"/>
    <s v="Total Offensive duel"/>
    <s v="Successful Offensive Duel"/>
    <s v="Unsuccessful Offensive Duel"/>
    <s v="Successful Offensive Duel %"/>
    <s v="Unsuccessful Offensive Duel %"/>
    <s v="Total Acceleration"/>
    <s v="Total Into Pocket"/>
    <s v="Total Wide Area"/>
    <s v="Total Back to Goal"/>
    <s v="Total Over/Underlaps"/>
    <s v="Total Runs in Behind"/>
    <s v="Total Half-space Runs"/>
    <s v="Total Duel"/>
    <s v="Successful Duel"/>
    <s v="Unsuccesful Duel"/>
    <s v="Successful Duel %"/>
    <s v="Unsuccesful Duel %"/>
    <s v="Total Defensive Duel"/>
    <s v="Successful Defensive Duel"/>
    <s v="Unsuccesful Defensive Duel"/>
    <s v="Successful Defensive Duel %"/>
    <s v="Unsuccesful Defensive Duel %"/>
    <s v="Total Aerial Duel"/>
    <s v="Succesful Aerial Duel"/>
    <s v="Unsuccessful Aerial Duel"/>
    <s v="Succesful Aerial Duel %"/>
    <s v="Unsuccessful Aerial Duel %"/>
    <s v="Total 1v1 Defence"/>
    <s v="Successful 1v1 Defence"/>
    <s v="Unsuccessful 1v1 Defence"/>
    <s v="Successful 1v1 Defence %"/>
    <s v="Unsuccessful 1v1 Defence %"/>
    <s v="Total Tackles"/>
    <s v="Successful Tackles"/>
    <s v="Unsuccessful Tackles"/>
    <s v="Successful Tackles %"/>
    <s v="Unsuccessful Tackles %"/>
    <s v="Total 2nd Balls"/>
    <s v="Successful 2nd Ball"/>
    <s v="Unsuccessful 2nd Ball"/>
    <s v="Successful 2nd Ball %"/>
    <s v="Unsuccessful 2nd Ball %"/>
    <s v="Clearance"/>
    <s v="Interception"/>
    <s v="Turnover Won"/>
    <s v="Recovery"/>
    <s v="Blocked Shots"/>
    <s v="Missed Man-marking"/>
    <s v="Fouls"/>
    <s v="Won Fouls"/>
    <s v="GK 1v1"/>
    <s v="GK On target"/>
    <s v="GK Off Target"/>
    <s v="Defence the Space"/>
    <s v="Goal Conceded"/>
    <s v="Save"/>
    <s v="Defend the line (Cross)"/>
    <s v="Counter Kick"/>
    <x v="13"/>
  </r>
  <r>
    <x v="3"/>
    <x v="0"/>
    <x v="0"/>
    <x v="0"/>
    <n v="18"/>
    <n v="15"/>
    <n v="3"/>
    <n v="0.83333333333333337"/>
    <n v="0.16666666666666666"/>
    <n v="9"/>
    <n v="7"/>
    <n v="2"/>
    <n v="0.77777777777777779"/>
    <n v="0.22222222222222221"/>
    <n v="9"/>
    <n v="8"/>
    <n v="1"/>
    <n v="0.88888888888888884"/>
    <n v="0.1111111111111111"/>
    <n v="0"/>
    <n v="0"/>
    <n v="0"/>
    <s v="-"/>
    <s v="-"/>
    <n v="4"/>
    <n v="3"/>
    <n v="2"/>
    <n v="0.75"/>
    <n v="0.5"/>
    <n v="1"/>
    <n v="1"/>
    <n v="0"/>
    <n v="1"/>
    <n v="0"/>
    <n v="0"/>
    <n v="0"/>
    <n v="0"/>
    <n v="0"/>
    <s v="-"/>
    <s v="-"/>
    <n v="13"/>
    <n v="11"/>
    <n v="2"/>
    <n v="0"/>
    <n v="0"/>
    <n v="0"/>
    <n v="0"/>
    <n v="0"/>
    <n v="0"/>
    <n v="0"/>
    <n v="0"/>
    <n v="0"/>
    <s v="-"/>
    <s v="-"/>
    <n v="0"/>
    <n v="0"/>
    <n v="0"/>
    <s v="-"/>
    <s v="-"/>
    <n v="0"/>
    <n v="0"/>
    <n v="0"/>
    <n v="0"/>
    <n v="0"/>
    <n v="0"/>
    <n v="0"/>
    <n v="0"/>
    <n v="0"/>
    <s v="-"/>
    <s v="-"/>
    <n v="1"/>
    <n v="0"/>
    <n v="0"/>
    <n v="0"/>
    <n v="0"/>
    <n v="0"/>
    <n v="0"/>
    <n v="0"/>
    <n v="0"/>
    <n v="0"/>
    <s v="-"/>
    <s v="-"/>
    <n v="0"/>
    <n v="0"/>
    <n v="0"/>
    <s v="-"/>
    <s v="-"/>
    <n v="0"/>
    <n v="0"/>
    <n v="0"/>
    <s v="-"/>
    <s v="-"/>
    <n v="0"/>
    <n v="0"/>
    <n v="0"/>
    <s v="-"/>
    <s v="-"/>
    <n v="0"/>
    <n v="0"/>
    <n v="0"/>
    <s v="-"/>
    <s v="-"/>
    <n v="0"/>
    <n v="0"/>
    <n v="0"/>
    <s v="-"/>
    <s v="-"/>
    <n v="0"/>
    <n v="0"/>
    <n v="0"/>
    <n v="0"/>
    <n v="0"/>
    <n v="0"/>
    <n v="0"/>
    <n v="0"/>
    <n v="0"/>
    <n v="0"/>
    <n v="0"/>
    <n v="1"/>
    <n v="0"/>
    <n v="0"/>
    <n v="0"/>
    <n v="0"/>
    <x v="0"/>
  </r>
  <r>
    <x v="3"/>
    <x v="14"/>
    <x v="0"/>
    <x v="0"/>
    <n v="36"/>
    <n v="27"/>
    <n v="9"/>
    <n v="0.75"/>
    <n v="0.25"/>
    <n v="21"/>
    <n v="14"/>
    <n v="7"/>
    <n v="0.66666666666666663"/>
    <n v="0.33333333333333331"/>
    <n v="15"/>
    <n v="13"/>
    <n v="2"/>
    <n v="0.8666666666666667"/>
    <n v="0.13333333333333333"/>
    <n v="0"/>
    <n v="0"/>
    <n v="0"/>
    <s v="-"/>
    <s v="-"/>
    <n v="7"/>
    <n v="4"/>
    <n v="5"/>
    <n v="0.5714285714285714"/>
    <n v="0.7142857142857143"/>
    <n v="2"/>
    <n v="2"/>
    <n v="2"/>
    <n v="1"/>
    <n v="1"/>
    <n v="0"/>
    <n v="0"/>
    <n v="0"/>
    <n v="0"/>
    <s v="-"/>
    <s v="-"/>
    <n v="20"/>
    <n v="17"/>
    <n v="5"/>
    <n v="0"/>
    <n v="0"/>
    <n v="0"/>
    <n v="0"/>
    <n v="0"/>
    <n v="0"/>
    <n v="1"/>
    <n v="1"/>
    <n v="0"/>
    <n v="1"/>
    <n v="0"/>
    <n v="0"/>
    <n v="0"/>
    <n v="0"/>
    <s v="-"/>
    <s v="-"/>
    <n v="0"/>
    <n v="0"/>
    <n v="0"/>
    <n v="0"/>
    <n v="0"/>
    <n v="0"/>
    <n v="0"/>
    <n v="0"/>
    <n v="0"/>
    <s v="-"/>
    <s v="-"/>
    <n v="0"/>
    <n v="0"/>
    <n v="0"/>
    <n v="0"/>
    <n v="0"/>
    <n v="0"/>
    <n v="0"/>
    <n v="0"/>
    <n v="0"/>
    <n v="0"/>
    <s v="-"/>
    <s v="-"/>
    <n v="0"/>
    <n v="0"/>
    <n v="0"/>
    <s v="-"/>
    <s v="-"/>
    <n v="0"/>
    <n v="0"/>
    <n v="0"/>
    <s v="-"/>
    <s v="-"/>
    <n v="0"/>
    <n v="0"/>
    <n v="0"/>
    <s v="-"/>
    <s v="-"/>
    <n v="0"/>
    <n v="0"/>
    <n v="0"/>
    <s v="-"/>
    <s v="-"/>
    <n v="0"/>
    <n v="0"/>
    <n v="0"/>
    <s v="-"/>
    <s v="-"/>
    <n v="0"/>
    <n v="0"/>
    <n v="0"/>
    <n v="0"/>
    <n v="0"/>
    <n v="0"/>
    <n v="0"/>
    <n v="0"/>
    <n v="0"/>
    <n v="3"/>
    <n v="1"/>
    <n v="2"/>
    <n v="1"/>
    <n v="0"/>
    <n v="0"/>
    <n v="0"/>
    <x v="14"/>
  </r>
  <r>
    <x v="3"/>
    <x v="15"/>
    <x v="0"/>
    <x v="1"/>
    <n v="41"/>
    <n v="31"/>
    <n v="10"/>
    <n v="0.75609756097560976"/>
    <n v="0.24390243902439024"/>
    <n v="18"/>
    <n v="11"/>
    <n v="7"/>
    <n v="0.61111111111111116"/>
    <n v="0.3888888888888889"/>
    <n v="10"/>
    <n v="9"/>
    <n v="1"/>
    <n v="0.9"/>
    <n v="0.1"/>
    <n v="13"/>
    <n v="11"/>
    <n v="2"/>
    <n v="1"/>
    <n v="0.18181818181818182"/>
    <n v="6"/>
    <n v="3"/>
    <n v="4"/>
    <n v="0.5"/>
    <n v="0.66666666666666663"/>
    <n v="1"/>
    <n v="1"/>
    <n v="0"/>
    <n v="1"/>
    <n v="0"/>
    <n v="0"/>
    <n v="0"/>
    <n v="0"/>
    <n v="0"/>
    <s v="-"/>
    <s v="-"/>
    <n v="33"/>
    <n v="25"/>
    <n v="7"/>
    <n v="0"/>
    <n v="2"/>
    <n v="0"/>
    <n v="0"/>
    <n v="2"/>
    <n v="0"/>
    <n v="1"/>
    <n v="0"/>
    <n v="1"/>
    <n v="0"/>
    <n v="1"/>
    <n v="1"/>
    <n v="0"/>
    <n v="1"/>
    <n v="0"/>
    <n v="1"/>
    <n v="0"/>
    <n v="0"/>
    <n v="0"/>
    <n v="0"/>
    <n v="0"/>
    <n v="0"/>
    <n v="0"/>
    <n v="0"/>
    <n v="0"/>
    <s v="-"/>
    <s v="-"/>
    <n v="2"/>
    <n v="0"/>
    <n v="1"/>
    <n v="0"/>
    <n v="0"/>
    <n v="0"/>
    <n v="0"/>
    <n v="1"/>
    <n v="0"/>
    <n v="1"/>
    <n v="0"/>
    <n v="1"/>
    <n v="1"/>
    <n v="0"/>
    <n v="1"/>
    <n v="0"/>
    <n v="1"/>
    <n v="0"/>
    <n v="0"/>
    <n v="0"/>
    <s v="-"/>
    <s v="-"/>
    <n v="1"/>
    <n v="0"/>
    <n v="1"/>
    <n v="0"/>
    <n v="1"/>
    <n v="1"/>
    <n v="1"/>
    <n v="0"/>
    <n v="1"/>
    <n v="0"/>
    <n v="0"/>
    <n v="0"/>
    <n v="0"/>
    <s v="-"/>
    <s v="-"/>
    <n v="2"/>
    <n v="1"/>
    <n v="1"/>
    <n v="0"/>
    <n v="0"/>
    <n v="0"/>
    <n v="0"/>
    <n v="0"/>
    <n v="0"/>
    <n v="0"/>
    <n v="0"/>
    <n v="0"/>
    <n v="0"/>
    <n v="0"/>
    <n v="0"/>
    <n v="0"/>
    <x v="15"/>
  </r>
  <r>
    <x v="3"/>
    <x v="1"/>
    <x v="0"/>
    <x v="1"/>
    <n v="33"/>
    <n v="28"/>
    <n v="5"/>
    <n v="0.84848484848484851"/>
    <n v="0.15151515151515152"/>
    <n v="15"/>
    <n v="12"/>
    <n v="3"/>
    <n v="0.8"/>
    <n v="0.2"/>
    <n v="12"/>
    <n v="10"/>
    <n v="2"/>
    <n v="0.83333333333333337"/>
    <n v="0.16666666666666666"/>
    <n v="6"/>
    <n v="6"/>
    <n v="0"/>
    <n v="1"/>
    <n v="0"/>
    <n v="0"/>
    <n v="0"/>
    <n v="0"/>
    <s v="-"/>
    <s v="-"/>
    <n v="1"/>
    <n v="1"/>
    <n v="1"/>
    <n v="1"/>
    <n v="1"/>
    <n v="0"/>
    <n v="0"/>
    <n v="0"/>
    <n v="0"/>
    <s v="-"/>
    <s v="-"/>
    <n v="23"/>
    <n v="19"/>
    <n v="4"/>
    <n v="3"/>
    <n v="3"/>
    <n v="0"/>
    <n v="3"/>
    <n v="0"/>
    <n v="0"/>
    <n v="3"/>
    <n v="3"/>
    <n v="0"/>
    <n v="1"/>
    <n v="0"/>
    <n v="0"/>
    <n v="0"/>
    <n v="0"/>
    <s v="-"/>
    <s v="-"/>
    <n v="0"/>
    <n v="0"/>
    <n v="0"/>
    <n v="0"/>
    <n v="0"/>
    <n v="0"/>
    <n v="3"/>
    <n v="2"/>
    <n v="1"/>
    <n v="0.66666666666666663"/>
    <n v="0.33333333333333331"/>
    <n v="2"/>
    <n v="0"/>
    <n v="0"/>
    <n v="0"/>
    <n v="0"/>
    <n v="0"/>
    <n v="0"/>
    <n v="5"/>
    <n v="2"/>
    <n v="3"/>
    <n v="0.4"/>
    <n v="0.6"/>
    <n v="1"/>
    <n v="0"/>
    <n v="1"/>
    <n v="0"/>
    <n v="1"/>
    <n v="1"/>
    <n v="0"/>
    <n v="1"/>
    <s v="-"/>
    <s v="-"/>
    <n v="1"/>
    <n v="0"/>
    <n v="1"/>
    <n v="0"/>
    <n v="1"/>
    <n v="1"/>
    <n v="0"/>
    <n v="1"/>
    <n v="0"/>
    <n v="1"/>
    <n v="1"/>
    <n v="1"/>
    <n v="0"/>
    <n v="1"/>
    <n v="0"/>
    <n v="1"/>
    <n v="0"/>
    <n v="0"/>
    <n v="1"/>
    <n v="0"/>
    <n v="0"/>
    <n v="1"/>
    <n v="1"/>
    <n v="0"/>
    <n v="0"/>
    <n v="0"/>
    <n v="0"/>
    <n v="0"/>
    <n v="0"/>
    <n v="0"/>
    <n v="0"/>
    <x v="1"/>
  </r>
  <r>
    <x v="3"/>
    <x v="16"/>
    <x v="0"/>
    <x v="2"/>
    <n v="27"/>
    <n v="22"/>
    <n v="5"/>
    <n v="0.81481481481481477"/>
    <n v="0.18518518518518517"/>
    <n v="12"/>
    <n v="8"/>
    <n v="4"/>
    <n v="0.66666666666666663"/>
    <n v="0.33333333333333331"/>
    <n v="4"/>
    <n v="4"/>
    <n v="0"/>
    <n v="1"/>
    <n v="0"/>
    <n v="11"/>
    <n v="10"/>
    <n v="1"/>
    <n v="1"/>
    <n v="0.1"/>
    <n v="2"/>
    <n v="1"/>
    <n v="2"/>
    <n v="0.5"/>
    <n v="1"/>
    <n v="2"/>
    <n v="2"/>
    <n v="0"/>
    <n v="1"/>
    <n v="0"/>
    <n v="0"/>
    <n v="0"/>
    <n v="0"/>
    <n v="0"/>
    <s v="-"/>
    <s v="-"/>
    <n v="21"/>
    <n v="15"/>
    <n v="4"/>
    <n v="2"/>
    <n v="4"/>
    <n v="1"/>
    <n v="1"/>
    <n v="2"/>
    <n v="0"/>
    <n v="3"/>
    <n v="2"/>
    <n v="1"/>
    <n v="0.66666666666666663"/>
    <n v="0.33333333333333331"/>
    <n v="1"/>
    <n v="0"/>
    <n v="1"/>
    <n v="0"/>
    <n v="1"/>
    <n v="1"/>
    <n v="0"/>
    <n v="0"/>
    <n v="1"/>
    <n v="0"/>
    <n v="0"/>
    <n v="0"/>
    <n v="0"/>
    <n v="0"/>
    <s v="-"/>
    <s v="-"/>
    <n v="0"/>
    <n v="0"/>
    <n v="14"/>
    <n v="0"/>
    <n v="1"/>
    <n v="0"/>
    <n v="0"/>
    <n v="3"/>
    <n v="1"/>
    <n v="2"/>
    <n v="0.33333333333333331"/>
    <n v="0.66666666666666663"/>
    <n v="3"/>
    <n v="1"/>
    <n v="2"/>
    <n v="0.33333333333333331"/>
    <n v="0.66666666666666663"/>
    <n v="0"/>
    <n v="0"/>
    <n v="0"/>
    <s v="-"/>
    <s v="-"/>
    <n v="0"/>
    <n v="0"/>
    <n v="0"/>
    <s v="-"/>
    <s v="-"/>
    <n v="1"/>
    <n v="0"/>
    <n v="1"/>
    <n v="0"/>
    <n v="1"/>
    <n v="1"/>
    <n v="1"/>
    <n v="0"/>
    <n v="1"/>
    <n v="0"/>
    <n v="0"/>
    <n v="2"/>
    <n v="1"/>
    <n v="1"/>
    <n v="0"/>
    <n v="0"/>
    <n v="3"/>
    <n v="2"/>
    <n v="0"/>
    <n v="0"/>
    <n v="0"/>
    <n v="0"/>
    <n v="0"/>
    <n v="0"/>
    <n v="0"/>
    <n v="0"/>
    <x v="16"/>
  </r>
  <r>
    <x v="3"/>
    <x v="4"/>
    <x v="0"/>
    <x v="3"/>
    <n v="10"/>
    <n v="10"/>
    <n v="0"/>
    <n v="1"/>
    <n v="0"/>
    <n v="2"/>
    <n v="2"/>
    <n v="0"/>
    <n v="1"/>
    <n v="0"/>
    <n v="2"/>
    <n v="2"/>
    <n v="0"/>
    <n v="1"/>
    <n v="0"/>
    <n v="6"/>
    <n v="6"/>
    <n v="0"/>
    <n v="1"/>
    <n v="0"/>
    <n v="0"/>
    <n v="0"/>
    <n v="0"/>
    <s v="-"/>
    <s v="-"/>
    <n v="1"/>
    <n v="1"/>
    <n v="0"/>
    <n v="1"/>
    <n v="0"/>
    <n v="1"/>
    <n v="0"/>
    <n v="0"/>
    <n v="0"/>
    <s v="-"/>
    <s v="-"/>
    <n v="11"/>
    <n v="8"/>
    <n v="0"/>
    <n v="2"/>
    <n v="2"/>
    <n v="1"/>
    <n v="0"/>
    <n v="1"/>
    <n v="1"/>
    <n v="4"/>
    <n v="2"/>
    <n v="2"/>
    <n v="0.5"/>
    <n v="0.5"/>
    <n v="1"/>
    <n v="1"/>
    <n v="0"/>
    <n v="1"/>
    <n v="0"/>
    <n v="0"/>
    <n v="0"/>
    <n v="0"/>
    <n v="0"/>
    <n v="0"/>
    <n v="1"/>
    <n v="2"/>
    <n v="2"/>
    <n v="0"/>
    <n v="1"/>
    <n v="0"/>
    <n v="2"/>
    <n v="2"/>
    <n v="6"/>
    <n v="0"/>
    <n v="0"/>
    <n v="1"/>
    <n v="0"/>
    <n v="3"/>
    <n v="3"/>
    <n v="0"/>
    <n v="1"/>
    <n v="0"/>
    <n v="1"/>
    <n v="1"/>
    <n v="0"/>
    <n v="1"/>
    <n v="0"/>
    <n v="0"/>
    <n v="0"/>
    <n v="0"/>
    <s v="-"/>
    <s v="-"/>
    <n v="2"/>
    <n v="1"/>
    <n v="1"/>
    <n v="0.5"/>
    <n v="0.5"/>
    <n v="1"/>
    <n v="1"/>
    <n v="0"/>
    <n v="1"/>
    <n v="0"/>
    <n v="0"/>
    <n v="0"/>
    <n v="0"/>
    <s v="-"/>
    <s v="-"/>
    <n v="2"/>
    <n v="1"/>
    <n v="2"/>
    <n v="1"/>
    <n v="0"/>
    <n v="0"/>
    <n v="0"/>
    <n v="0"/>
    <n v="0"/>
    <n v="0"/>
    <n v="0"/>
    <n v="0"/>
    <n v="0"/>
    <n v="0"/>
    <n v="0"/>
    <n v="0"/>
    <x v="4"/>
  </r>
  <r>
    <x v="3"/>
    <x v="11"/>
    <x v="3"/>
    <x v="4"/>
    <n v="7"/>
    <n v="7"/>
    <n v="0"/>
    <n v="1"/>
    <n v="0"/>
    <n v="1"/>
    <n v="1"/>
    <n v="0"/>
    <n v="1"/>
    <n v="0"/>
    <n v="5"/>
    <n v="5"/>
    <n v="0"/>
    <n v="1"/>
    <n v="0"/>
    <n v="1"/>
    <n v="1"/>
    <n v="0"/>
    <n v="1"/>
    <n v="0"/>
    <n v="0"/>
    <n v="0"/>
    <n v="0"/>
    <s v="-"/>
    <s v="-"/>
    <n v="1"/>
    <n v="1"/>
    <n v="0"/>
    <n v="1"/>
    <n v="0"/>
    <n v="0"/>
    <n v="0"/>
    <n v="0"/>
    <n v="0"/>
    <s v="-"/>
    <s v="-"/>
    <n v="8"/>
    <n v="7"/>
    <n v="0"/>
    <n v="0"/>
    <n v="1"/>
    <n v="1"/>
    <n v="0"/>
    <n v="0"/>
    <n v="1"/>
    <n v="0"/>
    <n v="0"/>
    <n v="0"/>
    <s v="-"/>
    <s v="-"/>
    <n v="0"/>
    <n v="0"/>
    <n v="0"/>
    <s v="-"/>
    <s v="-"/>
    <n v="1"/>
    <n v="0"/>
    <n v="1"/>
    <n v="0"/>
    <n v="2"/>
    <n v="1"/>
    <n v="0"/>
    <n v="0"/>
    <n v="0"/>
    <s v="-"/>
    <s v="-"/>
    <n v="0"/>
    <n v="3"/>
    <n v="2"/>
    <n v="0"/>
    <n v="0"/>
    <n v="0"/>
    <n v="0"/>
    <n v="3"/>
    <n v="1"/>
    <n v="2"/>
    <n v="0.33333333333333331"/>
    <n v="0.66666666666666663"/>
    <n v="1"/>
    <n v="1"/>
    <n v="0"/>
    <n v="1"/>
    <n v="0"/>
    <n v="2"/>
    <n v="0"/>
    <n v="2"/>
    <s v="-"/>
    <s v="-"/>
    <n v="0"/>
    <n v="0"/>
    <n v="0"/>
    <s v="-"/>
    <s v="-"/>
    <n v="0"/>
    <n v="0"/>
    <n v="0"/>
    <s v="-"/>
    <s v="-"/>
    <n v="0"/>
    <n v="0"/>
    <n v="0"/>
    <s v="-"/>
    <s v="-"/>
    <n v="0"/>
    <n v="1"/>
    <n v="2"/>
    <n v="0"/>
    <n v="0"/>
    <n v="0"/>
    <n v="0"/>
    <n v="0"/>
    <n v="0"/>
    <n v="0"/>
    <n v="0"/>
    <n v="0"/>
    <n v="0"/>
    <n v="0"/>
    <n v="0"/>
    <n v="0"/>
    <x v="11"/>
  </r>
  <r>
    <x v="3"/>
    <x v="7"/>
    <x v="0"/>
    <x v="4"/>
    <n v="22"/>
    <n v="17"/>
    <n v="5"/>
    <n v="0.77272727272727271"/>
    <n v="0.22727272727272727"/>
    <n v="8"/>
    <n v="4"/>
    <n v="4"/>
    <n v="0.5"/>
    <n v="0.5"/>
    <n v="4"/>
    <n v="3"/>
    <n v="1"/>
    <n v="0.75"/>
    <n v="0.25"/>
    <n v="10"/>
    <n v="10"/>
    <n v="0"/>
    <n v="1"/>
    <n v="0"/>
    <n v="0"/>
    <n v="0"/>
    <n v="0"/>
    <s v="-"/>
    <s v="-"/>
    <n v="2"/>
    <n v="0"/>
    <n v="2"/>
    <n v="0"/>
    <n v="1"/>
    <n v="2"/>
    <n v="0"/>
    <n v="0"/>
    <n v="0"/>
    <s v="-"/>
    <s v="-"/>
    <n v="11"/>
    <n v="8"/>
    <n v="3"/>
    <n v="1"/>
    <n v="4"/>
    <n v="2"/>
    <n v="1"/>
    <n v="1"/>
    <n v="0"/>
    <n v="1"/>
    <n v="1"/>
    <n v="0"/>
    <n v="1"/>
    <n v="0"/>
    <n v="0"/>
    <n v="0"/>
    <n v="0"/>
    <s v="-"/>
    <s v="-"/>
    <n v="0"/>
    <n v="0"/>
    <n v="0"/>
    <n v="0"/>
    <n v="0"/>
    <n v="0"/>
    <n v="3"/>
    <n v="2"/>
    <n v="1"/>
    <n v="0.66666666666666663"/>
    <n v="0.33333333333333331"/>
    <n v="1"/>
    <n v="3"/>
    <n v="1"/>
    <n v="1"/>
    <n v="0"/>
    <n v="0"/>
    <n v="0"/>
    <n v="3"/>
    <n v="2"/>
    <n v="1"/>
    <n v="0.66666666666666663"/>
    <n v="0.33333333333333331"/>
    <n v="0"/>
    <n v="0"/>
    <n v="0"/>
    <s v="-"/>
    <s v="-"/>
    <n v="0"/>
    <n v="0"/>
    <n v="0"/>
    <s v="-"/>
    <s v="-"/>
    <n v="0"/>
    <n v="0"/>
    <n v="0"/>
    <s v="-"/>
    <s v="-"/>
    <n v="1"/>
    <n v="0"/>
    <n v="1"/>
    <n v="0"/>
    <n v="1"/>
    <n v="3"/>
    <n v="2"/>
    <n v="1"/>
    <n v="0.66666666666666663"/>
    <n v="0.33333333333333331"/>
    <n v="0"/>
    <n v="4"/>
    <n v="5"/>
    <n v="0"/>
    <n v="0"/>
    <n v="0"/>
    <n v="2"/>
    <n v="2"/>
    <n v="0"/>
    <n v="0"/>
    <n v="0"/>
    <n v="0"/>
    <n v="0"/>
    <n v="0"/>
    <n v="0"/>
    <n v="0"/>
    <x v="7"/>
  </r>
  <r>
    <x v="3"/>
    <x v="6"/>
    <x v="4"/>
    <x v="4"/>
    <n v="26"/>
    <n v="26"/>
    <n v="0"/>
    <n v="1"/>
    <n v="0"/>
    <n v="8"/>
    <n v="8"/>
    <n v="0"/>
    <n v="1"/>
    <n v="0"/>
    <n v="5"/>
    <n v="5"/>
    <n v="0"/>
    <n v="1"/>
    <n v="0"/>
    <n v="13"/>
    <n v="13"/>
    <n v="0"/>
    <n v="1"/>
    <n v="0"/>
    <n v="3"/>
    <n v="3"/>
    <n v="0"/>
    <n v="1"/>
    <n v="0"/>
    <n v="2"/>
    <n v="2"/>
    <n v="0"/>
    <n v="1"/>
    <n v="0"/>
    <n v="2"/>
    <n v="0"/>
    <n v="0"/>
    <n v="0"/>
    <s v="-"/>
    <s v="-"/>
    <n v="22"/>
    <n v="21"/>
    <n v="0"/>
    <n v="1"/>
    <n v="2"/>
    <n v="0"/>
    <n v="0"/>
    <n v="2"/>
    <n v="0"/>
    <n v="1"/>
    <n v="1"/>
    <n v="0"/>
    <n v="1"/>
    <n v="0"/>
    <n v="0"/>
    <n v="0"/>
    <n v="0"/>
    <s v="-"/>
    <s v="-"/>
    <n v="0"/>
    <n v="0"/>
    <n v="0"/>
    <n v="0"/>
    <n v="0"/>
    <n v="0"/>
    <n v="0"/>
    <n v="0"/>
    <n v="0"/>
    <s v="-"/>
    <s v="-"/>
    <n v="0"/>
    <n v="8"/>
    <n v="1"/>
    <n v="0"/>
    <n v="0"/>
    <n v="0"/>
    <n v="0"/>
    <n v="1"/>
    <n v="1"/>
    <n v="0"/>
    <n v="1"/>
    <n v="0"/>
    <n v="0"/>
    <n v="0"/>
    <n v="0"/>
    <s v="-"/>
    <s v="-"/>
    <n v="1"/>
    <n v="1"/>
    <n v="0"/>
    <n v="1"/>
    <n v="0"/>
    <n v="1"/>
    <n v="0"/>
    <n v="1"/>
    <n v="0"/>
    <n v="1"/>
    <n v="1"/>
    <n v="0"/>
    <n v="1"/>
    <n v="0"/>
    <n v="1"/>
    <n v="1"/>
    <n v="0"/>
    <n v="1"/>
    <n v="0"/>
    <n v="1"/>
    <n v="1"/>
    <n v="0"/>
    <n v="1"/>
    <n v="0"/>
    <n v="0"/>
    <n v="0"/>
    <n v="0"/>
    <n v="0"/>
    <n v="0"/>
    <n v="0"/>
    <n v="0"/>
    <n v="0"/>
    <n v="0"/>
    <n v="0"/>
    <n v="0"/>
    <n v="0"/>
    <x v="6"/>
  </r>
  <r>
    <x v="3"/>
    <x v="8"/>
    <x v="0"/>
    <x v="5"/>
    <n v="1"/>
    <n v="1"/>
    <n v="0"/>
    <n v="1"/>
    <n v="0"/>
    <n v="1"/>
    <n v="1"/>
    <n v="0"/>
    <n v="1"/>
    <n v="0"/>
    <n v="0"/>
    <n v="0"/>
    <n v="0"/>
    <s v="-"/>
    <s v="-"/>
    <n v="0"/>
    <n v="0"/>
    <n v="0"/>
    <s v="-"/>
    <s v="-"/>
    <n v="0"/>
    <n v="0"/>
    <n v="0"/>
    <s v="-"/>
    <s v="-"/>
    <n v="1"/>
    <n v="1"/>
    <n v="0"/>
    <n v="1"/>
    <n v="0"/>
    <n v="1"/>
    <n v="0"/>
    <n v="0"/>
    <n v="0"/>
    <s v="-"/>
    <s v="-"/>
    <n v="7"/>
    <n v="1"/>
    <n v="1"/>
    <n v="3"/>
    <n v="3"/>
    <n v="2"/>
    <n v="1"/>
    <n v="0"/>
    <n v="1"/>
    <n v="3"/>
    <n v="2"/>
    <n v="1"/>
    <n v="0.66666666666666663"/>
    <n v="0.33333333333333331"/>
    <n v="1"/>
    <n v="0"/>
    <n v="1"/>
    <n v="0"/>
    <n v="1"/>
    <n v="1"/>
    <n v="0"/>
    <n v="1"/>
    <n v="0"/>
    <n v="0"/>
    <n v="0"/>
    <n v="1"/>
    <n v="1"/>
    <n v="0"/>
    <n v="1"/>
    <n v="0"/>
    <n v="1"/>
    <n v="0"/>
    <n v="4"/>
    <n v="0"/>
    <n v="0"/>
    <n v="1"/>
    <n v="0"/>
    <n v="2"/>
    <n v="1"/>
    <n v="1"/>
    <n v="0.5"/>
    <n v="0.5"/>
    <n v="1"/>
    <n v="0"/>
    <n v="1"/>
    <n v="0"/>
    <n v="1"/>
    <n v="0"/>
    <n v="0"/>
    <n v="0"/>
    <s v="-"/>
    <s v="-"/>
    <n v="0"/>
    <n v="0"/>
    <n v="0"/>
    <s v="-"/>
    <s v="-"/>
    <n v="0"/>
    <n v="0"/>
    <n v="0"/>
    <s v="-"/>
    <s v="-"/>
    <n v="0"/>
    <n v="0"/>
    <n v="0"/>
    <s v="-"/>
    <s v="-"/>
    <n v="0"/>
    <n v="0"/>
    <n v="0"/>
    <n v="0"/>
    <n v="0"/>
    <n v="0"/>
    <n v="1"/>
    <n v="0"/>
    <n v="0"/>
    <n v="0"/>
    <n v="0"/>
    <n v="0"/>
    <n v="0"/>
    <n v="0"/>
    <n v="0"/>
    <n v="0"/>
    <x v="8"/>
  </r>
  <r>
    <x v="3"/>
    <x v="17"/>
    <x v="4"/>
    <x v="7"/>
    <n v="9"/>
    <n v="6"/>
    <n v="3"/>
    <n v="0.66666666666666663"/>
    <n v="0.33333333333333331"/>
    <n v="4"/>
    <n v="2"/>
    <n v="2"/>
    <n v="0.5"/>
    <n v="0.5"/>
    <n v="2"/>
    <n v="1"/>
    <n v="1"/>
    <n v="0.5"/>
    <n v="0.5"/>
    <n v="3"/>
    <n v="3"/>
    <n v="0"/>
    <n v="1"/>
    <n v="0"/>
    <n v="0"/>
    <n v="0"/>
    <n v="0"/>
    <s v="-"/>
    <s v="-"/>
    <n v="0"/>
    <n v="0"/>
    <n v="0"/>
    <s v="-"/>
    <s v="-"/>
    <n v="1"/>
    <n v="0"/>
    <n v="0"/>
    <n v="0"/>
    <s v="-"/>
    <s v="-"/>
    <n v="6"/>
    <n v="3"/>
    <n v="3"/>
    <n v="1"/>
    <n v="0"/>
    <n v="0"/>
    <n v="0"/>
    <n v="0"/>
    <n v="2"/>
    <n v="1"/>
    <n v="1"/>
    <n v="0"/>
    <n v="1"/>
    <n v="0"/>
    <n v="3"/>
    <n v="2"/>
    <n v="1"/>
    <n v="0.66666666666666663"/>
    <n v="0.33333333333333331"/>
    <n v="0"/>
    <n v="0"/>
    <n v="0"/>
    <n v="0"/>
    <n v="0"/>
    <n v="1"/>
    <n v="2"/>
    <n v="2"/>
    <n v="0"/>
    <n v="1"/>
    <n v="0"/>
    <n v="1"/>
    <n v="1"/>
    <n v="1"/>
    <n v="0"/>
    <n v="0"/>
    <n v="1"/>
    <n v="0"/>
    <n v="3"/>
    <n v="2"/>
    <n v="1"/>
    <n v="0.66666666666666663"/>
    <n v="0.33333333333333331"/>
    <n v="0"/>
    <n v="0"/>
    <n v="0"/>
    <s v="-"/>
    <s v="-"/>
    <n v="1"/>
    <n v="0"/>
    <n v="1"/>
    <s v="-"/>
    <s v="-"/>
    <n v="0"/>
    <n v="0"/>
    <n v="0"/>
    <s v="-"/>
    <s v="-"/>
    <n v="0"/>
    <n v="0"/>
    <n v="0"/>
    <s v="-"/>
    <s v="-"/>
    <n v="0"/>
    <n v="0"/>
    <n v="0"/>
    <s v="-"/>
    <s v="-"/>
    <n v="1"/>
    <n v="0"/>
    <n v="0"/>
    <n v="1"/>
    <n v="0"/>
    <n v="0"/>
    <n v="0"/>
    <n v="0"/>
    <n v="0"/>
    <n v="0"/>
    <n v="0"/>
    <n v="0"/>
    <n v="0"/>
    <n v="0"/>
    <n v="0"/>
    <n v="0"/>
    <x v="17"/>
  </r>
  <r>
    <x v="3"/>
    <x v="10"/>
    <x v="0"/>
    <x v="7"/>
    <n v="10"/>
    <n v="10"/>
    <n v="0"/>
    <n v="1"/>
    <n v="0"/>
    <n v="1"/>
    <n v="1"/>
    <n v="0"/>
    <n v="1"/>
    <n v="0"/>
    <n v="1"/>
    <n v="1"/>
    <n v="0"/>
    <n v="1"/>
    <n v="0"/>
    <n v="8"/>
    <n v="8"/>
    <n v="0"/>
    <n v="1"/>
    <n v="0"/>
    <n v="0"/>
    <n v="0"/>
    <n v="0"/>
    <s v="-"/>
    <s v="-"/>
    <n v="1"/>
    <n v="1"/>
    <n v="0"/>
    <n v="1"/>
    <n v="0"/>
    <n v="1"/>
    <n v="0"/>
    <n v="0"/>
    <n v="0"/>
    <s v="-"/>
    <s v="-"/>
    <n v="11"/>
    <n v="7"/>
    <n v="0"/>
    <n v="2"/>
    <n v="0"/>
    <n v="0"/>
    <n v="0"/>
    <n v="0"/>
    <n v="4"/>
    <n v="1"/>
    <n v="1"/>
    <n v="0"/>
    <n v="1"/>
    <n v="0"/>
    <n v="1"/>
    <n v="1"/>
    <n v="0"/>
    <n v="1"/>
    <n v="0"/>
    <n v="5"/>
    <n v="4"/>
    <n v="0"/>
    <n v="1"/>
    <n v="1"/>
    <n v="0"/>
    <n v="1"/>
    <n v="1"/>
    <n v="0"/>
    <n v="1"/>
    <n v="0"/>
    <n v="2"/>
    <n v="1"/>
    <n v="2"/>
    <n v="1"/>
    <n v="0"/>
    <n v="5"/>
    <n v="0"/>
    <n v="2"/>
    <n v="2"/>
    <n v="0"/>
    <n v="1"/>
    <n v="0"/>
    <n v="0"/>
    <n v="0"/>
    <n v="0"/>
    <s v="-"/>
    <s v="-"/>
    <n v="1"/>
    <n v="1"/>
    <n v="0"/>
    <n v="1"/>
    <n v="0"/>
    <n v="0"/>
    <n v="0"/>
    <n v="0"/>
    <s v="-"/>
    <s v="-"/>
    <n v="0"/>
    <n v="0"/>
    <n v="0"/>
    <s v="-"/>
    <s v="-"/>
    <n v="0"/>
    <n v="0"/>
    <n v="0"/>
    <s v="-"/>
    <s v="-"/>
    <n v="1"/>
    <n v="0"/>
    <n v="0"/>
    <n v="0"/>
    <n v="0"/>
    <n v="0"/>
    <n v="0"/>
    <n v="0"/>
    <n v="0"/>
    <n v="0"/>
    <n v="0"/>
    <n v="0"/>
    <n v="0"/>
    <n v="0"/>
    <n v="0"/>
    <n v="0"/>
    <x v="10"/>
  </r>
  <r>
    <x v="1"/>
    <x v="12"/>
    <x v="1"/>
    <x v="8"/>
    <m/>
    <m/>
    <m/>
    <m/>
    <m/>
    <m/>
    <m/>
    <m/>
    <m/>
    <m/>
    <m/>
    <m/>
    <m/>
    <m/>
    <m/>
    <m/>
    <m/>
    <m/>
    <m/>
    <m/>
    <m/>
    <m/>
    <m/>
    <m/>
    <m/>
    <m/>
    <m/>
    <m/>
    <m/>
    <m/>
    <m/>
    <m/>
    <m/>
    <m/>
    <m/>
    <m/>
    <m/>
    <m/>
    <m/>
    <m/>
    <m/>
    <m/>
    <m/>
    <m/>
    <m/>
    <m/>
    <m/>
    <m/>
    <m/>
    <m/>
    <m/>
    <m/>
    <m/>
    <m/>
    <m/>
    <m/>
    <m/>
    <m/>
    <m/>
    <m/>
    <m/>
    <m/>
    <m/>
    <m/>
    <m/>
    <m/>
    <m/>
    <m/>
    <m/>
    <m/>
    <m/>
    <m/>
    <m/>
    <m/>
    <m/>
    <m/>
    <m/>
    <m/>
    <m/>
    <m/>
    <m/>
    <m/>
    <m/>
    <m/>
    <m/>
    <m/>
    <m/>
    <m/>
    <m/>
    <m/>
    <m/>
    <m/>
    <m/>
    <m/>
    <m/>
    <m/>
    <m/>
    <m/>
    <m/>
    <m/>
    <m/>
    <m/>
    <m/>
    <m/>
    <m/>
    <m/>
    <m/>
    <m/>
    <m/>
    <m/>
    <m/>
    <m/>
    <m/>
    <m/>
    <m/>
    <m/>
    <m/>
    <m/>
    <m/>
    <x v="12"/>
  </r>
  <r>
    <x v="2"/>
    <x v="13"/>
    <x v="2"/>
    <x v="9"/>
    <s v="Total Passes"/>
    <s v="Completed Passes"/>
    <s v="Uncompleted Passes"/>
    <s v="Completed Passes %"/>
    <s v="Uncompleted Passes %"/>
    <s v="Total Forward Passes"/>
    <s v="Completed Forward Passes"/>
    <s v="Uncompleted Forward Passes"/>
    <s v="Completed Forward Passes %"/>
    <s v="Uncompleted Forward Passes %"/>
    <s v="Total Lateral Passes"/>
    <s v="Completed Lateral Passes"/>
    <s v="Uncompleted Lateral Passes"/>
    <s v="Completed Lateral Passes %"/>
    <s v="Uncompleted Lateral Passes %"/>
    <s v="Total Backward Passes"/>
    <s v="Completed Backward Passes"/>
    <s v="Uncompleted Backward Passes"/>
    <s v="Completed Backward Passes %"/>
    <s v="Uncompleted Backward Passes %"/>
    <s v="Total Long Passes"/>
    <s v="Completed Long Passes"/>
    <s v="Uncompleted Long Passes"/>
    <s v="Completed Long Passes %"/>
    <s v="Uncompleted Long Passes %"/>
    <s v="Total Balls in Behind"/>
    <s v="Completed Balls in Behind"/>
    <s v="Uncompleted Balls in Behind"/>
    <s v="Completed Balls in Behind %"/>
    <s v="Uncompleted Balls in Behind %"/>
    <s v="Total Through Passes"/>
    <s v="Total Diagonal Passes"/>
    <s v="Completed Diagonal Passes"/>
    <s v="Uncompleted Diagonal Passes"/>
    <s v="Completed Diagonal Passes %"/>
    <s v="Uncompleted Diagonal Passes %"/>
    <s v="Total Pass Received"/>
    <s v="Pass Received &amp; Pass completed"/>
    <s v="Pass Received &amp; Pass Uncompleted"/>
    <s v="Ball Kept"/>
    <s v="Ball Lost"/>
    <s v="Ball Lost in Final 1/3"/>
    <s v="Ball Lost in Middle 1/3"/>
    <s v="Ball Lost in Own 1/3"/>
    <s v="Touches in the Box"/>
    <s v="Total 1v1"/>
    <s v="Successful 1v1"/>
    <s v="Unsuccessful 1v1"/>
    <s v="Completed 1v1 %"/>
    <s v="Uncompleted 1v1 %"/>
    <s v="Total Cross"/>
    <s v="Completed Cross"/>
    <s v="Uncompleted Cross"/>
    <s v="Completed Cross %"/>
    <s v="Uncompleted Cross %"/>
    <s v="Total Shots"/>
    <s v="On Target"/>
    <s v="Off Target"/>
    <s v="Blocked"/>
    <s v="Goal"/>
    <s v="Assist"/>
    <s v="Total Offensive duel"/>
    <s v="Successful Offensive Duel"/>
    <s v="Unsuccessful Offensive Duel"/>
    <s v="Successful Offensive Duel %"/>
    <s v="Unsuccessful Offensive Duel %"/>
    <s v="Total Acceleration"/>
    <s v="Total Into Pocket"/>
    <s v="Total Wide Area"/>
    <s v="Total Back to Goal"/>
    <s v="Total Over/Underlaps"/>
    <s v="Total Runs in Behind"/>
    <s v="Total Half-space Runs"/>
    <s v="Total Duel"/>
    <s v="Successful Duel"/>
    <s v="Unsuccesful Duel"/>
    <s v="Successful Duel %"/>
    <s v="Unsuccesful Duel %"/>
    <s v="Total Defensive Duel"/>
    <s v="Successful Defensive Duel"/>
    <s v="Unsuccesful Defensive Duel"/>
    <s v="Successful Defensive Duel %"/>
    <s v="Unsuccesful Defensive Duel %"/>
    <s v="Total Aerial Duel"/>
    <s v="Succesful Aerial Duel"/>
    <s v="Unsuccessful Aerial Duel"/>
    <s v="Succesful Aerial Duel %"/>
    <s v="Unsuccessful Aerial Duel %"/>
    <s v="Total 1v1 Defence"/>
    <s v="Successful 1v1 Defence"/>
    <s v="Unsuccessful 1v1 Defence"/>
    <s v="Successful 1v1 Defence %"/>
    <s v="Unsuccessful 1v1 Defence %"/>
    <s v="Total Tackles"/>
    <s v="Successful Tackles"/>
    <s v="Unsuccessful Tackles"/>
    <s v="Successful Tackles %"/>
    <s v="Unsuccessful Tackles %"/>
    <s v="Total 2nd Balls"/>
    <s v="Successful 2nd Ball"/>
    <s v="Unsuccessful 2nd Ball"/>
    <s v="Successful 2nd Ball %"/>
    <s v="Unsuccessful 2nd Ball %"/>
    <s v="Clearance"/>
    <s v="Interception"/>
    <s v="Turnover Won"/>
    <s v="Recovery"/>
    <s v="Blocked Shots"/>
    <s v="Missed Man-marking"/>
    <s v="Fouls"/>
    <s v="Won Fouls"/>
    <s v="GK 1v1"/>
    <s v="GK On target"/>
    <s v="GK Off Target"/>
    <s v="Defence the Space"/>
    <s v="Goal Conceded"/>
    <s v="Save"/>
    <s v="Defend the line (Cross)"/>
    <s v="Counter Kick"/>
    <x v="13"/>
  </r>
  <r>
    <x v="4"/>
    <x v="0"/>
    <x v="0"/>
    <x v="0"/>
    <n v="41"/>
    <n v="37"/>
    <n v="4"/>
    <n v="0.90243902439024393"/>
    <n v="9.7560975609756101E-2"/>
    <n v="18"/>
    <n v="15"/>
    <n v="3"/>
    <n v="0.83333333333333337"/>
    <n v="0.16666666666666666"/>
    <n v="23"/>
    <n v="22"/>
    <n v="1"/>
    <n v="0.95652173913043481"/>
    <n v="4.3478260869565216E-2"/>
    <n v="0"/>
    <n v="0"/>
    <n v="0"/>
    <s v="-"/>
    <s v="-"/>
    <n v="5"/>
    <n v="4"/>
    <n v="2"/>
    <n v="0.8"/>
    <n v="0.4"/>
    <n v="1"/>
    <n v="1"/>
    <n v="0"/>
    <n v="1"/>
    <n v="0"/>
    <n v="0"/>
    <n v="0"/>
    <n v="0"/>
    <n v="0"/>
    <s v="-"/>
    <s v="-"/>
    <n v="30"/>
    <n v="28"/>
    <n v="3"/>
    <n v="1"/>
    <n v="0"/>
    <n v="0"/>
    <n v="0"/>
    <n v="0"/>
    <n v="0"/>
    <n v="1"/>
    <n v="1"/>
    <n v="0"/>
    <n v="1"/>
    <n v="0"/>
    <n v="0"/>
    <n v="0"/>
    <n v="0"/>
    <s v="-"/>
    <s v="-"/>
    <n v="0"/>
    <n v="0"/>
    <n v="0"/>
    <n v="0"/>
    <n v="0"/>
    <n v="0"/>
    <n v="0"/>
    <n v="0"/>
    <n v="0"/>
    <s v="-"/>
    <s v="-"/>
    <n v="1"/>
    <n v="0"/>
    <n v="0"/>
    <n v="0"/>
    <n v="0"/>
    <n v="0"/>
    <n v="0"/>
    <n v="0"/>
    <n v="0"/>
    <n v="0"/>
    <s v="-"/>
    <s v="-"/>
    <n v="0"/>
    <n v="0"/>
    <n v="0"/>
    <s v="-"/>
    <s v="-"/>
    <n v="0"/>
    <n v="0"/>
    <n v="0"/>
    <s v="-"/>
    <s v="-"/>
    <n v="0"/>
    <n v="0"/>
    <n v="0"/>
    <s v="-"/>
    <s v="-"/>
    <n v="0"/>
    <n v="0"/>
    <n v="0"/>
    <s v="-"/>
    <s v="-"/>
    <n v="0"/>
    <n v="0"/>
    <n v="0"/>
    <s v="-"/>
    <s v="-"/>
    <n v="0"/>
    <n v="0"/>
    <n v="0"/>
    <n v="0"/>
    <n v="0"/>
    <n v="0"/>
    <n v="0"/>
    <n v="0"/>
    <n v="0"/>
    <n v="0"/>
    <n v="0"/>
    <n v="5"/>
    <n v="0"/>
    <n v="0"/>
    <n v="0"/>
    <n v="0"/>
    <x v="0"/>
  </r>
  <r>
    <x v="4"/>
    <x v="14"/>
    <x v="0"/>
    <x v="0"/>
    <n v="36"/>
    <n v="27"/>
    <n v="9"/>
    <n v="0.75"/>
    <n v="0.25"/>
    <n v="21"/>
    <n v="14"/>
    <n v="7"/>
    <n v="0.66666666666666663"/>
    <n v="0.33333333333333331"/>
    <n v="15"/>
    <n v="13"/>
    <n v="2"/>
    <n v="0.8666666666666667"/>
    <n v="0.13333333333333333"/>
    <n v="0"/>
    <n v="0"/>
    <n v="0"/>
    <s v="-"/>
    <s v="-"/>
    <n v="7"/>
    <n v="4"/>
    <n v="5"/>
    <n v="0.5714285714285714"/>
    <n v="0.7142857142857143"/>
    <n v="2"/>
    <n v="2"/>
    <n v="2"/>
    <n v="1"/>
    <n v="1"/>
    <n v="0"/>
    <n v="0"/>
    <n v="0"/>
    <n v="0"/>
    <s v="-"/>
    <s v="-"/>
    <n v="20"/>
    <n v="17"/>
    <n v="5"/>
    <n v="0"/>
    <n v="0"/>
    <n v="0"/>
    <n v="0"/>
    <n v="0"/>
    <n v="0"/>
    <n v="1"/>
    <n v="1"/>
    <n v="0"/>
    <n v="1"/>
    <n v="0"/>
    <n v="0"/>
    <n v="0"/>
    <n v="0"/>
    <s v="-"/>
    <s v="-"/>
    <n v="0"/>
    <n v="0"/>
    <n v="0"/>
    <n v="0"/>
    <n v="0"/>
    <n v="0"/>
    <n v="0"/>
    <n v="0"/>
    <n v="0"/>
    <s v="-"/>
    <s v="-"/>
    <n v="0"/>
    <n v="0"/>
    <n v="0"/>
    <n v="0"/>
    <n v="0"/>
    <n v="0"/>
    <n v="0"/>
    <n v="0"/>
    <n v="0"/>
    <n v="0"/>
    <s v="-"/>
    <s v="-"/>
    <n v="0"/>
    <n v="0"/>
    <n v="0"/>
    <s v="-"/>
    <s v="-"/>
    <n v="0"/>
    <n v="0"/>
    <n v="0"/>
    <s v="-"/>
    <s v="-"/>
    <n v="0"/>
    <n v="0"/>
    <n v="0"/>
    <s v="-"/>
    <s v="-"/>
    <n v="0"/>
    <n v="0"/>
    <n v="0"/>
    <s v="-"/>
    <s v="-"/>
    <n v="0"/>
    <n v="0"/>
    <n v="0"/>
    <s v="-"/>
    <s v="-"/>
    <n v="0"/>
    <n v="0"/>
    <n v="0"/>
    <n v="0"/>
    <n v="0"/>
    <n v="0"/>
    <n v="0"/>
    <n v="0"/>
    <n v="0"/>
    <n v="3"/>
    <n v="1"/>
    <n v="2"/>
    <n v="1"/>
    <n v="0"/>
    <n v="0"/>
    <n v="0"/>
    <x v="14"/>
  </r>
  <r>
    <x v="4"/>
    <x v="1"/>
    <x v="0"/>
    <x v="0"/>
    <n v="69"/>
    <n v="56"/>
    <n v="13"/>
    <n v="0.81159420289855078"/>
    <n v="0.18840579710144928"/>
    <n v="31"/>
    <n v="21"/>
    <n v="10"/>
    <n v="0.67741935483870963"/>
    <n v="0.32258064516129031"/>
    <n v="27"/>
    <n v="24"/>
    <n v="3"/>
    <n v="0.88888888888888884"/>
    <n v="0.1111111111111111"/>
    <n v="11"/>
    <n v="11"/>
    <n v="0"/>
    <n v="1"/>
    <n v="0"/>
    <n v="6"/>
    <n v="3"/>
    <n v="3"/>
    <n v="0.5"/>
    <n v="0.5"/>
    <n v="7"/>
    <n v="3"/>
    <n v="5"/>
    <n v="0.42857142857142855"/>
    <n v="0.7142857142857143"/>
    <n v="0"/>
    <n v="0"/>
    <n v="0"/>
    <n v="0"/>
    <s v="-"/>
    <s v="-"/>
    <n v="53"/>
    <n v="43"/>
    <n v="11"/>
    <n v="4"/>
    <n v="3"/>
    <n v="0"/>
    <n v="3"/>
    <n v="0"/>
    <n v="0"/>
    <n v="3"/>
    <n v="3"/>
    <n v="0"/>
    <n v="1"/>
    <n v="0"/>
    <n v="0"/>
    <n v="0"/>
    <n v="0"/>
    <s v="-"/>
    <s v="-"/>
    <n v="0"/>
    <n v="0"/>
    <n v="0"/>
    <n v="0"/>
    <n v="0"/>
    <n v="0"/>
    <n v="4"/>
    <n v="3"/>
    <n v="1"/>
    <n v="0.75"/>
    <n v="0.25"/>
    <n v="4"/>
    <n v="0"/>
    <n v="0"/>
    <n v="0"/>
    <n v="0"/>
    <n v="0"/>
    <n v="0"/>
    <n v="7"/>
    <n v="4"/>
    <n v="3"/>
    <n v="0.5714285714285714"/>
    <n v="0.42857142857142855"/>
    <n v="1"/>
    <n v="0"/>
    <n v="1"/>
    <n v="0"/>
    <n v="1"/>
    <n v="2"/>
    <n v="1"/>
    <n v="1"/>
    <n v="1"/>
    <n v="1"/>
    <n v="1"/>
    <n v="0"/>
    <n v="1"/>
    <n v="0"/>
    <n v="1"/>
    <n v="1"/>
    <n v="0"/>
    <n v="1"/>
    <n v="0"/>
    <n v="1"/>
    <n v="1"/>
    <n v="1"/>
    <n v="0"/>
    <n v="1"/>
    <n v="0"/>
    <n v="1"/>
    <n v="0"/>
    <n v="0"/>
    <n v="1"/>
    <n v="0"/>
    <n v="0"/>
    <n v="1"/>
    <n v="1"/>
    <n v="0"/>
    <n v="0"/>
    <n v="0"/>
    <n v="0"/>
    <n v="0"/>
    <n v="0"/>
    <n v="0"/>
    <n v="0"/>
    <x v="1"/>
  </r>
  <r>
    <x v="4"/>
    <x v="15"/>
    <x v="0"/>
    <x v="1"/>
    <n v="41"/>
    <n v="31"/>
    <n v="10"/>
    <n v="0.75609756097560976"/>
    <n v="0.24390243902439024"/>
    <n v="18"/>
    <n v="11"/>
    <n v="7"/>
    <n v="0.61111111111111116"/>
    <n v="0.3888888888888889"/>
    <n v="10"/>
    <n v="9"/>
    <n v="1"/>
    <n v="0.9"/>
    <n v="0.1"/>
    <n v="13"/>
    <n v="11"/>
    <n v="2"/>
    <n v="1"/>
    <n v="0.18181818181818182"/>
    <n v="6"/>
    <n v="3"/>
    <n v="4"/>
    <n v="0.5"/>
    <n v="0.66666666666666663"/>
    <n v="1"/>
    <n v="1"/>
    <n v="0"/>
    <n v="1"/>
    <n v="0"/>
    <n v="0"/>
    <n v="0"/>
    <n v="0"/>
    <n v="0"/>
    <s v="-"/>
    <s v="-"/>
    <n v="33"/>
    <n v="25"/>
    <n v="7"/>
    <n v="0"/>
    <n v="2"/>
    <n v="0"/>
    <n v="0"/>
    <n v="2"/>
    <n v="0"/>
    <n v="1"/>
    <n v="0"/>
    <n v="1"/>
    <n v="0"/>
    <n v="1"/>
    <n v="1"/>
    <n v="0"/>
    <n v="1"/>
    <n v="0"/>
    <n v="1"/>
    <n v="0"/>
    <n v="0"/>
    <n v="0"/>
    <n v="0"/>
    <n v="0"/>
    <n v="0"/>
    <n v="0"/>
    <n v="0"/>
    <n v="0"/>
    <s v="-"/>
    <s v="-"/>
    <n v="2"/>
    <n v="0"/>
    <n v="1"/>
    <n v="0"/>
    <n v="0"/>
    <n v="0"/>
    <n v="0"/>
    <n v="1"/>
    <n v="0"/>
    <n v="1"/>
    <n v="0"/>
    <n v="1"/>
    <n v="1"/>
    <n v="0"/>
    <n v="1"/>
    <n v="0"/>
    <n v="1"/>
    <n v="0"/>
    <n v="0"/>
    <n v="0"/>
    <s v="-"/>
    <s v="-"/>
    <n v="1"/>
    <n v="0"/>
    <n v="1"/>
    <n v="0"/>
    <n v="1"/>
    <n v="1"/>
    <n v="1"/>
    <n v="0"/>
    <n v="1"/>
    <n v="0"/>
    <n v="0"/>
    <n v="0"/>
    <n v="0"/>
    <s v="-"/>
    <s v="-"/>
    <n v="2"/>
    <n v="1"/>
    <n v="1"/>
    <n v="0"/>
    <n v="0"/>
    <n v="0"/>
    <n v="0"/>
    <n v="0"/>
    <n v="0"/>
    <n v="0"/>
    <n v="0"/>
    <n v="0"/>
    <n v="0"/>
    <n v="0"/>
    <n v="0"/>
    <n v="0"/>
    <x v="15"/>
  </r>
  <r>
    <x v="4"/>
    <x v="2"/>
    <x v="0"/>
    <x v="1"/>
    <n v="33"/>
    <n v="25"/>
    <n v="8"/>
    <n v="0.75757575757575757"/>
    <n v="0.24242424242424243"/>
    <n v="15"/>
    <n v="8"/>
    <n v="7"/>
    <n v="0.53333333333333333"/>
    <n v="0.46666666666666667"/>
    <n v="12"/>
    <n v="12"/>
    <n v="0"/>
    <n v="1"/>
    <n v="0"/>
    <n v="6"/>
    <n v="5"/>
    <n v="1"/>
    <n v="1"/>
    <n v="0.2"/>
    <n v="4"/>
    <n v="3"/>
    <n v="1"/>
    <n v="0.75"/>
    <n v="0.25"/>
    <n v="3"/>
    <n v="2"/>
    <n v="1"/>
    <n v="0.66666666666666663"/>
    <n v="0.33333333333333331"/>
    <n v="1"/>
    <n v="0"/>
    <n v="0"/>
    <n v="0"/>
    <s v="-"/>
    <s v="-"/>
    <n v="20"/>
    <n v="17"/>
    <n v="4"/>
    <n v="1"/>
    <n v="0"/>
    <n v="0"/>
    <n v="0"/>
    <n v="0"/>
    <n v="0"/>
    <n v="1"/>
    <n v="1"/>
    <n v="0"/>
    <n v="1"/>
    <n v="0"/>
    <n v="0"/>
    <n v="0"/>
    <n v="0"/>
    <s v="-"/>
    <s v="-"/>
    <n v="1"/>
    <n v="1"/>
    <n v="0"/>
    <n v="0"/>
    <n v="1"/>
    <n v="0"/>
    <n v="1"/>
    <n v="1"/>
    <n v="0"/>
    <n v="1"/>
    <n v="0"/>
    <n v="0"/>
    <n v="0"/>
    <n v="0"/>
    <n v="0"/>
    <n v="0"/>
    <n v="0"/>
    <n v="0"/>
    <n v="2"/>
    <n v="2"/>
    <n v="0"/>
    <n v="1"/>
    <n v="0"/>
    <n v="1"/>
    <n v="1"/>
    <n v="0"/>
    <n v="1"/>
    <n v="0"/>
    <n v="0"/>
    <n v="0"/>
    <n v="0"/>
    <s v="-"/>
    <s v="-"/>
    <n v="0"/>
    <n v="0"/>
    <n v="0"/>
    <s v="-"/>
    <s v="-"/>
    <n v="0"/>
    <n v="0"/>
    <n v="0"/>
    <s v="-"/>
    <s v="-"/>
    <n v="0"/>
    <n v="0"/>
    <n v="0"/>
    <s v="-"/>
    <s v="-"/>
    <n v="0"/>
    <n v="1"/>
    <n v="0"/>
    <n v="0"/>
    <n v="0"/>
    <n v="0"/>
    <n v="0"/>
    <n v="0"/>
    <n v="0"/>
    <n v="0"/>
    <n v="0"/>
    <n v="0"/>
    <n v="0"/>
    <n v="0"/>
    <n v="0"/>
    <n v="0"/>
    <x v="2"/>
  </r>
  <r>
    <x v="4"/>
    <x v="3"/>
    <x v="5"/>
    <x v="2"/>
    <n v="13"/>
    <n v="10"/>
    <n v="3"/>
    <n v="0.76923076923076927"/>
    <n v="0.23076923076923078"/>
    <n v="6"/>
    <n v="3"/>
    <n v="3"/>
    <n v="0.5"/>
    <n v="0.5"/>
    <n v="2"/>
    <n v="2"/>
    <n v="0"/>
    <n v="1"/>
    <n v="0"/>
    <n v="5"/>
    <n v="5"/>
    <n v="0"/>
    <n v="1"/>
    <n v="0"/>
    <n v="0"/>
    <n v="0"/>
    <n v="0"/>
    <s v="-"/>
    <s v="-"/>
    <n v="1"/>
    <n v="0"/>
    <n v="1"/>
    <n v="0"/>
    <n v="1"/>
    <n v="1"/>
    <n v="0"/>
    <n v="0"/>
    <n v="0"/>
    <s v="-"/>
    <s v="-"/>
    <n v="8"/>
    <n v="8"/>
    <n v="0"/>
    <n v="0"/>
    <n v="0"/>
    <n v="0"/>
    <n v="0"/>
    <n v="0"/>
    <n v="1"/>
    <n v="0"/>
    <n v="0"/>
    <n v="0"/>
    <s v="-"/>
    <s v="-"/>
    <n v="1"/>
    <n v="0"/>
    <n v="1"/>
    <n v="0"/>
    <n v="1"/>
    <n v="0"/>
    <n v="0"/>
    <n v="0"/>
    <n v="0"/>
    <n v="0"/>
    <n v="0"/>
    <n v="0"/>
    <n v="0"/>
    <n v="0"/>
    <s v="-"/>
    <s v="-"/>
    <n v="0"/>
    <n v="0"/>
    <n v="4"/>
    <n v="0"/>
    <n v="0"/>
    <n v="0"/>
    <n v="0"/>
    <n v="4"/>
    <n v="3"/>
    <n v="1"/>
    <n v="0.75"/>
    <n v="0.25"/>
    <n v="3"/>
    <n v="2"/>
    <n v="1"/>
    <n v="0.66666666666666663"/>
    <n v="0.33333333333333331"/>
    <n v="1"/>
    <n v="1"/>
    <n v="0"/>
    <n v="1"/>
    <n v="0"/>
    <n v="0"/>
    <n v="0"/>
    <n v="0"/>
    <s v="-"/>
    <s v="-"/>
    <n v="0"/>
    <n v="0"/>
    <n v="0"/>
    <s v="-"/>
    <s v="-"/>
    <n v="0"/>
    <n v="0"/>
    <n v="0"/>
    <s v="-"/>
    <s v="-"/>
    <n v="0"/>
    <n v="3"/>
    <n v="4"/>
    <n v="1"/>
    <n v="0"/>
    <n v="0"/>
    <n v="1"/>
    <n v="0"/>
    <n v="0"/>
    <n v="0"/>
    <n v="0"/>
    <n v="0"/>
    <n v="0"/>
    <n v="0"/>
    <n v="0"/>
    <n v="0"/>
    <x v="3"/>
  </r>
  <r>
    <x v="4"/>
    <x v="4"/>
    <x v="6"/>
    <x v="3"/>
    <n v="20"/>
    <n v="17"/>
    <n v="3"/>
    <n v="0.85"/>
    <n v="0.15"/>
    <n v="7"/>
    <n v="4"/>
    <n v="3"/>
    <n v="0.5714285714285714"/>
    <n v="0.42857142857142855"/>
    <n v="3"/>
    <n v="3"/>
    <n v="0"/>
    <n v="1"/>
    <n v="0"/>
    <n v="10"/>
    <n v="10"/>
    <n v="0"/>
    <n v="1"/>
    <n v="0"/>
    <n v="1"/>
    <n v="0"/>
    <n v="1"/>
    <n v="0"/>
    <n v="1"/>
    <n v="2"/>
    <n v="2"/>
    <n v="0"/>
    <n v="1"/>
    <n v="0"/>
    <n v="1"/>
    <n v="0"/>
    <n v="0"/>
    <n v="0"/>
    <s v="-"/>
    <s v="-"/>
    <n v="20"/>
    <n v="15"/>
    <n v="2"/>
    <n v="3"/>
    <n v="4"/>
    <n v="3"/>
    <n v="0"/>
    <n v="1"/>
    <n v="1"/>
    <n v="5"/>
    <n v="3"/>
    <n v="2"/>
    <n v="0.6"/>
    <n v="0.4"/>
    <n v="2"/>
    <n v="2"/>
    <n v="0"/>
    <n v="1"/>
    <n v="0"/>
    <n v="0"/>
    <n v="0"/>
    <n v="0"/>
    <n v="0"/>
    <n v="0"/>
    <n v="1"/>
    <n v="3"/>
    <n v="3"/>
    <n v="0"/>
    <n v="1"/>
    <n v="0"/>
    <n v="2"/>
    <n v="2"/>
    <n v="14"/>
    <n v="0"/>
    <n v="0"/>
    <n v="1"/>
    <n v="0"/>
    <n v="7"/>
    <n v="6"/>
    <n v="1"/>
    <n v="0.8571428571428571"/>
    <n v="0.14285714285714285"/>
    <n v="3"/>
    <n v="3"/>
    <n v="0"/>
    <n v="1"/>
    <n v="0"/>
    <n v="1"/>
    <n v="0"/>
    <n v="1"/>
    <s v="-"/>
    <s v="-"/>
    <n v="2"/>
    <n v="1"/>
    <n v="1"/>
    <n v="0.5"/>
    <n v="0.5"/>
    <n v="1"/>
    <n v="1"/>
    <n v="0"/>
    <n v="1"/>
    <n v="0"/>
    <n v="1"/>
    <n v="0"/>
    <n v="1"/>
    <n v="0"/>
    <n v="1"/>
    <n v="2"/>
    <n v="1"/>
    <n v="3"/>
    <n v="2"/>
    <n v="0"/>
    <n v="0"/>
    <n v="0"/>
    <n v="0"/>
    <n v="0"/>
    <n v="0"/>
    <n v="0"/>
    <n v="0"/>
    <n v="0"/>
    <n v="0"/>
    <n v="0"/>
    <n v="0"/>
    <x v="4"/>
  </r>
  <r>
    <x v="4"/>
    <x v="16"/>
    <x v="6"/>
    <x v="3"/>
    <n v="27"/>
    <n v="22"/>
    <n v="5"/>
    <n v="0.81481481481481477"/>
    <n v="0.18518518518518517"/>
    <n v="12"/>
    <n v="8"/>
    <n v="4"/>
    <n v="0.66666666666666663"/>
    <n v="0.33333333333333331"/>
    <n v="4"/>
    <n v="4"/>
    <n v="0"/>
    <n v="1"/>
    <n v="0"/>
    <n v="11"/>
    <n v="10"/>
    <n v="1"/>
    <n v="1"/>
    <n v="0.1"/>
    <n v="2"/>
    <n v="1"/>
    <n v="2"/>
    <n v="0.5"/>
    <n v="1"/>
    <n v="2"/>
    <n v="2"/>
    <n v="0"/>
    <n v="1"/>
    <n v="0"/>
    <n v="0"/>
    <n v="0"/>
    <n v="0"/>
    <n v="0"/>
    <s v="-"/>
    <s v="-"/>
    <n v="21"/>
    <n v="15"/>
    <n v="4"/>
    <n v="2"/>
    <n v="4"/>
    <n v="1"/>
    <n v="1"/>
    <n v="2"/>
    <n v="0"/>
    <n v="3"/>
    <n v="2"/>
    <n v="1"/>
    <n v="0.66666666666666663"/>
    <n v="0.33333333333333331"/>
    <n v="1"/>
    <n v="0"/>
    <n v="1"/>
    <n v="0"/>
    <n v="1"/>
    <n v="1"/>
    <n v="0"/>
    <n v="0"/>
    <n v="1"/>
    <n v="0"/>
    <n v="0"/>
    <n v="0"/>
    <n v="0"/>
    <n v="0"/>
    <s v="-"/>
    <s v="-"/>
    <n v="0"/>
    <n v="0"/>
    <n v="14"/>
    <n v="0"/>
    <n v="1"/>
    <n v="0"/>
    <n v="0"/>
    <n v="3"/>
    <n v="1"/>
    <n v="2"/>
    <n v="0.33333333333333331"/>
    <n v="0.66666666666666663"/>
    <n v="3"/>
    <n v="1"/>
    <n v="2"/>
    <n v="0.33333333333333331"/>
    <n v="0.66666666666666663"/>
    <n v="0"/>
    <n v="0"/>
    <n v="0"/>
    <s v="-"/>
    <s v="-"/>
    <n v="0"/>
    <n v="0"/>
    <n v="0"/>
    <s v="-"/>
    <s v="-"/>
    <n v="1"/>
    <n v="0"/>
    <n v="1"/>
    <n v="0"/>
    <n v="1"/>
    <n v="1"/>
    <n v="1"/>
    <n v="0"/>
    <n v="1"/>
    <n v="0"/>
    <n v="0"/>
    <n v="2"/>
    <n v="1"/>
    <n v="1"/>
    <n v="0"/>
    <n v="0"/>
    <n v="3"/>
    <n v="2"/>
    <n v="0"/>
    <n v="0"/>
    <n v="0"/>
    <n v="0"/>
    <n v="0"/>
    <n v="0"/>
    <n v="0"/>
    <n v="0"/>
    <x v="16"/>
  </r>
  <r>
    <x v="4"/>
    <x v="5"/>
    <x v="5"/>
    <x v="4"/>
    <n v="21"/>
    <n v="18"/>
    <n v="3"/>
    <n v="0.8571428571428571"/>
    <n v="0.14285714285714285"/>
    <n v="9"/>
    <n v="6"/>
    <n v="3"/>
    <n v="0.66666666666666663"/>
    <n v="0.33333333333333331"/>
    <n v="9"/>
    <n v="9"/>
    <n v="0"/>
    <n v="1"/>
    <n v="0"/>
    <n v="3"/>
    <n v="3"/>
    <n v="0"/>
    <n v="1"/>
    <n v="0"/>
    <n v="0"/>
    <n v="0"/>
    <n v="0"/>
    <s v="-"/>
    <s v="-"/>
    <n v="0"/>
    <n v="0"/>
    <n v="0"/>
    <s v="-"/>
    <s v="-"/>
    <n v="0"/>
    <n v="0"/>
    <n v="0"/>
    <n v="0"/>
    <s v="-"/>
    <s v="-"/>
    <n v="12"/>
    <n v="11"/>
    <n v="1"/>
    <n v="0"/>
    <n v="0"/>
    <n v="0"/>
    <n v="0"/>
    <n v="0"/>
    <n v="0"/>
    <n v="1"/>
    <n v="1"/>
    <n v="0"/>
    <n v="1"/>
    <n v="0"/>
    <n v="0"/>
    <n v="0"/>
    <n v="0"/>
    <s v="-"/>
    <s v="-"/>
    <n v="0"/>
    <n v="0"/>
    <n v="0"/>
    <n v="0"/>
    <n v="0"/>
    <n v="0"/>
    <n v="0"/>
    <n v="0"/>
    <n v="0"/>
    <s v="-"/>
    <s v="-"/>
    <n v="0"/>
    <n v="5"/>
    <n v="0"/>
    <n v="0"/>
    <n v="0"/>
    <n v="0"/>
    <n v="0"/>
    <n v="3"/>
    <n v="1"/>
    <n v="2"/>
    <n v="0.33333333333333331"/>
    <n v="0.66666666666666663"/>
    <n v="3"/>
    <n v="1"/>
    <n v="2"/>
    <n v="0.33333333333333331"/>
    <n v="0.66666666666666663"/>
    <n v="0"/>
    <n v="0"/>
    <n v="0"/>
    <s v="-"/>
    <s v="-"/>
    <n v="0"/>
    <n v="0"/>
    <n v="0"/>
    <s v="-"/>
    <s v="-"/>
    <n v="1"/>
    <n v="1"/>
    <n v="0"/>
    <n v="1"/>
    <n v="0"/>
    <n v="1"/>
    <n v="0"/>
    <n v="1"/>
    <n v="0"/>
    <n v="1"/>
    <n v="0"/>
    <n v="6"/>
    <n v="8"/>
    <n v="0"/>
    <n v="0"/>
    <n v="0"/>
    <n v="1"/>
    <n v="0"/>
    <n v="0"/>
    <n v="0"/>
    <n v="0"/>
    <n v="0"/>
    <n v="0"/>
    <n v="0"/>
    <n v="0"/>
    <n v="0"/>
    <x v="5"/>
  </r>
  <r>
    <x v="4"/>
    <x v="6"/>
    <x v="7"/>
    <x v="4"/>
    <n v="37"/>
    <n v="35"/>
    <n v="2"/>
    <n v="0.94594594594594594"/>
    <n v="5.4054054054054057E-2"/>
    <n v="13"/>
    <n v="12"/>
    <n v="1"/>
    <n v="0.92307692307692313"/>
    <n v="7.6923076923076927E-2"/>
    <n v="7"/>
    <n v="6"/>
    <n v="1"/>
    <n v="0.8571428571428571"/>
    <n v="0.14285714285714285"/>
    <n v="17"/>
    <n v="17"/>
    <n v="0"/>
    <n v="1"/>
    <n v="0"/>
    <n v="4"/>
    <n v="3"/>
    <n v="1"/>
    <n v="0.75"/>
    <n v="0.25"/>
    <n v="3"/>
    <n v="2"/>
    <n v="1"/>
    <n v="0.66666666666666663"/>
    <n v="0.33333333333333331"/>
    <n v="2"/>
    <n v="0"/>
    <n v="0"/>
    <n v="0"/>
    <s v="-"/>
    <s v="-"/>
    <n v="34"/>
    <n v="26"/>
    <n v="2"/>
    <n v="2"/>
    <n v="4"/>
    <n v="2"/>
    <n v="0"/>
    <n v="2"/>
    <n v="1"/>
    <n v="4"/>
    <n v="3"/>
    <n v="1"/>
    <n v="0.75"/>
    <n v="0.25"/>
    <n v="0"/>
    <n v="0"/>
    <n v="0"/>
    <s v="-"/>
    <s v="-"/>
    <n v="2"/>
    <n v="2"/>
    <n v="0"/>
    <n v="0"/>
    <n v="1"/>
    <n v="0"/>
    <n v="0"/>
    <n v="0"/>
    <n v="0"/>
    <s v="-"/>
    <s v="-"/>
    <n v="0"/>
    <n v="9"/>
    <n v="2"/>
    <n v="0"/>
    <n v="0"/>
    <n v="1"/>
    <n v="0"/>
    <n v="2"/>
    <n v="1"/>
    <n v="1"/>
    <n v="0.5"/>
    <n v="0.5"/>
    <n v="1"/>
    <n v="0"/>
    <n v="1"/>
    <n v="0"/>
    <n v="1"/>
    <n v="1"/>
    <n v="1"/>
    <n v="0"/>
    <n v="1"/>
    <n v="0"/>
    <n v="1"/>
    <n v="0"/>
    <n v="1"/>
    <n v="0"/>
    <n v="1"/>
    <n v="1"/>
    <n v="0"/>
    <n v="1"/>
    <n v="0"/>
    <n v="1"/>
    <n v="1"/>
    <n v="0"/>
    <n v="1"/>
    <n v="0"/>
    <n v="1"/>
    <n v="1"/>
    <n v="2"/>
    <n v="6"/>
    <n v="0"/>
    <n v="0"/>
    <n v="0"/>
    <n v="0"/>
    <n v="0"/>
    <n v="0"/>
    <n v="0"/>
    <n v="0"/>
    <n v="0"/>
    <n v="0"/>
    <n v="0"/>
    <n v="0"/>
    <n v="0"/>
    <x v="6"/>
  </r>
  <r>
    <x v="4"/>
    <x v="7"/>
    <x v="7"/>
    <x v="4"/>
    <n v="26"/>
    <n v="21"/>
    <n v="5"/>
    <n v="0.80769230769230771"/>
    <n v="0.19230769230769232"/>
    <n v="10"/>
    <n v="6"/>
    <n v="4"/>
    <n v="0.6"/>
    <n v="0.4"/>
    <n v="5"/>
    <n v="4"/>
    <n v="1"/>
    <n v="0.8"/>
    <n v="0.2"/>
    <n v="11"/>
    <n v="11"/>
    <n v="0"/>
    <n v="1"/>
    <n v="0"/>
    <n v="0"/>
    <n v="0"/>
    <n v="0"/>
    <s v="-"/>
    <s v="-"/>
    <n v="3"/>
    <n v="1"/>
    <n v="2"/>
    <n v="0.33333333333333331"/>
    <n v="0.66666666666666663"/>
    <n v="3"/>
    <n v="0"/>
    <n v="0"/>
    <n v="0"/>
    <s v="-"/>
    <s v="-"/>
    <n v="15"/>
    <n v="12"/>
    <n v="3"/>
    <n v="2"/>
    <n v="5"/>
    <n v="3"/>
    <n v="1"/>
    <n v="1"/>
    <n v="0"/>
    <n v="1"/>
    <n v="1"/>
    <n v="0"/>
    <n v="1"/>
    <n v="0"/>
    <n v="0"/>
    <n v="0"/>
    <n v="0"/>
    <s v="-"/>
    <s v="-"/>
    <n v="0"/>
    <n v="0"/>
    <n v="0"/>
    <n v="0"/>
    <n v="0"/>
    <n v="0"/>
    <n v="4"/>
    <n v="3"/>
    <n v="1"/>
    <n v="0.75"/>
    <n v="0.25"/>
    <n v="1"/>
    <n v="5"/>
    <n v="1"/>
    <n v="1"/>
    <n v="0"/>
    <n v="0"/>
    <n v="1"/>
    <n v="5"/>
    <n v="4"/>
    <n v="1"/>
    <n v="0.8"/>
    <n v="0.2"/>
    <n v="1"/>
    <n v="1"/>
    <n v="0"/>
    <n v="1"/>
    <n v="0"/>
    <n v="0"/>
    <n v="0"/>
    <n v="0"/>
    <s v="-"/>
    <s v="-"/>
    <n v="0"/>
    <n v="0"/>
    <n v="0"/>
    <s v="-"/>
    <s v="-"/>
    <n v="1"/>
    <n v="0"/>
    <n v="1"/>
    <n v="0"/>
    <n v="1"/>
    <n v="4"/>
    <n v="2"/>
    <n v="2"/>
    <n v="0.5"/>
    <n v="0.5"/>
    <n v="0"/>
    <n v="7"/>
    <n v="8"/>
    <n v="0"/>
    <n v="0"/>
    <n v="0"/>
    <n v="2"/>
    <n v="2"/>
    <n v="0"/>
    <n v="0"/>
    <n v="0"/>
    <n v="0"/>
    <n v="0"/>
    <n v="0"/>
    <n v="0"/>
    <n v="0"/>
    <x v="7"/>
  </r>
  <r>
    <x v="4"/>
    <x v="11"/>
    <x v="7"/>
    <x v="4"/>
    <n v="9"/>
    <n v="9"/>
    <n v="0"/>
    <n v="1"/>
    <n v="0"/>
    <n v="1"/>
    <n v="1"/>
    <n v="0"/>
    <n v="1"/>
    <n v="0"/>
    <n v="6"/>
    <n v="6"/>
    <n v="0"/>
    <n v="1"/>
    <n v="0"/>
    <n v="2"/>
    <n v="2"/>
    <n v="0"/>
    <n v="1"/>
    <n v="0"/>
    <n v="0"/>
    <n v="0"/>
    <n v="0"/>
    <s v="-"/>
    <s v="-"/>
    <n v="1"/>
    <n v="1"/>
    <n v="0"/>
    <n v="1"/>
    <n v="0"/>
    <n v="0"/>
    <n v="0"/>
    <n v="0"/>
    <n v="0"/>
    <s v="-"/>
    <s v="-"/>
    <n v="11"/>
    <n v="9"/>
    <n v="0"/>
    <n v="0"/>
    <n v="2"/>
    <n v="1"/>
    <n v="1"/>
    <n v="0"/>
    <n v="1"/>
    <n v="0"/>
    <n v="0"/>
    <n v="0"/>
    <s v="-"/>
    <s v="-"/>
    <n v="0"/>
    <n v="0"/>
    <n v="0"/>
    <s v="-"/>
    <s v="-"/>
    <n v="5"/>
    <n v="1"/>
    <n v="3"/>
    <n v="1"/>
    <n v="3"/>
    <n v="1"/>
    <n v="0"/>
    <n v="0"/>
    <n v="0"/>
    <s v="-"/>
    <s v="-"/>
    <n v="0"/>
    <n v="5"/>
    <n v="2"/>
    <n v="0"/>
    <n v="0"/>
    <n v="0"/>
    <n v="0"/>
    <n v="5"/>
    <n v="1"/>
    <n v="4"/>
    <n v="0.2"/>
    <n v="0.8"/>
    <n v="3"/>
    <n v="1"/>
    <n v="2"/>
    <n v="0.33333333333333331"/>
    <n v="0.66666666666666663"/>
    <n v="2"/>
    <n v="0"/>
    <n v="2"/>
    <s v="-"/>
    <s v="-"/>
    <n v="0"/>
    <n v="0"/>
    <n v="0"/>
    <s v="-"/>
    <s v="-"/>
    <n v="0"/>
    <n v="0"/>
    <n v="0"/>
    <s v="-"/>
    <s v="-"/>
    <n v="0"/>
    <n v="0"/>
    <n v="0"/>
    <s v="-"/>
    <s v="-"/>
    <n v="0"/>
    <n v="2"/>
    <n v="3"/>
    <n v="0"/>
    <n v="0"/>
    <n v="0"/>
    <n v="0"/>
    <n v="0"/>
    <n v="0"/>
    <n v="0"/>
    <n v="0"/>
    <n v="0"/>
    <n v="0"/>
    <n v="0"/>
    <n v="0"/>
    <n v="0"/>
    <x v="11"/>
  </r>
  <r>
    <x v="4"/>
    <x v="8"/>
    <x v="0"/>
    <x v="5"/>
    <n v="6"/>
    <n v="5"/>
    <n v="1"/>
    <n v="0.83333333333333337"/>
    <n v="0.16666666666666666"/>
    <n v="3"/>
    <n v="2"/>
    <n v="1"/>
    <n v="0.66666666666666663"/>
    <n v="0.33333333333333331"/>
    <n v="1"/>
    <n v="1"/>
    <n v="0"/>
    <n v="1"/>
    <n v="0"/>
    <n v="2"/>
    <n v="2"/>
    <n v="0"/>
    <n v="1"/>
    <n v="0"/>
    <n v="1"/>
    <n v="0"/>
    <n v="1"/>
    <n v="0"/>
    <n v="1"/>
    <n v="2"/>
    <n v="1"/>
    <n v="1"/>
    <n v="0.5"/>
    <n v="0.5"/>
    <n v="1"/>
    <n v="0"/>
    <n v="0"/>
    <n v="0"/>
    <s v="-"/>
    <s v="-"/>
    <n v="16"/>
    <n v="5"/>
    <n v="2"/>
    <n v="4"/>
    <n v="4"/>
    <n v="3"/>
    <n v="1"/>
    <n v="0"/>
    <n v="3"/>
    <n v="6"/>
    <n v="4"/>
    <n v="2"/>
    <n v="0.66666666666666663"/>
    <n v="0.33333333333333331"/>
    <n v="3"/>
    <n v="1"/>
    <n v="2"/>
    <n v="0.33333333333333331"/>
    <n v="0.66666666666666663"/>
    <n v="5"/>
    <n v="3"/>
    <n v="2"/>
    <n v="0"/>
    <n v="0"/>
    <n v="1"/>
    <n v="1"/>
    <n v="1"/>
    <n v="0"/>
    <n v="1"/>
    <n v="0"/>
    <n v="1"/>
    <n v="0"/>
    <n v="6"/>
    <n v="0"/>
    <n v="0"/>
    <n v="5"/>
    <n v="0"/>
    <n v="2"/>
    <n v="1"/>
    <n v="1"/>
    <n v="0.5"/>
    <n v="0.5"/>
    <n v="1"/>
    <n v="0"/>
    <n v="1"/>
    <n v="0"/>
    <n v="1"/>
    <n v="0"/>
    <n v="0"/>
    <n v="0"/>
    <s v="-"/>
    <s v="-"/>
    <n v="0"/>
    <n v="0"/>
    <n v="0"/>
    <s v="-"/>
    <s v="-"/>
    <n v="0"/>
    <n v="0"/>
    <n v="0"/>
    <s v="-"/>
    <s v="-"/>
    <n v="0"/>
    <n v="0"/>
    <n v="0"/>
    <s v="-"/>
    <s v="-"/>
    <n v="0"/>
    <n v="0"/>
    <n v="1"/>
    <n v="0"/>
    <n v="0"/>
    <n v="0"/>
    <n v="3"/>
    <n v="1"/>
    <n v="0"/>
    <n v="0"/>
    <n v="0"/>
    <n v="0"/>
    <n v="0"/>
    <n v="0"/>
    <n v="0"/>
    <n v="0"/>
    <x v="8"/>
  </r>
  <r>
    <x v="4"/>
    <x v="9"/>
    <x v="7"/>
    <x v="6"/>
    <n v="6"/>
    <n v="4"/>
    <n v="2"/>
    <n v="0.66666666666666663"/>
    <n v="0.33333333333333331"/>
    <n v="1"/>
    <n v="0"/>
    <n v="1"/>
    <n v="0"/>
    <n v="1"/>
    <n v="2"/>
    <n v="2"/>
    <n v="0"/>
    <n v="1"/>
    <n v="0"/>
    <n v="3"/>
    <n v="2"/>
    <n v="1"/>
    <n v="1"/>
    <n v="0.5"/>
    <n v="0"/>
    <n v="0"/>
    <n v="0"/>
    <s v="-"/>
    <s v="-"/>
    <n v="1"/>
    <n v="0"/>
    <n v="1"/>
    <n v="0"/>
    <n v="1"/>
    <n v="0"/>
    <n v="0"/>
    <n v="0"/>
    <n v="0"/>
    <s v="-"/>
    <s v="-"/>
    <n v="3"/>
    <n v="1"/>
    <n v="0"/>
    <n v="0"/>
    <n v="2"/>
    <n v="2"/>
    <n v="0"/>
    <n v="0"/>
    <n v="3"/>
    <n v="1"/>
    <n v="1"/>
    <n v="0"/>
    <n v="1"/>
    <n v="0"/>
    <n v="3"/>
    <n v="2"/>
    <n v="1"/>
    <n v="0.66666666666666663"/>
    <n v="0.33333333333333331"/>
    <n v="2"/>
    <n v="1"/>
    <n v="0"/>
    <n v="1"/>
    <n v="0"/>
    <n v="0"/>
    <n v="0"/>
    <n v="0"/>
    <n v="0"/>
    <s v="-"/>
    <s v="-"/>
    <n v="1"/>
    <n v="0"/>
    <n v="1"/>
    <n v="0"/>
    <n v="0"/>
    <n v="2"/>
    <n v="0"/>
    <n v="1"/>
    <n v="1"/>
    <n v="0"/>
    <n v="1"/>
    <n v="0"/>
    <n v="1"/>
    <n v="1"/>
    <n v="0"/>
    <n v="1"/>
    <n v="0"/>
    <n v="0"/>
    <n v="0"/>
    <n v="0"/>
    <s v="-"/>
    <s v="-"/>
    <n v="2"/>
    <n v="0"/>
    <n v="2"/>
    <n v="0"/>
    <n v="1"/>
    <n v="0"/>
    <n v="0"/>
    <n v="0"/>
    <s v="-"/>
    <s v="-"/>
    <n v="0"/>
    <n v="0"/>
    <n v="0"/>
    <s v="-"/>
    <s v="-"/>
    <n v="0"/>
    <n v="5"/>
    <n v="5"/>
    <n v="0"/>
    <n v="0"/>
    <n v="0"/>
    <n v="2"/>
    <n v="1"/>
    <n v="0"/>
    <n v="0"/>
    <n v="0"/>
    <n v="0"/>
    <n v="0"/>
    <n v="0"/>
    <n v="0"/>
    <n v="0"/>
    <x v="9"/>
  </r>
  <r>
    <x v="4"/>
    <x v="10"/>
    <x v="0"/>
    <x v="7"/>
    <n v="18"/>
    <n v="16"/>
    <n v="2"/>
    <n v="0.88888888888888884"/>
    <n v="0.1111111111111111"/>
    <n v="3"/>
    <n v="2"/>
    <n v="1"/>
    <n v="0.66666666666666663"/>
    <n v="0.33333333333333331"/>
    <n v="3"/>
    <n v="2"/>
    <n v="1"/>
    <n v="0.66666666666666663"/>
    <n v="0.33333333333333331"/>
    <n v="12"/>
    <n v="12"/>
    <n v="0"/>
    <n v="1"/>
    <n v="0"/>
    <n v="0"/>
    <n v="0"/>
    <n v="0"/>
    <s v="-"/>
    <s v="-"/>
    <n v="1"/>
    <n v="1"/>
    <n v="0"/>
    <n v="1"/>
    <n v="0"/>
    <n v="3"/>
    <n v="0"/>
    <n v="0"/>
    <n v="0"/>
    <s v="-"/>
    <s v="-"/>
    <n v="20"/>
    <n v="12"/>
    <n v="1"/>
    <n v="2"/>
    <n v="1"/>
    <n v="1"/>
    <n v="0"/>
    <n v="0"/>
    <n v="7"/>
    <n v="1"/>
    <n v="1"/>
    <n v="0"/>
    <n v="1"/>
    <n v="0"/>
    <n v="1"/>
    <n v="1"/>
    <n v="0"/>
    <n v="1"/>
    <n v="0"/>
    <n v="6"/>
    <n v="4"/>
    <n v="1"/>
    <n v="1"/>
    <n v="1"/>
    <n v="1"/>
    <n v="5"/>
    <n v="4"/>
    <n v="1"/>
    <n v="0.8"/>
    <n v="0.2"/>
    <n v="2"/>
    <n v="3"/>
    <n v="2"/>
    <n v="1"/>
    <n v="0"/>
    <n v="5"/>
    <n v="0"/>
    <n v="7"/>
    <n v="5"/>
    <n v="2"/>
    <n v="0.7142857142857143"/>
    <n v="0.2857142857142857"/>
    <n v="1"/>
    <n v="0"/>
    <n v="1"/>
    <n v="0"/>
    <n v="1"/>
    <n v="1"/>
    <n v="1"/>
    <n v="0"/>
    <n v="1"/>
    <n v="0"/>
    <n v="0"/>
    <n v="0"/>
    <n v="0"/>
    <s v="-"/>
    <s v="-"/>
    <n v="2"/>
    <n v="1"/>
    <n v="1"/>
    <n v="0.5"/>
    <n v="0.5"/>
    <n v="2"/>
    <n v="2"/>
    <n v="0"/>
    <n v="1"/>
    <n v="0"/>
    <n v="1"/>
    <n v="1"/>
    <n v="1"/>
    <n v="0"/>
    <n v="0"/>
    <n v="0"/>
    <n v="2"/>
    <n v="1"/>
    <n v="0"/>
    <n v="0"/>
    <n v="0"/>
    <n v="0"/>
    <n v="0"/>
    <n v="0"/>
    <n v="0"/>
    <n v="0"/>
    <x v="10"/>
  </r>
  <r>
    <x v="4"/>
    <x v="17"/>
    <x v="0"/>
    <x v="0"/>
    <n v="9"/>
    <n v="6"/>
    <n v="3"/>
    <n v="0.66666666666666663"/>
    <n v="0.33333333333333331"/>
    <n v="4"/>
    <n v="2"/>
    <n v="2"/>
    <n v="0.5"/>
    <n v="0.5"/>
    <n v="2"/>
    <n v="1"/>
    <n v="1"/>
    <n v="0.5"/>
    <n v="0.5"/>
    <n v="3"/>
    <n v="3"/>
    <n v="0"/>
    <n v="1"/>
    <n v="0"/>
    <n v="0"/>
    <n v="0"/>
    <n v="0"/>
    <s v="-"/>
    <s v="-"/>
    <n v="0"/>
    <n v="0"/>
    <n v="0"/>
    <s v="-"/>
    <s v="-"/>
    <n v="1"/>
    <n v="0"/>
    <n v="0"/>
    <n v="0"/>
    <s v="-"/>
    <s v="-"/>
    <n v="6"/>
    <n v="3"/>
    <n v="3"/>
    <n v="1"/>
    <n v="0"/>
    <n v="0"/>
    <n v="0"/>
    <n v="0"/>
    <n v="2"/>
    <n v="1"/>
    <n v="1"/>
    <n v="0"/>
    <n v="1"/>
    <n v="0"/>
    <n v="3"/>
    <n v="2"/>
    <n v="1"/>
    <n v="0.66666666666666663"/>
    <n v="0.33333333333333331"/>
    <n v="0"/>
    <n v="0"/>
    <n v="0"/>
    <n v="0"/>
    <n v="0"/>
    <n v="1"/>
    <n v="2"/>
    <n v="2"/>
    <n v="0"/>
    <n v="1"/>
    <n v="0"/>
    <n v="1"/>
    <n v="1"/>
    <n v="1"/>
    <n v="0"/>
    <n v="0"/>
    <n v="1"/>
    <n v="0"/>
    <n v="3"/>
    <n v="2"/>
    <n v="1"/>
    <n v="0.66666666666666663"/>
    <n v="0.33333333333333331"/>
    <n v="0"/>
    <n v="0"/>
    <n v="0"/>
    <s v="-"/>
    <s v="-"/>
    <n v="1"/>
    <n v="0"/>
    <n v="1"/>
    <s v="-"/>
    <s v="-"/>
    <n v="0"/>
    <n v="0"/>
    <n v="0"/>
    <s v="-"/>
    <s v="-"/>
    <n v="0"/>
    <n v="0"/>
    <n v="0"/>
    <s v="-"/>
    <s v="-"/>
    <n v="0"/>
    <n v="0"/>
    <n v="0"/>
    <s v="-"/>
    <s v="-"/>
    <n v="1"/>
    <n v="0"/>
    <n v="0"/>
    <n v="1"/>
    <n v="0"/>
    <n v="0"/>
    <n v="0"/>
    <n v="0"/>
    <n v="0"/>
    <n v="0"/>
    <n v="0"/>
    <n v="0"/>
    <n v="0"/>
    <n v="0"/>
    <n v="0"/>
    <n v="0"/>
    <x v="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A331440-58A4-B54C-8671-EA216DAD3A42}" name="PivotTable1" cacheId="16"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2">
  <location ref="A6:CF23" firstHeaderRow="0" firstDataRow="1" firstDataCol="1" rowPageCount="4" colPageCount="1"/>
  <pivotFields count="124">
    <pivotField axis="axisPage" showAll="0">
      <items count="6">
        <item x="0"/>
        <item x="3"/>
        <item x="4"/>
        <item x="2"/>
        <item x="1"/>
        <item t="default"/>
      </items>
    </pivotField>
    <pivotField axis="axisRow" showAll="0">
      <items count="27">
        <item x="12"/>
        <item x="13"/>
        <item x="0"/>
        <item x="15"/>
        <item m="1" x="18"/>
        <item x="3"/>
        <item x="4"/>
        <item x="5"/>
        <item x="6"/>
        <item m="1" x="19"/>
        <item m="1" x="22"/>
        <item x="9"/>
        <item x="17"/>
        <item x="14"/>
        <item x="1"/>
        <item x="16"/>
        <item m="1" x="23"/>
        <item m="1" x="24"/>
        <item x="7"/>
        <item x="8"/>
        <item m="1" x="25"/>
        <item x="10"/>
        <item m="1" x="20"/>
        <item m="1" x="21"/>
        <item x="2"/>
        <item x="11"/>
        <item t="default"/>
      </items>
    </pivotField>
    <pivotField axis="axisPage" dataField="1" showAll="0">
      <items count="9">
        <item x="4"/>
        <item x="2"/>
        <item x="1"/>
        <item x="0"/>
        <item x="7"/>
        <item x="3"/>
        <item x="5"/>
        <item x="6"/>
        <item t="default"/>
      </items>
    </pivotField>
    <pivotField axis="axisPage" showAll="0">
      <items count="12">
        <item x="1"/>
        <item x="0"/>
        <item x="8"/>
        <item x="2"/>
        <item x="4"/>
        <item x="3"/>
        <item x="6"/>
        <item x="5"/>
        <item x="9"/>
        <item x="7"/>
        <item m="1" x="10"/>
        <item t="default"/>
      </items>
    </pivotField>
    <pivotField dataField="1" showAll="0"/>
    <pivotField dataField="1" showAll="0"/>
    <pivotField dataField="1" showAll="0"/>
    <pivotField showAll="0"/>
    <pivotField showAll="0"/>
    <pivotField dataField="1" showAll="0"/>
    <pivotField dataField="1" showAll="0"/>
    <pivotField dataField="1" showAll="0"/>
    <pivotField showAll="0"/>
    <pivotField showAll="0"/>
    <pivotField dataField="1" numFmtId="1" showAll="0"/>
    <pivotField dataField="1" numFmtId="1" showAll="0"/>
    <pivotField dataField="1" numFmtId="1" showAll="0"/>
    <pivotField showAll="0"/>
    <pivotField showAll="0"/>
    <pivotField dataField="1" numFmtId="1" showAll="0"/>
    <pivotField dataField="1" numFmtId="1" showAll="0"/>
    <pivotField dataField="1" numFmtId="1" showAll="0"/>
    <pivotField showAll="0"/>
    <pivotField showAll="0"/>
    <pivotField dataField="1" numFmtId="1" showAll="0"/>
    <pivotField dataField="1" numFmtId="1" showAll="0"/>
    <pivotField dataField="1" numFmtId="1" showAll="0"/>
    <pivotField showAll="0"/>
    <pivotField showAll="0"/>
    <pivotField dataField="1" numFmtId="1" showAll="0"/>
    <pivotField dataField="1" numFmtId="1" showAll="0"/>
    <pivotField dataField="1" numFmtId="1" showAll="0"/>
    <pivotField showAll="0"/>
    <pivotField showAll="0"/>
    <pivotField dataField="1" numFmtId="1" showAll="0"/>
    <pivotField dataField="1" numFmtId="1" showAll="0"/>
    <pivotField dataField="1" numFmtId="1" showAll="0"/>
    <pivotField dataField="1" numFmtId="1" showAll="0"/>
    <pivotField showAll="0"/>
    <pivotField showAll="0"/>
    <pivotField dataField="1" showAll="0"/>
    <pivotField showAll="0"/>
    <pivotField showAll="0"/>
    <pivotField dataField="1" numFmtId="1" showAll="0"/>
    <pivotField dataField="1" numFmtId="1" showAll="0"/>
    <pivotField dataField="1" numFmtId="1" showAll="0"/>
    <pivotField dataField="1" numFmtId="1" showAll="0"/>
    <pivotField dataField="1" numFmtId="1" showAll="0"/>
    <pivotField dataField="1" numFmtId="1" showAll="0"/>
    <pivotField dataField="1" numFmtId="1" showAll="0"/>
    <pivotField dataField="1" showAll="0"/>
    <pivotField dataField="1" showAll="0"/>
    <pivotField showAll="0"/>
    <pivotField showAll="0"/>
    <pivotField dataField="1" numFmtId="1" showAll="0"/>
    <pivotField dataField="1" numFmtId="1" showAll="0"/>
    <pivotField dataField="1" numFmtId="1" showAll="0"/>
    <pivotField showAll="0"/>
    <pivotField showAll="0"/>
    <pivotField dataField="1" numFmtId="1" showAll="0"/>
    <pivotField dataField="1" numFmtId="1" showAll="0"/>
    <pivotField dataField="1" numFmtId="1" showAll="0"/>
    <pivotField dataField="1" numFmtId="1" showAll="0"/>
    <pivotField dataField="1" numFmtId="1" showAll="0"/>
    <pivotField dataField="1" numFmtId="1" showAll="0"/>
    <pivotField dataField="1" numFmtId="1" showAll="0"/>
    <pivotField dataField="1" numFmtId="1" showAll="0"/>
    <pivotField dataField="1" numFmtId="1" showAll="0"/>
    <pivotField showAll="0"/>
    <pivotField showAll="0"/>
    <pivotField dataField="1" numFmtI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dataField="1" showAll="0"/>
    <pivotField dataField="1" showAll="0"/>
    <pivotField dataField="1" showAll="0"/>
    <pivotField showAll="0"/>
    <pivotField showAll="0"/>
    <pivotField dataField="1" numFmtId="1" showAll="0"/>
    <pivotField dataField="1" numFmtId="1" showAll="0"/>
    <pivotField dataField="1" numFmtId="1" showAll="0"/>
    <pivotField showAll="0"/>
    <pivotField showAll="0"/>
    <pivotField dataField="1" numFmtId="1" showAll="0"/>
    <pivotField dataField="1" numFmtId="1" showAll="0"/>
    <pivotField dataField="1" numFmtId="1" showAll="0"/>
    <pivotField showAll="0"/>
    <pivotField showAll="0"/>
    <pivotField dataField="1" numFmtId="1" showAll="0"/>
    <pivotField dataField="1" numFmtId="1" showAll="0"/>
    <pivotField dataField="1" numFmtId="1" showAll="0"/>
    <pivotField showAll="0"/>
    <pivotField showAll="0"/>
    <pivotField dataField="1" numFmtId="1" showAll="0"/>
    <pivotField dataField="1" numFmtId="1" showAll="0"/>
    <pivotField dataField="1" numFmtId="1" showAll="0"/>
    <pivotField showAll="0"/>
    <pivotField showAll="0"/>
    <pivotField dataField="1" numFmtId="1" showAll="0"/>
    <pivotField dataField="1" numFmtId="1" showAll="0"/>
    <pivotField dataField="1" showAll="0"/>
    <pivotField dataField="1" numFmtId="1" showAll="0"/>
    <pivotField dataField="1" numFmtId="1" showAll="0"/>
    <pivotField dataField="1" numFmtId="1" showAll="0"/>
    <pivotField dataField="1" numFmtId="1" showAll="0"/>
    <pivotField dataField="1" numFmtId="1" showAll="0"/>
    <pivotField dataField="1" numFmtId="1" showAll="0"/>
    <pivotField dataField="1" numFmtId="1" showAll="0"/>
    <pivotField dataField="1" numFmtId="1" showAll="0"/>
    <pivotField dataField="1" numFmtId="1" showAll="0"/>
    <pivotField dataField="1" numFmtId="1" showAll="0"/>
    <pivotField dataField="1" numFmtId="1" showAll="0"/>
    <pivotField dataField="1" showAll="0"/>
    <pivotField dataField="1" showAll="0"/>
    <pivotField axis="axisPage" showAll="0">
      <items count="27">
        <item x="13"/>
        <item x="12"/>
        <item x="0"/>
        <item x="15"/>
        <item m="1" x="18"/>
        <item x="3"/>
        <item x="4"/>
        <item x="5"/>
        <item x="6"/>
        <item m="1" x="19"/>
        <item m="1" x="22"/>
        <item x="9"/>
        <item x="17"/>
        <item x="14"/>
        <item x="1"/>
        <item x="16"/>
        <item m="1" x="23"/>
        <item m="1" x="24"/>
        <item x="7"/>
        <item x="8"/>
        <item m="1" x="25"/>
        <item x="10"/>
        <item m="1" x="20"/>
        <item m="1" x="21"/>
        <item x="2"/>
        <item x="11"/>
        <item t="default"/>
      </items>
    </pivotField>
  </pivotFields>
  <rowFields count="1">
    <field x="1"/>
  </rowFields>
  <rowItems count="17">
    <i>
      <x v="2"/>
    </i>
    <i>
      <x v="3"/>
    </i>
    <i>
      <x v="5"/>
    </i>
    <i>
      <x v="6"/>
    </i>
    <i>
      <x v="7"/>
    </i>
    <i>
      <x v="8"/>
    </i>
    <i>
      <x v="11"/>
    </i>
    <i>
      <x v="12"/>
    </i>
    <i>
      <x v="13"/>
    </i>
    <i>
      <x v="14"/>
    </i>
    <i>
      <x v="15"/>
    </i>
    <i>
      <x v="18"/>
    </i>
    <i>
      <x v="19"/>
    </i>
    <i>
      <x v="21"/>
    </i>
    <i>
      <x v="24"/>
    </i>
    <i>
      <x v="25"/>
    </i>
    <i t="grand">
      <x/>
    </i>
  </rowItems>
  <colFields count="1">
    <field x="-2"/>
  </colFields>
  <colItems count="83">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i i="61">
      <x v="61"/>
    </i>
    <i i="62">
      <x v="62"/>
    </i>
    <i i="63">
      <x v="63"/>
    </i>
    <i i="64">
      <x v="64"/>
    </i>
    <i i="65">
      <x v="65"/>
    </i>
    <i i="66">
      <x v="66"/>
    </i>
    <i i="67">
      <x v="67"/>
    </i>
    <i i="68">
      <x v="68"/>
    </i>
    <i i="69">
      <x v="69"/>
    </i>
    <i i="70">
      <x v="70"/>
    </i>
    <i i="71">
      <x v="71"/>
    </i>
    <i i="72">
      <x v="72"/>
    </i>
    <i i="73">
      <x v="73"/>
    </i>
    <i i="74">
      <x v="74"/>
    </i>
    <i i="75">
      <x v="75"/>
    </i>
    <i i="76">
      <x v="76"/>
    </i>
    <i i="77">
      <x v="77"/>
    </i>
    <i i="78">
      <x v="78"/>
    </i>
    <i i="79">
      <x v="79"/>
    </i>
    <i i="80">
      <x v="80"/>
    </i>
    <i i="81">
      <x v="81"/>
    </i>
    <i i="82">
      <x v="82"/>
    </i>
  </colItems>
  <pageFields count="4">
    <pageField fld="3" hier="-1"/>
    <pageField fld="2" hier="-1"/>
    <pageField fld="0" item="2" hier="-1"/>
    <pageField fld="123" hier="-1"/>
  </pageFields>
  <dataFields count="83">
    <dataField name="Sum of Turnover Won" fld="109" baseField="0" baseItem="0"/>
    <dataField name="Sum of Total Half-space Runs" fld="76" baseField="0" baseItem="0"/>
    <dataField name="Sum of Unsuccesful Defensive Duel" fld="84" baseField="0" baseItem="0"/>
    <dataField name="Sum of Successful Defensive Duel" fld="83" baseField="0" baseItem="0"/>
    <dataField name="Sum of Total Defensive Duel" fld="82" baseField="0" baseItem="0"/>
    <dataField name="Sum of Total Acceleration" fld="70" baseField="0" baseItem="0"/>
    <dataField name="Sum of Total Into Pocket" fld="71" baseField="0" baseItem="0"/>
    <dataField name="Sum of Total Wide Area" fld="72" baseField="0" baseItem="0"/>
    <dataField name="Sum of Total Back to Goal" fld="73" baseField="0" baseItem="0"/>
    <dataField name="Sum of Total Over/Underlaps" fld="74" baseField="0" baseItem="0"/>
    <dataField name="Sum of Total Runs in Behind" fld="75" baseField="0" baseItem="0"/>
    <dataField name="Sum of Total Pass Received" fld="40" baseField="0" baseItem="0"/>
    <dataField name="Sum of Duration (mins)" fld="2" baseField="0" baseItem="0"/>
    <dataField name="Sum of Save" fld="120" baseField="0" baseItem="0" numFmtId="1"/>
    <dataField name="Sum of Goal Conceded" fld="119" baseField="0" baseItem="0" numFmtId="1"/>
    <dataField name="Sum of Counter Kick" fld="122" baseField="0" baseItem="0"/>
    <dataField name="Sum of Defend the line (Cross)" fld="121" baseField="0" baseItem="0"/>
    <dataField name="Sum of Defence the Space" fld="118" baseField="0" baseItem="0" numFmtId="1"/>
    <dataField name="Sum of GK Off Target" fld="117" baseField="0" baseItem="0" numFmtId="1"/>
    <dataField name="Sum of GK On target" fld="116" baseField="0" baseItem="0" numFmtId="1"/>
    <dataField name="Sum of GK 1v1" fld="115" baseField="0" baseItem="0" numFmtId="1"/>
    <dataField name="Sum of Fouls" fld="113" baseField="0" baseItem="0" numFmtId="1"/>
    <dataField name="Sum of Won Fouls" fld="114" baseField="0" baseItem="0" numFmtId="1"/>
    <dataField name="Sum of Missed Man-marking" fld="112" baseField="0" baseItem="0" numFmtId="1"/>
    <dataField name="Sum of Blocked Shots" fld="111" baseField="0" baseItem="0" numFmtId="1"/>
    <dataField name="Sum of Recovery" fld="110" baseField="0" baseItem="0" numFmtId="1"/>
    <dataField name="Sum of Interception" fld="108" baseField="0" baseItem="0" numFmtId="1"/>
    <dataField name="Sum of Clearance" fld="107" baseField="0" baseItem="0" numFmtId="1"/>
    <dataField name="Sum of Unsuccessful 2nd Ball" fld="104" baseField="0" baseItem="0" numFmtId="1"/>
    <dataField name="Sum of Successful 2nd Ball" fld="103" baseField="0" baseItem="0" numFmtId="1"/>
    <dataField name="Sum of Total 2nd Ball" fld="102" baseField="0" baseItem="0" numFmtId="1"/>
    <dataField name="Sum of Unsuccessful Tackles" fld="99" baseField="0" baseItem="0" numFmtId="1"/>
    <dataField name="Sum of Successful Tackles" fld="98" baseField="0" baseItem="0" numFmtId="1"/>
    <dataField name="Sum of Total Tackles" fld="97" baseField="0" baseItem="0" numFmtId="1"/>
    <dataField name="Sum of Unsuccessful 1v1 Defence" fld="94" baseField="0" baseItem="0" numFmtId="1"/>
    <dataField name="Sum of Successful 1v1 Defence" fld="93" baseField="0" baseItem="0" numFmtId="1"/>
    <dataField name="Sum of Total 1v1 Defence" fld="92" baseField="0" baseItem="0" numFmtId="1"/>
    <dataField name="Sum of Unsuccessful Aerial Duel" fld="89" baseField="0" baseItem="0" numFmtId="1"/>
    <dataField name="Sum of Succesful Aerial Duel" fld="88" baseField="0" baseItem="0" numFmtId="1"/>
    <dataField name="Sum of Total Aerial Duel" fld="87" baseField="0" baseItem="0" numFmtId="1"/>
    <dataField name="Sum of Unsuccessful Offensive Duel" fld="67" baseField="0" baseItem="0" numFmtId="1"/>
    <dataField name="Sum of Successful Offensive Duel" fld="66" baseField="0" baseItem="0" numFmtId="1"/>
    <dataField name="Sum of Total Offensive Duel" fld="65" baseField="0" baseItem="0" numFmtId="1"/>
    <dataField name="Sum of Assist" fld="64" baseField="0" baseItem="0" numFmtId="1"/>
    <dataField name="Sum of Goal" fld="63" baseField="0" baseItem="0" numFmtId="1"/>
    <dataField name="Sum of Blocked" fld="62" baseField="0" baseItem="0" numFmtId="1"/>
    <dataField name="Sum of On Target" fld="60" baseField="0" baseItem="0" numFmtId="1"/>
    <dataField name="Sum of Off Target" fld="61" baseField="0" baseItem="0" numFmtId="1"/>
    <dataField name="Sum of Total Shots" fld="59" baseField="0" baseItem="0" numFmtId="1"/>
    <dataField name="Sum of Uncompleted Cross" fld="56" baseField="0" baseItem="0" numFmtId="1"/>
    <dataField name="Sum of Completed Cross" fld="55" baseField="0" baseItem="0" numFmtId="1"/>
    <dataField name="Sum of Total Cross" fld="54" baseField="0" baseItem="0" numFmtId="1"/>
    <dataField name="Sum of Unsuccessful 1v1" fld="51" baseField="0" baseItem="0"/>
    <dataField name="Sum of Successful 1v1" fld="50" baseField="0" baseItem="0"/>
    <dataField name="Sum of Total 1v1" fld="49" baseField="0" baseItem="0" numFmtId="1"/>
    <dataField name="Sum of Touches in the Box" fld="48" baseField="0" baseItem="0" numFmtId="1"/>
    <dataField name="Sum of Ball Lost in Own 1/3" fld="47" baseField="0" baseItem="0" numFmtId="1"/>
    <dataField name="Sum of Ball Lost in Middle 1/3" fld="46" baseField="0" baseItem="0" numFmtId="1"/>
    <dataField name="Sum of Ball Lost in Final 1/3" fld="45" baseField="0" baseItem="0" numFmtId="1"/>
    <dataField name="Sum of Ball Lost" fld="44" baseField="0" baseItem="0" numFmtId="1"/>
    <dataField name="Sum of Ball Kept" fld="43" baseField="0" baseItem="0" numFmtId="1"/>
    <dataField name="Sum of Uncompleted Diagonal Passes" fld="37" baseField="0" baseItem="0" numFmtId="1"/>
    <dataField name="Sum of Completed Diagonal Passes" fld="36" baseField="0" baseItem="0" numFmtId="1"/>
    <dataField name="Sum of Total Diagonal Passes" fld="35" baseField="0" baseItem="0" numFmtId="1"/>
    <dataField name="Sum of Total Through Passes" fld="34" baseField="0" baseItem="0" numFmtId="1"/>
    <dataField name="Sum of Uncompleted Balls in Behind" fld="31" baseField="0" baseItem="0" numFmtId="1"/>
    <dataField name="Sum of Completed Balls in Behind" fld="30" baseField="0" baseItem="0" numFmtId="1"/>
    <dataField name="Sum of Total Balls in Behind" fld="29" baseField="0" baseItem="0" numFmtId="1"/>
    <dataField name="Sum of Uncompleted Long Passes" fld="26" baseField="0" baseItem="0" numFmtId="1"/>
    <dataField name="Sum of Completed Long Passes" fld="25" baseField="0" baseItem="0" numFmtId="1"/>
    <dataField name="Sum of Total Long Passes" fld="24" baseField="0" baseItem="0" numFmtId="1"/>
    <dataField name="Sum of Uncompleted Backward Passes" fld="21" baseField="0" baseItem="0" numFmtId="1"/>
    <dataField name="Sum of Completed Backward Passes" fld="20" baseField="0" baseItem="0" numFmtId="1"/>
    <dataField name="Sum of Total Backward Passes" fld="19" baseField="0" baseItem="0" numFmtId="1"/>
    <dataField name="Sum of Uncompleted Lateral Passes" fld="16" baseField="0" baseItem="0" numFmtId="1"/>
    <dataField name="Sum of Completed Lateral Passes" fld="15" baseField="0" baseItem="0" numFmtId="1"/>
    <dataField name="Sum of Total Lateral Passes" fld="14" baseField="0" baseItem="0" numFmtId="1"/>
    <dataField name="Sum of Uncompleted Forward Passes" fld="11" baseField="0" baseItem="0"/>
    <dataField name="Sum of Completed Forward Passes" fld="10" baseField="0" baseItem="0"/>
    <dataField name="Sum of Total Forward Passes" fld="9" baseField="0" baseItem="0"/>
    <dataField name="Sum of Uncompleted Passes" fld="6" baseField="0" baseItem="0"/>
    <dataField name="Sum of Completed Passes" fld="5" baseField="0" baseItem="0"/>
    <dataField name="Sum of Total Pass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sition1" xr10:uid="{896B0D1A-14E0-5844-85E2-21053260DC57}" sourceName="Position">
  <pivotTables>
    <pivotTable tabId="12" name="PivotTable1"/>
  </pivotTables>
  <data>
    <tabular pivotCacheId="1162592132">
      <items count="11">
        <i x="1" s="1"/>
        <i x="4" s="1"/>
        <i x="0" s="1"/>
        <i x="3" s="1"/>
        <i x="5" s="1"/>
        <i x="2" s="1"/>
        <i x="6" s="1"/>
        <i x="7" s="1"/>
        <i x="10" s="1" nd="1"/>
        <i x="9" s="1" nd="1"/>
        <i x="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 xr10:uid="{75074900-4E69-DB45-9E3A-3A5F9B0ADA36}" sourceName="Time">
  <pivotTables>
    <pivotTable tabId="12" name="PivotTable1"/>
  </pivotTables>
  <data>
    <tabular pivotCacheId="1162592132">
      <items count="5">
        <i x="0"/>
        <i x="3"/>
        <i x="4" s="1"/>
        <i x="2"/>
        <i x="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er_2" xr10:uid="{8D7DB5E9-D467-784E-9C40-D7475CDEF4A7}" sourceName="Player 2">
  <pivotTables>
    <pivotTable tabId="12" name="PivotTable1"/>
  </pivotTables>
  <data>
    <tabular pivotCacheId="1162592132">
      <items count="26">
        <i x="2" s="1"/>
        <i x="9" s="1"/>
        <i x="6" s="1"/>
        <i x="10" s="1"/>
        <i x="11" s="1"/>
        <i x="7" s="1"/>
        <i x="14" s="1"/>
        <i x="1" s="1"/>
        <i x="5" s="1"/>
        <i x="16" s="1"/>
        <i x="0" s="1"/>
        <i x="15" s="1"/>
        <i x="4" s="1"/>
        <i x="3" s="1"/>
        <i x="17" s="1"/>
        <i x="8" s="1"/>
        <i x="18" s="1" nd="1"/>
        <i x="21" s="1" nd="1"/>
        <i x="23" s="1" nd="1"/>
        <i x="22" s="1" nd="1"/>
        <i x="25" s="1" nd="1"/>
        <i x="13" s="1" nd="1"/>
        <i x="20" s="1" nd="1"/>
        <i x="19" s="1" nd="1"/>
        <i x="24" s="1" nd="1"/>
        <i x="1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sition 3" xr10:uid="{6C93E4ED-0F83-474C-A33F-2FDD1F2F9AD4}" cache="Slicer_Position1" caption="Position" rowHeight="251883"/>
  <slicer name="Time 1" xr10:uid="{1A64E7F6-FB95-E74B-918E-DEC79E2E6869}" cache="Slicer_Time" caption="Time" rowHeight="251883"/>
  <slicer name="Player 3" xr10:uid="{F9E7D1D5-EDAE-A241-B7AC-5FA4345792C2}" cache="Slicer_Player_2" caption="Player 2"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sition 2" xr10:uid="{E97BEBDB-B1FC-5C4F-891C-5DB67E217A57}" cache="Slicer_Position1" caption="Position" rowHeight="251883"/>
  <slicer name="Time" xr10:uid="{EE68E3A5-0083-D044-A83A-BE8180D3DF70}" cache="Slicer_Time" caption="Time" rowHeight="251883"/>
  <slicer name="Player 2" xr10:uid="{97878B06-B1D3-A346-A7FA-3C6DCBA78D09}" cache="Slicer_Player_2" caption="Player 2"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C7B4F-83D7-D741-8A85-FCDC3BE5FB87}">
  <dimension ref="A1:AF74"/>
  <sheetViews>
    <sheetView showGridLines="0" topLeftCell="A12" zoomScale="105" zoomScaleNormal="100" workbookViewId="0">
      <selection activeCell="AE15" sqref="AE15"/>
    </sheetView>
  </sheetViews>
  <sheetFormatPr baseColWidth="10" defaultRowHeight="16"/>
  <cols>
    <col min="1" max="13" width="7.83203125" style="5" customWidth="1"/>
    <col min="14" max="14" width="7.5" style="5" customWidth="1"/>
    <col min="15" max="15" width="0.83203125" style="5" hidden="1" customWidth="1"/>
    <col min="16" max="28" width="7.83203125" style="5" customWidth="1"/>
    <col min="29" max="16384" width="10.83203125" style="5"/>
  </cols>
  <sheetData>
    <row r="1" spans="2:28" ht="25" customHeight="1"/>
    <row r="2" spans="2:28" ht="25" customHeight="1"/>
    <row r="3" spans="2:28" ht="25" customHeight="1"/>
    <row r="4" spans="2:28" ht="25" customHeight="1"/>
    <row r="5" spans="2:28" ht="25" customHeight="1"/>
    <row r="6" spans="2:28" ht="25" customHeight="1"/>
    <row r="7" spans="2:28" ht="25" customHeight="1">
      <c r="J7"/>
      <c r="R7" s="30"/>
    </row>
    <row r="8" spans="2:28" ht="25" customHeight="1">
      <c r="H8" s="6"/>
    </row>
    <row r="9" spans="2:28" ht="25" customHeight="1">
      <c r="H9" s="6"/>
      <c r="I9" s="140" t="e" vm="1">
        <v>#VALUE!</v>
      </c>
      <c r="J9" s="140"/>
      <c r="K9" s="140"/>
      <c r="L9" s="140"/>
      <c r="R9" s="140" t="e" vm="2">
        <v>#VALUE!</v>
      </c>
      <c r="S9" s="140"/>
      <c r="T9" s="140"/>
      <c r="U9" s="140"/>
      <c r="V9" s="237" t="s">
        <v>334</v>
      </c>
      <c r="W9" s="237"/>
      <c r="X9" s="237"/>
      <c r="Y9" s="237" t="s">
        <v>416</v>
      </c>
      <c r="Z9" s="237"/>
      <c r="AA9" s="85" t="s">
        <v>415</v>
      </c>
      <c r="AB9" s="37"/>
    </row>
    <row r="10" spans="2:28" ht="25" customHeight="1">
      <c r="H10" s="6"/>
      <c r="I10" s="140"/>
      <c r="J10" s="140"/>
      <c r="K10" s="140"/>
      <c r="L10" s="140"/>
      <c r="R10" s="140"/>
      <c r="S10" s="140"/>
      <c r="T10" s="140"/>
      <c r="U10" s="140"/>
      <c r="V10" s="192"/>
      <c r="W10" s="192"/>
      <c r="X10" s="192"/>
      <c r="Y10" s="233"/>
      <c r="Z10" s="233"/>
      <c r="AA10" s="60"/>
      <c r="AB10" s="6"/>
    </row>
    <row r="11" spans="2:28" ht="25" customHeight="1">
      <c r="F11" s="236">
        <f>Dashboard!P4</f>
        <v>49.56393127721514</v>
      </c>
      <c r="G11" s="236"/>
      <c r="H11" s="6"/>
      <c r="I11" s="140"/>
      <c r="J11" s="140"/>
      <c r="K11" s="140"/>
      <c r="L11" s="140"/>
      <c r="M11" s="238">
        <f>Dashboard!M4</f>
        <v>6</v>
      </c>
      <c r="N11" s="238"/>
      <c r="P11" s="239">
        <f>Dashboard!N4</f>
        <v>1</v>
      </c>
      <c r="Q11" s="239"/>
      <c r="R11" s="140"/>
      <c r="S11" s="140"/>
      <c r="T11" s="140"/>
      <c r="U11" s="140"/>
      <c r="V11" s="192"/>
      <c r="W11" s="192"/>
      <c r="X11" s="192"/>
      <c r="Y11" s="233"/>
      <c r="Z11" s="233"/>
      <c r="AA11" s="60"/>
      <c r="AB11" s="6"/>
    </row>
    <row r="12" spans="2:28" ht="25" customHeight="1">
      <c r="F12" s="236"/>
      <c r="G12" s="236"/>
      <c r="H12" s="6"/>
      <c r="I12" s="140"/>
      <c r="J12" s="140"/>
      <c r="K12" s="140"/>
      <c r="L12" s="140"/>
      <c r="M12" s="238"/>
      <c r="N12" s="238"/>
      <c r="P12" s="239"/>
      <c r="Q12" s="239"/>
      <c r="R12" s="140"/>
      <c r="S12" s="140"/>
      <c r="T12" s="140"/>
      <c r="U12" s="140"/>
      <c r="V12" s="192"/>
      <c r="W12" s="192"/>
      <c r="X12" s="192"/>
      <c r="Y12" s="233"/>
      <c r="Z12" s="233"/>
      <c r="AA12" s="60"/>
    </row>
    <row r="13" spans="2:28" ht="25" customHeight="1">
      <c r="F13" s="140" t="s">
        <v>123</v>
      </c>
      <c r="G13" s="140"/>
      <c r="H13" s="6"/>
      <c r="I13" s="140"/>
      <c r="J13" s="140"/>
      <c r="K13" s="140"/>
      <c r="L13" s="140"/>
      <c r="M13" s="238"/>
      <c r="N13" s="238"/>
      <c r="P13" s="239"/>
      <c r="Q13" s="239"/>
      <c r="R13" s="140"/>
      <c r="S13" s="140"/>
      <c r="T13" s="140"/>
      <c r="U13" s="140"/>
      <c r="V13" s="234"/>
      <c r="W13" s="234"/>
      <c r="X13" s="234"/>
      <c r="Y13" s="234"/>
      <c r="Z13" s="234"/>
      <c r="AA13" s="25"/>
    </row>
    <row r="14" spans="2:28" ht="25" customHeight="1" thickBot="1">
      <c r="E14" s="6"/>
      <c r="F14" s="6"/>
      <c r="G14" s="6"/>
      <c r="H14" s="6"/>
      <c r="I14" s="140"/>
      <c r="J14" s="140"/>
      <c r="K14" s="140"/>
      <c r="L14" s="140"/>
      <c r="M14" s="6"/>
      <c r="N14" s="6"/>
      <c r="R14" s="140"/>
      <c r="S14" s="140"/>
      <c r="T14" s="140"/>
      <c r="U14" s="140"/>
      <c r="V14" s="234"/>
      <c r="W14" s="234"/>
      <c r="X14" s="234"/>
      <c r="Y14" s="235"/>
      <c r="Z14" s="235"/>
    </row>
    <row r="15" spans="2:28" ht="25" customHeight="1" thickBot="1">
      <c r="C15" s="87"/>
      <c r="D15" s="87"/>
      <c r="E15" s="90"/>
      <c r="F15" s="204" t="s">
        <v>221</v>
      </c>
      <c r="G15" s="205"/>
      <c r="H15" s="206"/>
      <c r="I15" s="245">
        <f>Dashboard!V4</f>
        <v>0.64098746689028419</v>
      </c>
      <c r="J15" s="246"/>
      <c r="T15" s="249">
        <f>Dashboard!W4</f>
        <v>0.35901253310971576</v>
      </c>
      <c r="U15" s="250"/>
      <c r="V15" s="217" t="s">
        <v>122</v>
      </c>
      <c r="W15" s="217"/>
      <c r="X15" s="218"/>
      <c r="Y15" s="6"/>
    </row>
    <row r="16" spans="2:28" ht="25" customHeight="1" thickBot="1">
      <c r="B16" s="86"/>
      <c r="C16" s="138" t="s">
        <v>656</v>
      </c>
      <c r="D16" s="138"/>
      <c r="E16" s="138"/>
      <c r="F16" s="207"/>
      <c r="G16" s="136"/>
      <c r="H16" s="208"/>
      <c r="I16" s="247"/>
      <c r="J16" s="248"/>
      <c r="K16" s="88"/>
      <c r="T16" s="251"/>
      <c r="U16" s="252"/>
      <c r="V16" s="219"/>
      <c r="W16" s="219"/>
      <c r="X16" s="220"/>
      <c r="Y16" s="242" t="s">
        <v>183</v>
      </c>
      <c r="Z16" s="240"/>
      <c r="AA16" s="241"/>
    </row>
    <row r="17" spans="1:29" ht="25" customHeight="1" thickBot="1">
      <c r="B17" s="86"/>
      <c r="C17" s="198" t="s">
        <v>180</v>
      </c>
      <c r="D17" s="199"/>
      <c r="E17" s="200"/>
      <c r="F17" s="91"/>
      <c r="G17" s="92"/>
      <c r="H17" s="92"/>
      <c r="I17" s="93"/>
      <c r="J17" s="93"/>
      <c r="T17" s="27"/>
      <c r="U17" s="27"/>
      <c r="V17" s="17"/>
      <c r="W17" s="17"/>
      <c r="X17" s="17"/>
      <c r="Y17" s="186" t="s">
        <v>180</v>
      </c>
      <c r="Z17" s="187"/>
      <c r="AA17" s="188"/>
    </row>
    <row r="18" spans="1:29" ht="25" customHeight="1" thickBot="1">
      <c r="B18" s="86"/>
      <c r="C18" s="201">
        <f>Dashboard!DT4</f>
        <v>30</v>
      </c>
      <c r="D18" s="202"/>
      <c r="E18" s="203"/>
      <c r="F18" s="204" t="s">
        <v>221</v>
      </c>
      <c r="G18" s="205"/>
      <c r="H18" s="206"/>
      <c r="I18" s="209">
        <f>Dashboard!DS4</f>
        <v>53</v>
      </c>
      <c r="J18" s="210"/>
      <c r="T18" s="213">
        <f>Dashboard!DU4</f>
        <v>20</v>
      </c>
      <c r="U18" s="214"/>
      <c r="V18" s="217" t="s">
        <v>122</v>
      </c>
      <c r="W18" s="217"/>
      <c r="X18" s="218"/>
      <c r="Y18" s="167">
        <f>Dashboard!DV4</f>
        <v>11</v>
      </c>
      <c r="Z18" s="168"/>
      <c r="AA18" s="169"/>
    </row>
    <row r="19" spans="1:29" ht="25" customHeight="1" thickBot="1">
      <c r="B19" s="86"/>
      <c r="C19" s="130" t="s">
        <v>181</v>
      </c>
      <c r="D19" s="131"/>
      <c r="E19" s="132"/>
      <c r="F19" s="207"/>
      <c r="G19" s="136"/>
      <c r="H19" s="208"/>
      <c r="I19" s="211"/>
      <c r="J19" s="212"/>
      <c r="T19" s="215"/>
      <c r="U19" s="216"/>
      <c r="V19" s="219"/>
      <c r="W19" s="219"/>
      <c r="X19" s="220"/>
      <c r="Y19" s="186" t="s">
        <v>181</v>
      </c>
      <c r="Z19" s="187"/>
      <c r="AA19" s="188"/>
    </row>
    <row r="20" spans="1:29" ht="25" customHeight="1" thickBot="1">
      <c r="B20" s="86"/>
      <c r="C20" s="221">
        <f>Dashboard!DF4</f>
        <v>1</v>
      </c>
      <c r="D20" s="134"/>
      <c r="E20" s="191"/>
      <c r="F20" s="89"/>
      <c r="G20" s="87"/>
      <c r="H20" s="87"/>
      <c r="I20" s="87"/>
      <c r="J20" s="87"/>
      <c r="Y20" s="167">
        <f>Dashboard!DL4</f>
        <v>3</v>
      </c>
      <c r="Z20" s="168"/>
      <c r="AA20" s="169"/>
    </row>
    <row r="21" spans="1:29" ht="25" customHeight="1" thickBot="1">
      <c r="B21" s="86"/>
      <c r="C21" s="130" t="s">
        <v>182</v>
      </c>
      <c r="D21" s="131"/>
      <c r="E21" s="132"/>
      <c r="F21" s="204" t="s">
        <v>221</v>
      </c>
      <c r="G21" s="205"/>
      <c r="H21" s="205"/>
      <c r="I21" s="222">
        <f>Dashboard!DX4</f>
        <v>22</v>
      </c>
      <c r="J21" s="210"/>
      <c r="T21" s="213">
        <f>Dashboard!DY4</f>
        <v>7</v>
      </c>
      <c r="U21" s="214"/>
      <c r="V21" s="217" t="s">
        <v>122</v>
      </c>
      <c r="W21" s="217"/>
      <c r="X21" s="218"/>
      <c r="Y21" s="186" t="s">
        <v>182</v>
      </c>
      <c r="Z21" s="187"/>
      <c r="AA21" s="188"/>
    </row>
    <row r="22" spans="1:29" ht="25" customHeight="1" thickBot="1">
      <c r="B22" s="86"/>
      <c r="C22" s="224">
        <f>Dashboard!CU4</f>
        <v>22</v>
      </c>
      <c r="D22" s="140"/>
      <c r="E22" s="135"/>
      <c r="F22" s="207"/>
      <c r="G22" s="136"/>
      <c r="H22" s="136"/>
      <c r="I22" s="223"/>
      <c r="J22" s="212"/>
      <c r="K22" s="87"/>
      <c r="L22" s="87"/>
      <c r="M22" s="87"/>
      <c r="N22" s="87"/>
      <c r="T22" s="215"/>
      <c r="U22" s="216"/>
      <c r="V22" s="219"/>
      <c r="W22" s="219"/>
      <c r="X22" s="220"/>
      <c r="Y22" s="167">
        <f>Dashboard!DB4</f>
        <v>6</v>
      </c>
      <c r="Z22" s="168"/>
      <c r="AA22" s="169"/>
    </row>
    <row r="23" spans="1:29" ht="25" customHeight="1" thickBot="1">
      <c r="C23" s="94"/>
      <c r="D23" s="225" t="s">
        <v>213</v>
      </c>
      <c r="E23" s="226"/>
      <c r="F23" s="227"/>
      <c r="G23" s="226" t="s">
        <v>212</v>
      </c>
      <c r="H23" s="226"/>
      <c r="I23" s="227"/>
      <c r="J23" s="136" t="s">
        <v>657</v>
      </c>
      <c r="K23" s="136"/>
      <c r="L23" s="136"/>
      <c r="M23" s="136"/>
      <c r="N23" s="137"/>
      <c r="P23" s="139" t="s">
        <v>128</v>
      </c>
      <c r="Q23" s="126"/>
      <c r="R23" s="126"/>
      <c r="S23" s="126"/>
      <c r="T23" s="127"/>
      <c r="U23" s="242" t="s">
        <v>214</v>
      </c>
      <c r="V23" s="240"/>
      <c r="W23" s="241"/>
      <c r="X23" s="242" t="s">
        <v>213</v>
      </c>
      <c r="Y23" s="240"/>
      <c r="Z23" s="241"/>
    </row>
    <row r="24" spans="1:29" ht="25" customHeight="1" thickBot="1">
      <c r="C24" s="86"/>
      <c r="D24" s="130" t="s">
        <v>207</v>
      </c>
      <c r="E24" s="131"/>
      <c r="F24" s="132"/>
      <c r="G24" s="130" t="s">
        <v>563</v>
      </c>
      <c r="H24" s="131"/>
      <c r="I24" s="132"/>
      <c r="M24" s="253">
        <f>Dashboard!X4</f>
        <v>23</v>
      </c>
      <c r="N24" s="254"/>
      <c r="P24" s="257">
        <f>Dashboard!AN4</f>
        <v>7</v>
      </c>
      <c r="Q24" s="258"/>
      <c r="R24" s="72"/>
      <c r="S24" s="73"/>
      <c r="T24" s="74"/>
      <c r="U24" s="195" t="s">
        <v>567</v>
      </c>
      <c r="V24" s="196"/>
      <c r="W24" s="197"/>
      <c r="X24" s="186" t="s">
        <v>209</v>
      </c>
      <c r="Y24" s="187"/>
      <c r="Z24" s="188"/>
    </row>
    <row r="25" spans="1:29" ht="25" customHeight="1" thickBot="1">
      <c r="C25" s="86"/>
      <c r="D25" s="134">
        <f>Dashboard!AH4</f>
        <v>5</v>
      </c>
      <c r="E25" s="134"/>
      <c r="F25" s="191"/>
      <c r="G25" s="221">
        <f>Dashboard!AG4</f>
        <v>8</v>
      </c>
      <c r="H25" s="134"/>
      <c r="I25" s="191"/>
      <c r="L25" s="98"/>
      <c r="M25" s="255"/>
      <c r="N25" s="256"/>
      <c r="P25" s="259"/>
      <c r="Q25" s="260"/>
      <c r="R25" s="42"/>
      <c r="T25" s="29"/>
      <c r="U25" s="183">
        <f>Dashboard!AW4</f>
        <v>1</v>
      </c>
      <c r="V25" s="184"/>
      <c r="W25" s="185"/>
      <c r="X25" s="167">
        <f>Dashboard!AX4</f>
        <v>0</v>
      </c>
      <c r="Y25" s="168"/>
      <c r="Z25" s="169"/>
      <c r="AC25" s="13">
        <f>L27/$L$26</f>
        <v>0.56521739130434778</v>
      </c>
    </row>
    <row r="26" spans="1:29" ht="25" customHeight="1" thickBot="1">
      <c r="C26" s="86"/>
      <c r="D26" s="130" t="s">
        <v>206</v>
      </c>
      <c r="E26" s="131"/>
      <c r="F26" s="132"/>
      <c r="G26" s="130" t="s">
        <v>564</v>
      </c>
      <c r="H26" s="131"/>
      <c r="I26" s="132"/>
      <c r="K26" s="86"/>
      <c r="L26" s="63">
        <f>SUM(L27:L29)</f>
        <v>23</v>
      </c>
      <c r="M26" s="189" t="s">
        <v>150</v>
      </c>
      <c r="N26" s="228"/>
      <c r="P26" s="229" t="s">
        <v>150</v>
      </c>
      <c r="Q26" s="230"/>
      <c r="R26" s="69">
        <f>SUM(R27:R29)</f>
        <v>7</v>
      </c>
      <c r="T26" s="29"/>
      <c r="U26" s="186" t="s">
        <v>568</v>
      </c>
      <c r="V26" s="187"/>
      <c r="W26" s="188"/>
      <c r="X26" s="186" t="s">
        <v>210</v>
      </c>
      <c r="Y26" s="187"/>
      <c r="Z26" s="188"/>
      <c r="AC26" s="13">
        <f t="shared" ref="AC26:AC27" si="0">L28/$L$26</f>
        <v>0.2608695652173913</v>
      </c>
    </row>
    <row r="27" spans="1:29" ht="25" customHeight="1" thickBot="1">
      <c r="C27" s="86"/>
      <c r="D27" s="134">
        <f>Dashboard!AI4</f>
        <v>2</v>
      </c>
      <c r="E27" s="134"/>
      <c r="F27" s="191"/>
      <c r="G27" s="221">
        <f>Dashboard!AK4</f>
        <v>12</v>
      </c>
      <c r="H27" s="134"/>
      <c r="I27" s="191"/>
      <c r="K27" s="86"/>
      <c r="L27" s="99">
        <f>Dashboard!Z4</f>
        <v>13</v>
      </c>
      <c r="M27" s="189" t="s">
        <v>38</v>
      </c>
      <c r="N27" s="190"/>
      <c r="P27" s="192" t="s">
        <v>38</v>
      </c>
      <c r="Q27" s="192"/>
      <c r="R27" s="70">
        <f>Dashboard!AP4</f>
        <v>3</v>
      </c>
      <c r="S27" s="42"/>
      <c r="T27" s="29"/>
      <c r="U27" s="167">
        <f>Dashboard!BA4</f>
        <v>3</v>
      </c>
      <c r="V27" s="168"/>
      <c r="W27" s="169"/>
      <c r="X27" s="167">
        <f>Dashboard!AY4</f>
        <v>0</v>
      </c>
      <c r="Y27" s="168"/>
      <c r="Z27" s="169"/>
      <c r="AC27" s="13">
        <f t="shared" si="0"/>
        <v>0.17391304347826086</v>
      </c>
    </row>
    <row r="28" spans="1:29" ht="25" customHeight="1" thickBot="1">
      <c r="C28" s="86"/>
      <c r="D28" s="130" t="s">
        <v>208</v>
      </c>
      <c r="E28" s="131"/>
      <c r="F28" s="132"/>
      <c r="G28" s="130" t="s">
        <v>565</v>
      </c>
      <c r="H28" s="131"/>
      <c r="I28" s="132"/>
      <c r="K28" s="86"/>
      <c r="L28" s="100">
        <f>Dashboard!AA4</f>
        <v>6</v>
      </c>
      <c r="M28" s="189" t="s">
        <v>39</v>
      </c>
      <c r="N28" s="190"/>
      <c r="P28" s="192" t="s">
        <v>39</v>
      </c>
      <c r="Q28" s="192"/>
      <c r="R28" s="71">
        <f>Dashboard!AQ4</f>
        <v>1</v>
      </c>
      <c r="T28" s="29"/>
      <c r="U28" s="186" t="s">
        <v>569</v>
      </c>
      <c r="V28" s="187"/>
      <c r="W28" s="188"/>
      <c r="X28" s="186" t="s">
        <v>211</v>
      </c>
      <c r="Y28" s="187"/>
      <c r="Z28" s="188"/>
    </row>
    <row r="29" spans="1:29" ht="25" customHeight="1" thickBot="1">
      <c r="C29" s="63"/>
      <c r="D29" s="231">
        <f>Dashboard!AJ4</f>
        <v>9</v>
      </c>
      <c r="E29" s="140"/>
      <c r="F29" s="135"/>
      <c r="G29" s="133">
        <f>Dashboard!AL4</f>
        <v>3</v>
      </c>
      <c r="H29" s="140"/>
      <c r="I29" s="135"/>
      <c r="K29" s="86"/>
      <c r="L29" s="100">
        <f>Dashboard!AB4</f>
        <v>4</v>
      </c>
      <c r="M29" s="189" t="s">
        <v>37</v>
      </c>
      <c r="N29" s="190"/>
      <c r="P29" s="192" t="s">
        <v>37</v>
      </c>
      <c r="Q29" s="192"/>
      <c r="R29" s="71">
        <f>Dashboard!AR4</f>
        <v>3</v>
      </c>
      <c r="S29" s="42"/>
      <c r="T29" s="29"/>
      <c r="U29" s="167">
        <f>Dashboard!BB4</f>
        <v>3</v>
      </c>
      <c r="V29" s="168"/>
      <c r="W29" s="169"/>
      <c r="X29" s="167">
        <f>Dashboard!AZ4</f>
        <v>0</v>
      </c>
      <c r="Y29" s="168"/>
      <c r="Z29" s="169"/>
    </row>
    <row r="30" spans="1:29" ht="25" customHeight="1" thickBot="1">
      <c r="D30" s="95"/>
      <c r="E30" s="95"/>
      <c r="F30" s="96"/>
      <c r="G30" s="130" t="s">
        <v>566</v>
      </c>
      <c r="H30" s="131"/>
      <c r="I30" s="132"/>
      <c r="J30" s="87"/>
      <c r="K30" s="90"/>
      <c r="L30" s="98">
        <f>Dashboard!AF4</f>
        <v>18</v>
      </c>
      <c r="M30" s="193" t="s">
        <v>219</v>
      </c>
      <c r="N30" s="194"/>
      <c r="P30" s="192" t="s">
        <v>219</v>
      </c>
      <c r="Q30" s="192"/>
      <c r="R30" s="69">
        <f>Dashboard!AV4</f>
        <v>3</v>
      </c>
      <c r="S30" s="43"/>
      <c r="T30" s="32"/>
      <c r="U30" s="195" t="s">
        <v>570</v>
      </c>
      <c r="V30" s="196"/>
      <c r="W30" s="197"/>
    </row>
    <row r="31" spans="1:29" ht="25" customHeight="1" thickBot="1">
      <c r="D31" s="6"/>
      <c r="E31" s="6"/>
      <c r="F31" s="97"/>
      <c r="G31" s="133">
        <f>Dashboard!AM4</f>
        <v>0</v>
      </c>
      <c r="H31" s="134"/>
      <c r="I31" s="135"/>
      <c r="R31" s="33"/>
      <c r="U31" s="183">
        <f>Dashboard!BC4</f>
        <v>0</v>
      </c>
      <c r="V31" s="184"/>
      <c r="W31" s="185"/>
    </row>
    <row r="32" spans="1:29" ht="25" customHeight="1" thickBot="1">
      <c r="A32" s="31"/>
      <c r="C32" s="66"/>
      <c r="D32" s="232" t="s">
        <v>32</v>
      </c>
      <c r="E32" s="153"/>
      <c r="F32" s="153"/>
      <c r="G32" s="154"/>
      <c r="I32" s="155" t="s">
        <v>129</v>
      </c>
      <c r="J32" s="156"/>
      <c r="K32" s="156"/>
      <c r="L32" s="156"/>
      <c r="M32" s="156"/>
      <c r="N32" s="157"/>
      <c r="P32" s="49"/>
      <c r="Q32" s="125" t="s">
        <v>427</v>
      </c>
      <c r="R32" s="240"/>
      <c r="S32" s="240"/>
      <c r="T32" s="240"/>
      <c r="U32" s="240"/>
      <c r="V32" s="241"/>
      <c r="X32" s="125" t="s">
        <v>42</v>
      </c>
      <c r="Y32" s="126"/>
      <c r="Z32" s="126"/>
      <c r="AA32" s="127"/>
    </row>
    <row r="33" spans="2:29" ht="25" customHeight="1" thickBot="1">
      <c r="C33" s="86"/>
      <c r="D33" s="181">
        <f>Dashboard!BL4</f>
        <v>47</v>
      </c>
      <c r="E33" s="182"/>
      <c r="F33" s="128" t="s">
        <v>134</v>
      </c>
      <c r="G33" s="129"/>
      <c r="I33" s="105">
        <f>Dashboard!BI4</f>
        <v>4</v>
      </c>
      <c r="J33" s="128" t="s">
        <v>132</v>
      </c>
      <c r="K33" s="129"/>
      <c r="L33" s="105">
        <f>Dashboard!BD4</f>
        <v>17</v>
      </c>
      <c r="M33" s="128" t="s">
        <v>134</v>
      </c>
      <c r="N33" s="129"/>
      <c r="Q33" s="144" t="s">
        <v>134</v>
      </c>
      <c r="R33" s="145"/>
      <c r="S33" s="45">
        <f>Dashboard!CA4</f>
        <v>23</v>
      </c>
      <c r="T33" s="144" t="s">
        <v>43</v>
      </c>
      <c r="U33" s="145"/>
      <c r="V33" s="45">
        <f>Dashboard!CF4</f>
        <v>11</v>
      </c>
      <c r="X33" s="144" t="s">
        <v>134</v>
      </c>
      <c r="Y33" s="145"/>
      <c r="Z33" s="45">
        <f>Dashboard!CI4</f>
        <v>9</v>
      </c>
      <c r="AA33" s="44"/>
    </row>
    <row r="34" spans="2:29" ht="25" customHeight="1" thickBot="1">
      <c r="C34" s="86"/>
      <c r="D34" s="181">
        <f>Dashboard!BM4</f>
        <v>14</v>
      </c>
      <c r="E34" s="182"/>
      <c r="F34" s="177" t="s">
        <v>130</v>
      </c>
      <c r="G34" s="178"/>
      <c r="I34" s="105">
        <f>Dashboard!BJ4</f>
        <v>3</v>
      </c>
      <c r="J34" s="128" t="s">
        <v>31</v>
      </c>
      <c r="K34" s="129"/>
      <c r="L34" s="105">
        <f>Dashboard!BE4</f>
        <v>9</v>
      </c>
      <c r="M34" s="177" t="s">
        <v>130</v>
      </c>
      <c r="N34" s="178"/>
      <c r="P34" s="29"/>
      <c r="Q34" s="142" t="s">
        <v>130</v>
      </c>
      <c r="R34" s="143"/>
      <c r="S34" s="45">
        <f>Dashboard!CB4</f>
        <v>21</v>
      </c>
      <c r="T34" s="144" t="s">
        <v>133</v>
      </c>
      <c r="U34" s="145"/>
      <c r="V34" s="45">
        <f>Dashboard!CG4</f>
        <v>8</v>
      </c>
      <c r="X34" s="142" t="s">
        <v>130</v>
      </c>
      <c r="Y34" s="143"/>
      <c r="Z34" s="45">
        <f>Dashboard!CJ4</f>
        <v>9</v>
      </c>
    </row>
    <row r="35" spans="2:29" ht="25" customHeight="1" thickBot="1">
      <c r="C35" s="86"/>
      <c r="D35" s="181">
        <f>Dashboard!BN4</f>
        <v>33</v>
      </c>
      <c r="E35" s="182"/>
      <c r="F35" s="148" t="s">
        <v>131</v>
      </c>
      <c r="G35" s="149"/>
      <c r="I35" s="105">
        <f>Dashboard!BK4</f>
        <v>8</v>
      </c>
      <c r="J35" s="128" t="s">
        <v>29</v>
      </c>
      <c r="K35" s="129"/>
      <c r="L35" s="105">
        <f>Dashboard!BF4</f>
        <v>8</v>
      </c>
      <c r="M35" s="148" t="s">
        <v>131</v>
      </c>
      <c r="N35" s="149"/>
      <c r="P35" s="29"/>
      <c r="Q35" s="150" t="s">
        <v>131</v>
      </c>
      <c r="R35" s="151"/>
      <c r="S35" s="76">
        <f>Dashboard!CC4</f>
        <v>2</v>
      </c>
      <c r="T35" s="144" t="s">
        <v>456</v>
      </c>
      <c r="U35" s="145"/>
      <c r="V35" s="45">
        <f>Dashboard!CH4</f>
        <v>4</v>
      </c>
      <c r="X35" s="150" t="s">
        <v>131</v>
      </c>
      <c r="Y35" s="151"/>
      <c r="Z35" s="76">
        <f>Dashboard!CK4</f>
        <v>0</v>
      </c>
    </row>
    <row r="36" spans="2:29" ht="25" customHeight="1" thickBot="1">
      <c r="E36" s="101"/>
      <c r="F36" s="101"/>
      <c r="G36" s="101"/>
      <c r="S36" s="33"/>
      <c r="Z36" s="33"/>
    </row>
    <row r="37" spans="2:29" ht="25" customHeight="1" thickBot="1">
      <c r="E37" s="152" t="s">
        <v>220</v>
      </c>
      <c r="F37" s="153"/>
      <c r="G37" s="154"/>
      <c r="K37" s="20"/>
      <c r="L37" s="152" t="s">
        <v>53</v>
      </c>
      <c r="M37" s="153"/>
      <c r="N37" s="154"/>
      <c r="O37" s="34"/>
      <c r="Q37" s="125" t="s">
        <v>53</v>
      </c>
      <c r="R37" s="126"/>
      <c r="S37" s="127"/>
      <c r="X37" s="125" t="s">
        <v>44</v>
      </c>
      <c r="Y37" s="126"/>
      <c r="Z37" s="126"/>
      <c r="AA37" s="127"/>
    </row>
    <row r="38" spans="2:29" ht="25" customHeight="1" thickBot="1">
      <c r="E38" s="105">
        <f>COUNTIF('Raw data'!D:D,"P'Boro Offside")</f>
        <v>4</v>
      </c>
      <c r="F38" s="128" t="s">
        <v>221</v>
      </c>
      <c r="G38" s="129"/>
      <c r="L38" s="105">
        <f>Dashboard!BQ4</f>
        <v>13</v>
      </c>
      <c r="M38" s="128" t="s">
        <v>134</v>
      </c>
      <c r="N38" s="129"/>
      <c r="P38" s="49"/>
      <c r="Q38" s="144" t="s">
        <v>134</v>
      </c>
      <c r="R38" s="145"/>
      <c r="S38" s="45">
        <f>Dashboard!BV4</f>
        <v>4</v>
      </c>
      <c r="X38" s="144" t="s">
        <v>134</v>
      </c>
      <c r="Y38" s="145"/>
      <c r="Z38" s="45">
        <f>Dashboard!CN4</f>
        <v>2</v>
      </c>
    </row>
    <row r="39" spans="2:29" ht="25" customHeight="1" thickBot="1">
      <c r="E39" s="105">
        <f>COUNTIF('Raw data'!D:D,"Opp Offside")</f>
        <v>2</v>
      </c>
      <c r="F39" s="128" t="s">
        <v>122</v>
      </c>
      <c r="G39" s="129"/>
      <c r="L39" s="105">
        <f>Dashboard!BR4</f>
        <v>6</v>
      </c>
      <c r="M39" s="177" t="s">
        <v>130</v>
      </c>
      <c r="N39" s="178"/>
      <c r="P39" s="49"/>
      <c r="Q39" s="142" t="s">
        <v>130</v>
      </c>
      <c r="R39" s="143"/>
      <c r="S39" s="45">
        <f>Dashboard!BW4</f>
        <v>1</v>
      </c>
      <c r="X39" s="142" t="s">
        <v>130</v>
      </c>
      <c r="Y39" s="143"/>
      <c r="Z39" s="45">
        <f>Dashboard!CO4</f>
        <v>2</v>
      </c>
    </row>
    <row r="40" spans="2:29" ht="25" customHeight="1" thickBot="1">
      <c r="F40" s="62"/>
      <c r="G40" s="62"/>
      <c r="H40" s="62"/>
      <c r="L40" s="105">
        <f>Dashboard!BS4</f>
        <v>7</v>
      </c>
      <c r="M40" s="175" t="s">
        <v>131</v>
      </c>
      <c r="N40" s="176"/>
      <c r="P40" s="50"/>
      <c r="Q40" s="150" t="s">
        <v>131</v>
      </c>
      <c r="R40" s="151"/>
      <c r="S40" s="45">
        <f>Dashboard!BX4</f>
        <v>3</v>
      </c>
      <c r="X40" s="150" t="s">
        <v>131</v>
      </c>
      <c r="Y40" s="151"/>
      <c r="Z40" s="45">
        <f>Dashboard!CP4</f>
        <v>0</v>
      </c>
    </row>
    <row r="41" spans="2:29" ht="25" customHeight="1" thickBot="1">
      <c r="C41" s="62"/>
      <c r="D41" s="65"/>
      <c r="E41" s="170" t="s">
        <v>595</v>
      </c>
      <c r="F41" s="171"/>
      <c r="G41" s="171"/>
      <c r="H41" s="172"/>
      <c r="J41" s="152" t="s">
        <v>27</v>
      </c>
      <c r="K41" s="153"/>
      <c r="L41" s="153"/>
      <c r="M41" s="153"/>
      <c r="N41" s="154"/>
      <c r="O41" s="102"/>
      <c r="P41" s="31"/>
      <c r="Q41" s="125" t="s">
        <v>232</v>
      </c>
      <c r="R41" s="126"/>
      <c r="S41" s="126"/>
      <c r="T41" s="126"/>
      <c r="U41" s="127"/>
      <c r="V41" s="20"/>
      <c r="W41" s="125" t="s">
        <v>11</v>
      </c>
      <c r="X41" s="126"/>
      <c r="Y41" s="126"/>
      <c r="Z41" s="127"/>
    </row>
    <row r="42" spans="2:29" ht="25" customHeight="1" thickBot="1">
      <c r="B42" s="63"/>
      <c r="C42" s="173" t="s">
        <v>333</v>
      </c>
      <c r="D42" s="174"/>
      <c r="E42" s="106">
        <f>Dashboard!DC4</f>
        <v>6</v>
      </c>
      <c r="F42" s="159" t="s">
        <v>22</v>
      </c>
      <c r="G42" s="159"/>
      <c r="H42" s="160"/>
      <c r="K42" s="110">
        <f>Dashboard!CS4</f>
        <v>66</v>
      </c>
      <c r="L42" s="179" t="s">
        <v>27</v>
      </c>
      <c r="M42" s="179"/>
      <c r="N42" s="180"/>
      <c r="Q42" s="144" t="s">
        <v>27</v>
      </c>
      <c r="R42" s="146"/>
      <c r="S42" s="145"/>
      <c r="T42" s="45">
        <f>Dashboard!CX4</f>
        <v>49</v>
      </c>
      <c r="W42" s="144" t="s">
        <v>22</v>
      </c>
      <c r="X42" s="146"/>
      <c r="Y42" s="147"/>
      <c r="Z42" s="46">
        <f>Dashboard!DD4</f>
        <v>4</v>
      </c>
      <c r="AA42" s="242" t="s">
        <v>333</v>
      </c>
      <c r="AB42" s="241"/>
    </row>
    <row r="43" spans="2:29" ht="25" customHeight="1" thickBot="1">
      <c r="B43" s="63"/>
      <c r="C43" s="106">
        <f>SUM(Dashboard!DF4:DH4)</f>
        <v>18</v>
      </c>
      <c r="D43" s="68">
        <f>C43/E43</f>
        <v>0.8571428571428571</v>
      </c>
      <c r="E43" s="107">
        <f>Dashboard!DE4</f>
        <v>21</v>
      </c>
      <c r="F43" s="140" t="s">
        <v>112</v>
      </c>
      <c r="G43" s="140"/>
      <c r="H43" s="141"/>
      <c r="J43" s="109">
        <f>K43/$K$42</f>
        <v>0.33333333333333331</v>
      </c>
      <c r="K43" s="104">
        <f>Dashboard!CU4</f>
        <v>22</v>
      </c>
      <c r="L43" s="128" t="s">
        <v>217</v>
      </c>
      <c r="M43" s="128"/>
      <c r="N43" s="129"/>
      <c r="P43" s="47"/>
      <c r="Q43" s="144" t="s">
        <v>217</v>
      </c>
      <c r="R43" s="146"/>
      <c r="S43" s="145"/>
      <c r="T43" s="77">
        <f>Dashboard!DB4</f>
        <v>6</v>
      </c>
      <c r="U43" s="51">
        <f>T43/$T$42</f>
        <v>0.12244897959183673</v>
      </c>
      <c r="W43" s="144" t="s">
        <v>112</v>
      </c>
      <c r="X43" s="146"/>
      <c r="Y43" s="147"/>
      <c r="Z43" s="46">
        <f>Dashboard!DI4</f>
        <v>22</v>
      </c>
      <c r="AA43" s="75">
        <f>AB43/Z43</f>
        <v>0.59090909090909094</v>
      </c>
      <c r="AB43" s="46">
        <f>SUM(Dashboard!DJ4:DL4)</f>
        <v>13</v>
      </c>
      <c r="AC43" s="42"/>
    </row>
    <row r="44" spans="2:29" ht="25" customHeight="1" thickBot="1">
      <c r="D44" s="63"/>
      <c r="E44" s="108">
        <f>Dashboard!DM4</f>
        <v>9</v>
      </c>
      <c r="F44" s="159" t="s">
        <v>24</v>
      </c>
      <c r="G44" s="159"/>
      <c r="H44" s="160"/>
      <c r="J44" s="109">
        <f>K44/$K$42</f>
        <v>0.2878787878787879</v>
      </c>
      <c r="K44" s="104">
        <f>Dashboard!CV4</f>
        <v>19</v>
      </c>
      <c r="L44" s="128" t="s">
        <v>216</v>
      </c>
      <c r="M44" s="128"/>
      <c r="N44" s="129"/>
      <c r="Q44" s="144" t="s">
        <v>216</v>
      </c>
      <c r="R44" s="146"/>
      <c r="S44" s="145"/>
      <c r="T44" s="77">
        <f>Dashboard!DA4</f>
        <v>12</v>
      </c>
      <c r="U44" s="51">
        <f>T44/$T$42</f>
        <v>0.24489795918367346</v>
      </c>
      <c r="W44" s="144" t="s">
        <v>24</v>
      </c>
      <c r="X44" s="146"/>
      <c r="Y44" s="147"/>
      <c r="Z44" s="46">
        <f>Dashboard!DO4</f>
        <v>10</v>
      </c>
      <c r="AA44" s="44"/>
    </row>
    <row r="45" spans="2:29" ht="25" customHeight="1" thickBot="1">
      <c r="D45" s="63"/>
      <c r="E45" s="106">
        <f>Dashboard!DQ4</f>
        <v>2</v>
      </c>
      <c r="F45" s="162" t="s">
        <v>25</v>
      </c>
      <c r="G45" s="162"/>
      <c r="H45" s="163"/>
      <c r="J45" s="109">
        <f>K45/$K$42</f>
        <v>0.37878787878787878</v>
      </c>
      <c r="K45" s="104">
        <f>Dashboard!CW4</f>
        <v>25</v>
      </c>
      <c r="L45" s="128" t="s">
        <v>218</v>
      </c>
      <c r="M45" s="128"/>
      <c r="N45" s="129"/>
      <c r="P45" s="48"/>
      <c r="Q45" s="144" t="s">
        <v>218</v>
      </c>
      <c r="R45" s="146"/>
      <c r="S45" s="145"/>
      <c r="T45" s="77">
        <f>Dashboard!CZ4</f>
        <v>31</v>
      </c>
      <c r="U45" s="51">
        <f>T45/$T$42</f>
        <v>0.63265306122448983</v>
      </c>
      <c r="V45" s="42"/>
      <c r="W45" s="144" t="s">
        <v>25</v>
      </c>
      <c r="X45" s="146"/>
      <c r="Y45" s="147"/>
      <c r="Z45" s="46">
        <f>Dashboard!DR4</f>
        <v>16</v>
      </c>
    </row>
    <row r="46" spans="2:29" ht="25" customHeight="1" thickBot="1">
      <c r="E46" s="61"/>
      <c r="F46" s="61"/>
      <c r="G46" s="61"/>
      <c r="H46" s="61"/>
      <c r="K46" s="105">
        <f>Dashboard!CT4</f>
        <v>6</v>
      </c>
      <c r="L46" s="128" t="s">
        <v>215</v>
      </c>
      <c r="M46" s="128"/>
      <c r="N46" s="129"/>
      <c r="P46" s="29"/>
      <c r="Q46" s="144" t="s">
        <v>215</v>
      </c>
      <c r="R46" s="146"/>
      <c r="S46" s="145"/>
      <c r="T46" s="45">
        <f>Dashboard!CY4</f>
        <v>3</v>
      </c>
      <c r="U46" s="44"/>
      <c r="Z46" s="33"/>
    </row>
    <row r="47" spans="2:29" ht="25" customHeight="1" thickBot="1">
      <c r="D47" s="152" t="s">
        <v>345</v>
      </c>
      <c r="E47" s="153"/>
      <c r="F47" s="154"/>
      <c r="H47" s="152" t="s">
        <v>344</v>
      </c>
      <c r="I47" s="153"/>
      <c r="J47" s="154"/>
      <c r="K47" s="20"/>
      <c r="L47" s="152" t="s">
        <v>233</v>
      </c>
      <c r="M47" s="153"/>
      <c r="N47" s="154"/>
      <c r="Q47" s="125" t="s">
        <v>348</v>
      </c>
      <c r="R47" s="126"/>
      <c r="S47" s="127"/>
      <c r="U47" s="125" t="s">
        <v>48</v>
      </c>
      <c r="V47" s="126"/>
      <c r="W47" s="127"/>
      <c r="Y47" s="125" t="s">
        <v>145</v>
      </c>
      <c r="Z47" s="126"/>
      <c r="AA47" s="127"/>
    </row>
    <row r="48" spans="2:29" ht="25" customHeight="1" thickBot="1">
      <c r="D48" s="111">
        <f>Dashboard!EP4</f>
        <v>109</v>
      </c>
      <c r="E48" s="112">
        <f>Dashboard!EQ4</f>
        <v>104</v>
      </c>
      <c r="F48" s="103">
        <f>E48/D48</f>
        <v>0.95412844036697253</v>
      </c>
      <c r="H48" s="105">
        <f>Dashboard!EF4</f>
        <v>172</v>
      </c>
      <c r="I48" s="113">
        <f>Dashboard!EG4</f>
        <v>115</v>
      </c>
      <c r="J48" s="103">
        <f>I48/H48</f>
        <v>0.66860465116279066</v>
      </c>
      <c r="L48" s="105">
        <f>Dashboard!EA4</f>
        <v>412</v>
      </c>
      <c r="M48" s="113">
        <f>Dashboard!EB4</f>
        <v>339</v>
      </c>
      <c r="N48" s="103">
        <f>M48/L48</f>
        <v>0.82281553398058249</v>
      </c>
      <c r="Q48" s="52">
        <f>Dashboard!HA4</f>
        <v>23</v>
      </c>
      <c r="R48" s="78">
        <f>Dashboard!HB4</f>
        <v>11</v>
      </c>
      <c r="S48" s="79">
        <f>R48/Q48</f>
        <v>0.47826086956521741</v>
      </c>
      <c r="T48" s="39"/>
      <c r="U48" s="52">
        <f>Dashboard!HF4</f>
        <v>9</v>
      </c>
      <c r="V48" s="78">
        <f>Dashboard!HG4</f>
        <v>4</v>
      </c>
      <c r="W48" s="80">
        <f>V48/U48</f>
        <v>0.44444444444444442</v>
      </c>
      <c r="Y48" s="144" t="s">
        <v>49</v>
      </c>
      <c r="Z48" s="145"/>
      <c r="AA48" s="76">
        <f>Dashboard!IA4</f>
        <v>31</v>
      </c>
    </row>
    <row r="49" spans="3:32" ht="25" customHeight="1" thickBot="1">
      <c r="Y49" s="144" t="s">
        <v>350</v>
      </c>
      <c r="Z49" s="145"/>
      <c r="AA49" s="76">
        <f>Dashboard!HZ4</f>
        <v>8</v>
      </c>
    </row>
    <row r="50" spans="3:32" ht="25" customHeight="1" thickBot="1">
      <c r="C50" s="170" t="s">
        <v>246</v>
      </c>
      <c r="D50" s="171"/>
      <c r="E50" s="171"/>
      <c r="F50" s="172"/>
      <c r="H50" s="152" t="s">
        <v>346</v>
      </c>
      <c r="I50" s="153"/>
      <c r="J50" s="154"/>
      <c r="L50" s="152" t="s">
        <v>347</v>
      </c>
      <c r="M50" s="153"/>
      <c r="N50" s="154"/>
      <c r="Q50" s="125" t="s">
        <v>335</v>
      </c>
      <c r="R50" s="126"/>
      <c r="S50" s="127"/>
      <c r="U50" s="125" t="s">
        <v>571</v>
      </c>
      <c r="V50" s="126"/>
      <c r="W50" s="127"/>
      <c r="Y50" s="243" t="s">
        <v>50</v>
      </c>
      <c r="Z50" s="244"/>
      <c r="AA50" s="76">
        <f>Dashboard!IC4</f>
        <v>6</v>
      </c>
    </row>
    <row r="51" spans="3:32" ht="25" customHeight="1" thickBot="1">
      <c r="C51" s="261" t="s">
        <v>298</v>
      </c>
      <c r="D51" s="262"/>
      <c r="E51" s="67">
        <f>Dashboard!FO4</f>
        <v>31</v>
      </c>
      <c r="F51" s="64"/>
      <c r="H51" s="111">
        <f>Dashboard!EK4</f>
        <v>131</v>
      </c>
      <c r="I51" s="112">
        <f>Dashboard!EL4</f>
        <v>120</v>
      </c>
      <c r="J51" s="103">
        <f>I51/H51</f>
        <v>0.91603053435114501</v>
      </c>
      <c r="L51" s="111">
        <f>Dashboard!EU4</f>
        <v>36</v>
      </c>
      <c r="M51" s="112">
        <f>Dashboard!EV4</f>
        <v>21</v>
      </c>
      <c r="N51" s="103">
        <f>M51/L51</f>
        <v>0.58333333333333337</v>
      </c>
      <c r="Q51" s="82">
        <f>Dashboard!HP4</f>
        <v>9</v>
      </c>
      <c r="R51" s="81">
        <f>Dashboard!HQ4</f>
        <v>4</v>
      </c>
      <c r="S51" s="53">
        <f>R51/Q51</f>
        <v>0.44444444444444442</v>
      </c>
      <c r="U51" s="52">
        <f>Dashboard!HU4</f>
        <v>11</v>
      </c>
      <c r="V51" s="81">
        <f>Dashboard!HV4</f>
        <v>6</v>
      </c>
      <c r="W51" s="80">
        <f>V51/U51</f>
        <v>0.54545454545454541</v>
      </c>
      <c r="Y51" s="243" t="s">
        <v>611</v>
      </c>
      <c r="Z51" s="244"/>
      <c r="AA51" s="76">
        <f>Dashboard!IB4</f>
        <v>41</v>
      </c>
    </row>
    <row r="52" spans="3:32" ht="25" customHeight="1" thickBot="1">
      <c r="C52" s="261" t="s">
        <v>14</v>
      </c>
      <c r="D52" s="262"/>
      <c r="E52" s="114">
        <f>Dashboard!FP4</f>
        <v>16</v>
      </c>
      <c r="F52" s="68">
        <f>E52/E$51</f>
        <v>0.5161290322580645</v>
      </c>
      <c r="U52" s="6"/>
      <c r="Y52" s="243" t="s">
        <v>55</v>
      </c>
      <c r="Z52" s="244"/>
      <c r="AA52" s="76">
        <f>Dashboard!ID4</f>
        <v>0</v>
      </c>
    </row>
    <row r="53" spans="3:32" ht="25" customHeight="1" thickBot="1">
      <c r="C53" s="261" t="s">
        <v>195</v>
      </c>
      <c r="D53" s="262"/>
      <c r="E53" s="114">
        <f>Dashboard!FQ4</f>
        <v>7</v>
      </c>
      <c r="F53" s="68">
        <f t="shared" ref="F53:F54" si="1">E53/E$51</f>
        <v>0.22580645161290322</v>
      </c>
      <c r="H53" s="152" t="s">
        <v>336</v>
      </c>
      <c r="I53" s="153"/>
      <c r="J53" s="154"/>
      <c r="L53" s="152" t="s">
        <v>660</v>
      </c>
      <c r="M53" s="153"/>
      <c r="N53" s="154"/>
      <c r="Q53" s="152" t="s">
        <v>5</v>
      </c>
      <c r="R53" s="153"/>
      <c r="S53" s="154"/>
      <c r="U53" s="125" t="s">
        <v>349</v>
      </c>
      <c r="V53" s="126"/>
      <c r="W53" s="127"/>
      <c r="Y53" s="243" t="s">
        <v>223</v>
      </c>
      <c r="Z53" s="244"/>
      <c r="AA53" s="76">
        <f>Dashboard!IF4</f>
        <v>15</v>
      </c>
    </row>
    <row r="54" spans="3:32" ht="25" customHeight="1" thickBot="1">
      <c r="C54" s="263" t="s">
        <v>28</v>
      </c>
      <c r="D54" s="264"/>
      <c r="E54" s="114">
        <f>Dashboard!FR4</f>
        <v>8</v>
      </c>
      <c r="F54" s="68">
        <f t="shared" si="1"/>
        <v>0.25806451612903225</v>
      </c>
      <c r="H54" s="111">
        <f>Dashboard!GJ4</f>
        <v>20</v>
      </c>
      <c r="I54" s="112">
        <f>Dashboard!GK4</f>
        <v>17</v>
      </c>
      <c r="J54" s="103">
        <f>I54/H54</f>
        <v>0.85</v>
      </c>
      <c r="L54" s="164">
        <f>Dashboard!FE4</f>
        <v>13</v>
      </c>
      <c r="M54" s="165"/>
      <c r="N54" s="166"/>
      <c r="Q54" s="111">
        <f>Dashboard!FT4</f>
        <v>30</v>
      </c>
      <c r="R54" s="112">
        <f>Dashboard!FU4</f>
        <v>23</v>
      </c>
      <c r="S54" s="103">
        <f>R54/Q54</f>
        <v>0.76666666666666672</v>
      </c>
      <c r="U54" s="82">
        <f>Dashboard!HK4</f>
        <v>7</v>
      </c>
      <c r="V54" s="81">
        <f>Dashboard!HL4</f>
        <v>1</v>
      </c>
      <c r="W54" s="53">
        <f>V54/U54</f>
        <v>0.14285714285714285</v>
      </c>
      <c r="Y54" s="243" t="s">
        <v>222</v>
      </c>
      <c r="Z54" s="244"/>
      <c r="AA54" s="76">
        <f>Dashboard!IG4</f>
        <v>8</v>
      </c>
    </row>
    <row r="55" spans="3:32" ht="25" customHeight="1">
      <c r="S55" s="6"/>
      <c r="Z55" s="6"/>
      <c r="AA55" s="6"/>
      <c r="AB55" s="6"/>
      <c r="AC55" s="6"/>
    </row>
    <row r="56" spans="3:32" ht="25" customHeight="1">
      <c r="D56" s="31"/>
      <c r="E56" s="31"/>
      <c r="AC56" s="6"/>
      <c r="AD56" s="6"/>
      <c r="AE56" s="6"/>
      <c r="AF56" s="6"/>
    </row>
    <row r="57" spans="3:32" ht="25" customHeight="1">
      <c r="AC57" s="6"/>
      <c r="AD57" s="6"/>
      <c r="AE57" s="6"/>
      <c r="AF57" s="6"/>
    </row>
    <row r="58" spans="3:32" ht="25" customHeight="1">
      <c r="D58" s="140"/>
      <c r="E58" s="140"/>
      <c r="AC58" s="6"/>
      <c r="AD58" s="6"/>
      <c r="AE58" s="6"/>
      <c r="AF58" s="6"/>
    </row>
    <row r="59" spans="3:32" ht="25" customHeight="1">
      <c r="AC59" s="6"/>
      <c r="AD59" s="6"/>
      <c r="AE59" s="6"/>
      <c r="AF59" s="6"/>
    </row>
    <row r="60" spans="3:32" ht="25" customHeight="1">
      <c r="D60" s="161"/>
      <c r="E60" s="161"/>
    </row>
    <row r="61" spans="3:32" ht="25" customHeight="1">
      <c r="AC61" s="6"/>
      <c r="AD61" s="6"/>
      <c r="AE61" s="6"/>
      <c r="AF61" s="6"/>
    </row>
    <row r="62" spans="3:32" ht="25" customHeight="1">
      <c r="D62" s="158"/>
      <c r="E62" s="158"/>
      <c r="AC62" s="6"/>
      <c r="AD62" s="6"/>
      <c r="AE62" s="6"/>
      <c r="AF62" s="6"/>
    </row>
    <row r="63" spans="3:32" ht="25" customHeight="1">
      <c r="AC63" s="6"/>
      <c r="AD63" s="6"/>
      <c r="AE63" s="6"/>
      <c r="AF63" s="6"/>
    </row>
    <row r="64" spans="3:32" ht="25" customHeight="1">
      <c r="AC64" s="6"/>
      <c r="AD64" s="6"/>
      <c r="AE64" s="6"/>
      <c r="AF64" s="6"/>
    </row>
    <row r="65" ht="25" customHeight="1"/>
    <row r="66" ht="25" customHeight="1"/>
    <row r="67" ht="25" customHeight="1"/>
    <row r="68" ht="25" customHeight="1"/>
    <row r="69" ht="25" customHeight="1"/>
    <row r="70" ht="25" customHeight="1"/>
    <row r="71" ht="25" customHeight="1"/>
    <row r="72" ht="25" customHeight="1"/>
    <row r="73" ht="25" customHeight="1"/>
    <row r="74" ht="25" customHeight="1"/>
  </sheetData>
  <mergeCells count="184">
    <mergeCell ref="Y53:Z53"/>
    <mergeCell ref="Y54:Z54"/>
    <mergeCell ref="L50:N50"/>
    <mergeCell ref="C50:F50"/>
    <mergeCell ref="C51:D51"/>
    <mergeCell ref="C52:D52"/>
    <mergeCell ref="C53:D53"/>
    <mergeCell ref="C54:D54"/>
    <mergeCell ref="Q53:S53"/>
    <mergeCell ref="H53:J53"/>
    <mergeCell ref="U53:W53"/>
    <mergeCell ref="U50:W50"/>
    <mergeCell ref="L53:N53"/>
    <mergeCell ref="Y47:AA47"/>
    <mergeCell ref="Y48:Z48"/>
    <mergeCell ref="Y49:Z49"/>
    <mergeCell ref="Y50:Z50"/>
    <mergeCell ref="Y51:Z51"/>
    <mergeCell ref="Y52:Z52"/>
    <mergeCell ref="AA42:AB42"/>
    <mergeCell ref="W44:Y44"/>
    <mergeCell ref="F15:H16"/>
    <mergeCell ref="I15:J16"/>
    <mergeCell ref="T15:U16"/>
    <mergeCell ref="V15:X16"/>
    <mergeCell ref="Y16:AA16"/>
    <mergeCell ref="U26:W26"/>
    <mergeCell ref="G27:I27"/>
    <mergeCell ref="M28:N28"/>
    <mergeCell ref="P28:Q28"/>
    <mergeCell ref="U27:W27"/>
    <mergeCell ref="G23:I23"/>
    <mergeCell ref="U23:W23"/>
    <mergeCell ref="G24:I24"/>
    <mergeCell ref="M24:N25"/>
    <mergeCell ref="P24:Q25"/>
    <mergeCell ref="U24:W24"/>
    <mergeCell ref="X25:Z25"/>
    <mergeCell ref="D26:F26"/>
    <mergeCell ref="D32:G32"/>
    <mergeCell ref="D33:E33"/>
    <mergeCell ref="F13:G13"/>
    <mergeCell ref="V12:X12"/>
    <mergeCell ref="Y12:Z12"/>
    <mergeCell ref="V13:X13"/>
    <mergeCell ref="Y13:Z13"/>
    <mergeCell ref="V14:X14"/>
    <mergeCell ref="Y14:Z14"/>
    <mergeCell ref="F11:G12"/>
    <mergeCell ref="V11:X11"/>
    <mergeCell ref="Y11:Z11"/>
    <mergeCell ref="I9:L14"/>
    <mergeCell ref="R9:U14"/>
    <mergeCell ref="V9:X9"/>
    <mergeCell ref="Y9:Z9"/>
    <mergeCell ref="M11:N13"/>
    <mergeCell ref="P11:Q13"/>
    <mergeCell ref="V10:X10"/>
    <mergeCell ref="Y10:Z10"/>
    <mergeCell ref="Q32:V32"/>
    <mergeCell ref="X23:Z23"/>
    <mergeCell ref="D23:F23"/>
    <mergeCell ref="P29:Q29"/>
    <mergeCell ref="U28:W28"/>
    <mergeCell ref="G29:I29"/>
    <mergeCell ref="M26:N26"/>
    <mergeCell ref="P26:Q26"/>
    <mergeCell ref="U29:W29"/>
    <mergeCell ref="G26:I26"/>
    <mergeCell ref="G25:I25"/>
    <mergeCell ref="U25:W25"/>
    <mergeCell ref="D25:F25"/>
    <mergeCell ref="D24:F24"/>
    <mergeCell ref="D29:F29"/>
    <mergeCell ref="C20:E20"/>
    <mergeCell ref="Y20:AA20"/>
    <mergeCell ref="C21:E21"/>
    <mergeCell ref="F21:H22"/>
    <mergeCell ref="I21:J22"/>
    <mergeCell ref="T21:U22"/>
    <mergeCell ref="V21:X22"/>
    <mergeCell ref="Y21:AA21"/>
    <mergeCell ref="C22:E22"/>
    <mergeCell ref="Y22:AA22"/>
    <mergeCell ref="C17:E17"/>
    <mergeCell ref="Y17:AA17"/>
    <mergeCell ref="C18:E18"/>
    <mergeCell ref="F18:H19"/>
    <mergeCell ref="I18:J19"/>
    <mergeCell ref="T18:U19"/>
    <mergeCell ref="V18:X19"/>
    <mergeCell ref="Y18:AA18"/>
    <mergeCell ref="C19:E19"/>
    <mergeCell ref="Y19:AA19"/>
    <mergeCell ref="X24:Z24"/>
    <mergeCell ref="G28:I28"/>
    <mergeCell ref="M29:N29"/>
    <mergeCell ref="X26:Z26"/>
    <mergeCell ref="W45:Y45"/>
    <mergeCell ref="W41:Z41"/>
    <mergeCell ref="T35:U35"/>
    <mergeCell ref="D35:E35"/>
    <mergeCell ref="D27:F27"/>
    <mergeCell ref="X27:Z27"/>
    <mergeCell ref="D28:F28"/>
    <mergeCell ref="M35:N35"/>
    <mergeCell ref="Q35:R35"/>
    <mergeCell ref="X28:Z28"/>
    <mergeCell ref="X32:AA32"/>
    <mergeCell ref="P30:Q30"/>
    <mergeCell ref="M30:N30"/>
    <mergeCell ref="U30:W30"/>
    <mergeCell ref="M27:N27"/>
    <mergeCell ref="P27:Q27"/>
    <mergeCell ref="F34:G34"/>
    <mergeCell ref="X34:Y34"/>
    <mergeCell ref="J34:K34"/>
    <mergeCell ref="T34:U34"/>
    <mergeCell ref="X29:Z29"/>
    <mergeCell ref="F33:G33"/>
    <mergeCell ref="X33:Y33"/>
    <mergeCell ref="E41:H41"/>
    <mergeCell ref="Q40:R40"/>
    <mergeCell ref="Q41:U41"/>
    <mergeCell ref="C42:D42"/>
    <mergeCell ref="M40:N40"/>
    <mergeCell ref="T33:U33"/>
    <mergeCell ref="M34:N34"/>
    <mergeCell ref="Q34:R34"/>
    <mergeCell ref="X40:Y40"/>
    <mergeCell ref="L42:N42"/>
    <mergeCell ref="M39:N39"/>
    <mergeCell ref="X39:Y39"/>
    <mergeCell ref="J41:N41"/>
    <mergeCell ref="D34:E34"/>
    <mergeCell ref="Q33:R33"/>
    <mergeCell ref="U31:W31"/>
    <mergeCell ref="M33:N33"/>
    <mergeCell ref="L47:N47"/>
    <mergeCell ref="H47:J47"/>
    <mergeCell ref="D62:E62"/>
    <mergeCell ref="F42:H42"/>
    <mergeCell ref="Q42:S42"/>
    <mergeCell ref="Q43:S43"/>
    <mergeCell ref="Q44:S44"/>
    <mergeCell ref="D60:E60"/>
    <mergeCell ref="L45:N45"/>
    <mergeCell ref="Q45:S45"/>
    <mergeCell ref="Q46:S46"/>
    <mergeCell ref="D58:E58"/>
    <mergeCell ref="D47:F47"/>
    <mergeCell ref="H50:J50"/>
    <mergeCell ref="Q50:S50"/>
    <mergeCell ref="Q47:S47"/>
    <mergeCell ref="F44:H44"/>
    <mergeCell ref="F45:H45"/>
    <mergeCell ref="L46:N46"/>
    <mergeCell ref="L44:N44"/>
    <mergeCell ref="L43:N43"/>
    <mergeCell ref="L54:N54"/>
    <mergeCell ref="U47:W47"/>
    <mergeCell ref="F38:G38"/>
    <mergeCell ref="F39:G39"/>
    <mergeCell ref="G30:I30"/>
    <mergeCell ref="G31:I31"/>
    <mergeCell ref="J23:N23"/>
    <mergeCell ref="C16:E16"/>
    <mergeCell ref="P23:T23"/>
    <mergeCell ref="F43:H43"/>
    <mergeCell ref="Q39:R39"/>
    <mergeCell ref="Q38:R38"/>
    <mergeCell ref="W42:Y42"/>
    <mergeCell ref="W43:Y43"/>
    <mergeCell ref="M38:N38"/>
    <mergeCell ref="X38:Y38"/>
    <mergeCell ref="X37:AA37"/>
    <mergeCell ref="F35:G35"/>
    <mergeCell ref="X35:Y35"/>
    <mergeCell ref="J35:K35"/>
    <mergeCell ref="L37:N37"/>
    <mergeCell ref="Q37:S37"/>
    <mergeCell ref="E37:G37"/>
    <mergeCell ref="J33:K33"/>
    <mergeCell ref="I32:N3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BA5F3-B2DD-7244-B5E4-C1EEE87CF5D3}">
  <dimension ref="C1:AC59"/>
  <sheetViews>
    <sheetView topLeftCell="D5" zoomScale="125" workbookViewId="0">
      <selection activeCell="W11" sqref="W11"/>
    </sheetView>
  </sheetViews>
  <sheetFormatPr baseColWidth="10" defaultRowHeight="16"/>
  <cols>
    <col min="1" max="2" width="10.83203125" customWidth="1"/>
    <col min="3" max="3" width="16" customWidth="1"/>
    <col min="4" max="4" width="10.83203125" customWidth="1"/>
    <col min="5" max="5" width="6.5" customWidth="1"/>
    <col min="6" max="6" width="17" customWidth="1"/>
    <col min="7" max="7" width="7.83203125" customWidth="1"/>
    <col min="8" max="11" width="5.83203125" customWidth="1"/>
    <col min="12" max="12" width="19.5" customWidth="1"/>
    <col min="13" max="13" width="7.83203125" customWidth="1"/>
    <col min="14" max="16" width="5.83203125" customWidth="1"/>
    <col min="17" max="17" width="6.33203125" customWidth="1"/>
    <col min="18" max="18" width="17.33203125" customWidth="1"/>
    <col min="19" max="19" width="7.83203125" customWidth="1"/>
    <col min="20" max="20" width="6.83203125" customWidth="1"/>
    <col min="21" max="21" width="9.6640625" customWidth="1"/>
    <col min="22" max="22" width="8.6640625" customWidth="1"/>
    <col min="23" max="23" width="5.83203125" customWidth="1"/>
    <col min="24" max="24" width="8.5" customWidth="1"/>
    <col min="25" max="25" width="10.83203125" customWidth="1"/>
  </cols>
  <sheetData>
    <row r="1" spans="3:29" ht="25" customHeight="1"/>
    <row r="2" spans="3:29" ht="25" customHeight="1"/>
    <row r="3" spans="3:29" ht="25" customHeight="1">
      <c r="G3" s="41"/>
      <c r="H3" s="41"/>
      <c r="I3" s="41"/>
      <c r="J3" s="41"/>
      <c r="K3" s="19"/>
      <c r="L3" s="40"/>
    </row>
    <row r="4" spans="3:29" ht="25" customHeight="1">
      <c r="G4" s="41"/>
      <c r="H4" s="41"/>
      <c r="I4" s="41"/>
      <c r="J4" s="41"/>
      <c r="K4" s="19"/>
      <c r="L4" s="40"/>
    </row>
    <row r="5" spans="3:29" ht="25" customHeight="1">
      <c r="G5" s="41"/>
      <c r="H5" s="41"/>
      <c r="I5" s="41"/>
      <c r="J5" s="41"/>
      <c r="K5" s="19"/>
      <c r="L5" s="40"/>
    </row>
    <row r="6" spans="3:29" ht="25" customHeight="1"/>
    <row r="7" spans="3:29" ht="25" customHeight="1">
      <c r="C7" s="20"/>
      <c r="D7" s="20"/>
      <c r="E7" s="6"/>
      <c r="F7" s="119" t="s">
        <v>425</v>
      </c>
      <c r="G7" s="119"/>
      <c r="H7" s="119"/>
      <c r="I7" s="119"/>
      <c r="J7" s="119"/>
      <c r="K7" s="21"/>
      <c r="L7" s="119" t="s">
        <v>424</v>
      </c>
      <c r="M7" s="119"/>
      <c r="N7" s="119"/>
      <c r="O7" s="119"/>
      <c r="P7" s="119"/>
      <c r="Q7" s="20"/>
      <c r="R7" s="119" t="s">
        <v>596</v>
      </c>
      <c r="S7" s="119"/>
      <c r="U7" s="119" t="s">
        <v>673</v>
      </c>
      <c r="V7" s="119"/>
      <c r="W7" s="119"/>
      <c r="Z7" s="20"/>
    </row>
    <row r="8" spans="3:29" ht="25" customHeight="1">
      <c r="G8" s="12"/>
    </row>
    <row r="9" spans="3:29" ht="25" customHeight="1">
      <c r="C9" s="6"/>
      <c r="D9" s="5"/>
      <c r="F9" s="117" t="s">
        <v>421</v>
      </c>
      <c r="G9" s="10" t="s">
        <v>134</v>
      </c>
      <c r="H9" s="15" t="s">
        <v>20</v>
      </c>
      <c r="I9" s="14" t="s">
        <v>23</v>
      </c>
      <c r="J9" s="16" t="s">
        <v>144</v>
      </c>
      <c r="K9" s="22"/>
      <c r="L9" s="117" t="s">
        <v>420</v>
      </c>
      <c r="M9" s="10" t="s">
        <v>134</v>
      </c>
      <c r="N9" s="15" t="s">
        <v>20</v>
      </c>
      <c r="O9" s="14" t="s">
        <v>23</v>
      </c>
      <c r="P9" s="16" t="s">
        <v>144</v>
      </c>
      <c r="Q9" s="24"/>
      <c r="R9" s="117" t="s">
        <v>578</v>
      </c>
      <c r="S9" s="10" t="s">
        <v>134</v>
      </c>
      <c r="T9" s="22"/>
      <c r="U9" s="124" t="s">
        <v>52</v>
      </c>
      <c r="V9" s="124"/>
      <c r="W9" s="5">
        <f>GETPIVOTDATA("Sum of Goal",'Dashboard (IND)'!AV6)</f>
        <v>6</v>
      </c>
      <c r="Z9" s="5"/>
    </row>
    <row r="10" spans="3:29" ht="25" customHeight="1">
      <c r="C10" s="6"/>
      <c r="D10" s="5"/>
      <c r="F10" s="18" t="s">
        <v>343</v>
      </c>
      <c r="G10" s="5">
        <f>GETPIVOTDATA("Sum of Total Passes",'Dashboard (IND)'!$BW$6)</f>
        <v>412</v>
      </c>
      <c r="H10" s="5">
        <f>GETPIVOTDATA("Sum of Completed Passes",'Dashboard (IND)'!$BV$6)</f>
        <v>339</v>
      </c>
      <c r="I10" s="5">
        <f>GETPIVOTDATA("Sum of Uncompleted Passes",'Dashboard (IND)'!$BU$6)</f>
        <v>73</v>
      </c>
      <c r="J10" s="13">
        <f>IFERROR(H10/G10,"-")</f>
        <v>0.82281553398058249</v>
      </c>
      <c r="K10" s="23"/>
      <c r="L10" s="18" t="s">
        <v>348</v>
      </c>
      <c r="M10" s="5">
        <f>GETPIVOTDATA("Sum of Total Defensive Duel",'Dashboard (IND)'!D6)</f>
        <v>23</v>
      </c>
      <c r="N10" s="5">
        <f>GETPIVOTDATA("Sum of Successful Defensive Duel",'Dashboard (IND)'!C6)</f>
        <v>11</v>
      </c>
      <c r="O10" s="5">
        <f>GETPIVOTDATA("Sum of Unsuccesful Defensive Duel",'Dashboard (IND)'!B6)</f>
        <v>12</v>
      </c>
      <c r="P10" s="13">
        <f>IFERROR(N10/M10,"-")</f>
        <v>0.47826086956521741</v>
      </c>
      <c r="Q10" s="18"/>
      <c r="R10" s="18" t="s">
        <v>461</v>
      </c>
      <c r="S10" s="5">
        <f>GETPIVOTDATA("Sum of Total Runs in Behind",'Dashboard (IND)'!L6)</f>
        <v>15</v>
      </c>
      <c r="U10" s="124" t="s">
        <v>54</v>
      </c>
      <c r="V10" s="124"/>
      <c r="W10" s="5">
        <f>GETPIVOTDATA("Sum of Assist",'Dashboard (IND)'!AU6)</f>
        <v>5</v>
      </c>
      <c r="Z10" s="5"/>
    </row>
    <row r="11" spans="3:29" ht="25" customHeight="1">
      <c r="C11" s="6"/>
      <c r="D11" s="5"/>
      <c r="F11" s="18" t="s">
        <v>344</v>
      </c>
      <c r="G11" s="5">
        <f>GETPIVOTDATA("Sum of Total Forward Passes",'Dashboard (IND)'!$BT$6)</f>
        <v>172</v>
      </c>
      <c r="H11" s="5">
        <f>GETPIVOTDATA("Sum of Completed Forward Passes",'Dashboard (IND)'!$BS$6)</f>
        <v>115</v>
      </c>
      <c r="I11" s="5">
        <f>GETPIVOTDATA("Sum of Uncompleted Forward Passes",'Dashboard (IND)'!$BR$6)</f>
        <v>57</v>
      </c>
      <c r="J11" s="13">
        <f t="shared" ref="J11:J18" si="0">IFERROR(H11/G11,"-")</f>
        <v>0.66860465116279066</v>
      </c>
      <c r="K11" s="23"/>
      <c r="L11" s="18" t="s">
        <v>48</v>
      </c>
      <c r="M11" s="5">
        <f>GETPIVOTDATA("Sum of Total Aerial Duel",'Dashboard (IND)'!AQ6)</f>
        <v>9</v>
      </c>
      <c r="N11" s="5">
        <f>GETPIVOTDATA("Sum of Succesful Aerial Duel",'Dashboard (IND)'!AP6)</f>
        <v>4</v>
      </c>
      <c r="O11" s="5">
        <f>GETPIVOTDATA("Sum of Unsuccessful Aerial Duel",'Dashboard (IND)'!AO6)</f>
        <v>5</v>
      </c>
      <c r="P11" s="13">
        <f t="shared" ref="P11:P14" si="1">IFERROR(N11/M11,"-")</f>
        <v>0.44444444444444442</v>
      </c>
      <c r="Q11" s="18"/>
      <c r="R11" s="18" t="s">
        <v>445</v>
      </c>
      <c r="S11" s="5">
        <f>GETPIVOTDATA("Sum of Total Into Pocket",'Dashboard (IND)'!H6)</f>
        <v>30</v>
      </c>
      <c r="U11" s="124" t="s">
        <v>119</v>
      </c>
      <c r="V11" s="124"/>
      <c r="W11" s="5">
        <f>GETPIVOTDATA("Sum of Total Shots",'Dashboard (IND)'!AZ6)</f>
        <v>22</v>
      </c>
      <c r="Z11" s="5"/>
    </row>
    <row r="12" spans="3:29" ht="25" customHeight="1">
      <c r="C12" s="6"/>
      <c r="D12" s="23"/>
      <c r="F12" s="18" t="s">
        <v>346</v>
      </c>
      <c r="G12" s="5">
        <f>GETPIVOTDATA("Sum of Total Lateral Passes",'Dashboard (IND)'!$BQ$6)</f>
        <v>131</v>
      </c>
      <c r="H12" s="5">
        <f>GETPIVOTDATA("Sum of Completed Lateral Passes",'Dashboard (IND)'!$BP$6)</f>
        <v>120</v>
      </c>
      <c r="I12" s="5">
        <f>GETPIVOTDATA("Sum of Uncompleted Lateral Passes",'Dashboard (IND)'!$BO$6)</f>
        <v>11</v>
      </c>
      <c r="J12" s="13">
        <f t="shared" si="0"/>
        <v>0.91603053435114501</v>
      </c>
      <c r="K12" s="23"/>
      <c r="L12" s="18" t="s">
        <v>349</v>
      </c>
      <c r="M12" s="5">
        <f>GETPIVOTDATA("Sum of Total 1v1 Defence",'Dashboard (IND)'!AN6)</f>
        <v>7</v>
      </c>
      <c r="N12" s="5">
        <f>GETPIVOTDATA("Sum of Successful 1v1 Defence",'Dashboard (IND)'!AM6)</f>
        <v>1</v>
      </c>
      <c r="O12" s="5">
        <f>GETPIVOTDATA("Sum of Unsuccessful 1v1 Defence",'Dashboard (IND)'!AL6)</f>
        <v>6</v>
      </c>
      <c r="P12" s="13">
        <f t="shared" si="1"/>
        <v>0.14285714285714285</v>
      </c>
      <c r="R12" s="18" t="s">
        <v>552</v>
      </c>
      <c r="S12" s="5">
        <f>GETPIVOTDATA("Sum of Total Wide Area",'Dashboard (IND)'!I6)</f>
        <v>48</v>
      </c>
      <c r="U12" s="124" t="s">
        <v>51</v>
      </c>
      <c r="V12" s="124"/>
      <c r="W12" s="5">
        <f>GETPIVOTDATA("Sum of On Target",'Dashboard (IND)'!AX6)</f>
        <v>12</v>
      </c>
      <c r="Z12" s="5"/>
    </row>
    <row r="13" spans="3:29" ht="25" customHeight="1">
      <c r="C13" s="6"/>
      <c r="D13" s="6"/>
      <c r="F13" s="18" t="s">
        <v>345</v>
      </c>
      <c r="G13" s="5">
        <f>GETPIVOTDATA("Sum of Total Backward Passes",'Dashboard (IND)'!$BN$6)</f>
        <v>109</v>
      </c>
      <c r="H13" s="5">
        <f>GETPIVOTDATA("Sum of Completed Backward Passes",'Dashboard (IND)'!$BM$6)</f>
        <v>104</v>
      </c>
      <c r="I13" s="5">
        <f>GETPIVOTDATA("Sum of Uncompleted Backward Passes",'Dashboard (IND)'!$BL$6)</f>
        <v>5</v>
      </c>
      <c r="J13" s="13">
        <f t="shared" si="0"/>
        <v>0.95412844036697253</v>
      </c>
      <c r="K13" s="23"/>
      <c r="L13" s="18" t="s">
        <v>335</v>
      </c>
      <c r="M13" s="5">
        <f>GETPIVOTDATA("Sum of Total Tackles",'Dashboard (IND)'!AK6)</f>
        <v>9</v>
      </c>
      <c r="N13" s="5">
        <f>GETPIVOTDATA("Sum of Successful Tackles",'Dashboard (IND)'!AJ6)</f>
        <v>4</v>
      </c>
      <c r="O13" s="5">
        <f>GETPIVOTDATA("Sum of Unsuccessful Tackles",'Dashboard (IND)'!AI6)</f>
        <v>5</v>
      </c>
      <c r="P13" s="13">
        <f t="shared" si="1"/>
        <v>0.44444444444444442</v>
      </c>
      <c r="Q13" s="24"/>
      <c r="R13" s="18" t="s">
        <v>579</v>
      </c>
      <c r="S13" s="5">
        <f>GETPIVOTDATA("Sum of Total Back to Goal",'Dashboard (IND)'!J6)</f>
        <v>2</v>
      </c>
      <c r="U13" s="124" t="s">
        <v>39</v>
      </c>
      <c r="V13" s="124"/>
      <c r="W13" s="5">
        <f>GETPIVOTDATA("Sum of Off Target",'Dashboard (IND)'!AY6)</f>
        <v>6</v>
      </c>
    </row>
    <row r="14" spans="3:29" ht="25" customHeight="1">
      <c r="D14" s="6"/>
      <c r="F14" s="18" t="s">
        <v>347</v>
      </c>
      <c r="G14" s="5">
        <f>GETPIVOTDATA("Sum of Total Long Passes",'Dashboard (IND)'!$BK$6)</f>
        <v>36</v>
      </c>
      <c r="H14" s="5">
        <f>GETPIVOTDATA("Sum of Completed Long Passes",'Dashboard (IND)'!$BJ$6)</f>
        <v>21</v>
      </c>
      <c r="I14" s="5">
        <f>GETPIVOTDATA("Sum of Completed Long Passes",'Dashboard (IND)'!$BI$6)</f>
        <v>21</v>
      </c>
      <c r="J14" s="13">
        <f t="shared" si="0"/>
        <v>0.58333333333333337</v>
      </c>
      <c r="K14" s="23"/>
      <c r="L14" s="18" t="s">
        <v>139</v>
      </c>
      <c r="M14" s="5">
        <f>GETPIVOTDATA("Sum of Total 2nd Ball",'Dashboard (IND)'!AH6)</f>
        <v>11</v>
      </c>
      <c r="N14" s="5">
        <f>GETPIVOTDATA("Sum of Successful 2nd Ball",'Dashboard (IND)'!AG6)</f>
        <v>6</v>
      </c>
      <c r="O14" s="5">
        <f>GETPIVOTDATA("Sum of Unsuccessful 2nd Ball",'Dashboard (IND)'!AF6)</f>
        <v>5</v>
      </c>
      <c r="P14" s="13">
        <f t="shared" si="1"/>
        <v>0.54545454545454541</v>
      </c>
      <c r="Q14" s="6"/>
      <c r="R14" s="18" t="s">
        <v>580</v>
      </c>
      <c r="S14" s="5">
        <f>GETPIVOTDATA("Sum of Total Over/Underlaps",'Dashboard (IND)'!K6)</f>
        <v>1</v>
      </c>
      <c r="U14" s="124" t="s">
        <v>37</v>
      </c>
      <c r="V14" s="124"/>
      <c r="W14" s="5">
        <f>GETPIVOTDATA("Sum of Blocked",'Dashboard (IND)'!AW6)</f>
        <v>4</v>
      </c>
      <c r="Z14" s="5"/>
      <c r="AB14" s="9"/>
      <c r="AC14" s="9"/>
    </row>
    <row r="15" spans="3:29" ht="25" customHeight="1">
      <c r="D15" s="6"/>
      <c r="F15" s="18" t="s">
        <v>417</v>
      </c>
      <c r="G15" s="5">
        <f>GETPIVOTDATA("Sum of Total Balls in Behind",'Dashboard (IND)'!$BH$6)</f>
        <v>30</v>
      </c>
      <c r="H15" s="5">
        <f>GETPIVOTDATA("Sum of Completed Balls in Behind",'Dashboard (IND)'!$BG$6)</f>
        <v>19</v>
      </c>
      <c r="I15" s="5">
        <f>GETPIVOTDATA("Sum of Uncompleted Balls in Behind",'Dashboard (IND)'!$BF$6)</f>
        <v>14</v>
      </c>
      <c r="J15" s="13">
        <f t="shared" si="0"/>
        <v>0.6333333333333333</v>
      </c>
      <c r="K15" s="9"/>
      <c r="L15" s="18" t="s">
        <v>49</v>
      </c>
      <c r="M15" s="5">
        <f>GETPIVOTDATA("Sum of Interception",'Dashboard (IND)'!AD6)</f>
        <v>31</v>
      </c>
      <c r="N15" s="5"/>
      <c r="O15" s="5"/>
      <c r="P15" s="23"/>
      <c r="Q15" s="6"/>
      <c r="R15" s="18" t="s">
        <v>668</v>
      </c>
      <c r="S15" s="5">
        <f>GETPIVOTDATA("Sum of Total Half-space Runs",'Dashboard (IND)'!C6)</f>
        <v>1</v>
      </c>
      <c r="U15" s="6"/>
      <c r="V15" s="6"/>
      <c r="W15" s="5"/>
      <c r="Z15" s="5"/>
      <c r="AA15" s="9"/>
    </row>
    <row r="16" spans="3:29" ht="25" customHeight="1">
      <c r="D16" s="6"/>
      <c r="F16" s="18" t="s">
        <v>53</v>
      </c>
      <c r="G16" s="5">
        <f>GETPIVOTDATA("Sum of Total Cross",'Dashboard (IND)'!$AR$6)</f>
        <v>15</v>
      </c>
      <c r="H16" s="5">
        <f>GETPIVOTDATA("Sum of Completed Cross",'Dashboard (IND)'!$AQ$6)</f>
        <v>8</v>
      </c>
      <c r="I16" s="5">
        <f>GETPIVOTDATA("Sum of Uncompleted Cross",'Dashboard (IND)'!$AP$6)</f>
        <v>7</v>
      </c>
      <c r="J16" s="13">
        <f t="shared" si="0"/>
        <v>0.53333333333333333</v>
      </c>
      <c r="K16" s="22"/>
      <c r="L16" s="18" t="s">
        <v>47</v>
      </c>
      <c r="M16" s="5">
        <f>GETPIVOTDATA("Sum of Clearance",'Dashboard (IND)'!AE6)</f>
        <v>8</v>
      </c>
      <c r="N16" s="5"/>
      <c r="O16" s="5"/>
      <c r="P16" s="23"/>
      <c r="R16" s="18"/>
      <c r="S16" s="5"/>
      <c r="U16" s="119" t="s">
        <v>423</v>
      </c>
      <c r="V16" s="119"/>
      <c r="W16" s="119"/>
      <c r="Z16" s="5"/>
    </row>
    <row r="17" spans="4:29" ht="25" customHeight="1">
      <c r="D17" s="6"/>
      <c r="F17" s="18" t="s">
        <v>5</v>
      </c>
      <c r="G17" s="5">
        <f>GETPIVOTDATA("Sum of Total 1v1",'Dashboard (IND)'!$AS$6)</f>
        <v>30</v>
      </c>
      <c r="H17" s="5">
        <f>GETPIVOTDATA("Sum of Successful 1v1",'Dashboard (IND)'!AT6)</f>
        <v>23</v>
      </c>
      <c r="I17" s="5">
        <f>GETPIVOTDATA("Sum of Unsuccessful 1v1",'Dashboard (IND)'!AS6)</f>
        <v>7</v>
      </c>
      <c r="J17" s="13">
        <f t="shared" si="0"/>
        <v>0.76666666666666672</v>
      </c>
      <c r="K17" s="23"/>
      <c r="L17" s="18" t="s">
        <v>50</v>
      </c>
      <c r="M17" s="5">
        <f>GETPIVOTDATA("Sum of Recovery",'Dashboard (IND)'!AC6)</f>
        <v>6</v>
      </c>
      <c r="N17" s="9"/>
      <c r="O17" s="122" t="s">
        <v>594</v>
      </c>
      <c r="P17" s="122"/>
      <c r="Q17" s="122"/>
      <c r="R17" s="119" t="s">
        <v>581</v>
      </c>
      <c r="S17" s="119"/>
      <c r="T17" s="13"/>
      <c r="U17" s="120" t="s">
        <v>179</v>
      </c>
      <c r="V17" s="120"/>
      <c r="W17" s="5">
        <f>GETPIVOTDATA("Sum of Goal Conceded",'Dashboard (IND)'!R6)</f>
        <v>1</v>
      </c>
      <c r="Z17" s="5"/>
    </row>
    <row r="18" spans="4:29" ht="25" customHeight="1">
      <c r="D18" s="6"/>
      <c r="F18" s="18" t="s">
        <v>419</v>
      </c>
      <c r="G18" s="5">
        <f>GETPIVOTDATA("Sum of Total Offensive Duel",'Dashboard (IND)'!$AI$6)</f>
        <v>20</v>
      </c>
      <c r="H18" s="5">
        <f>GETPIVOTDATA("Sum of Successful Offensive Duel",'Dashboard (IND)'!$AH$6)</f>
        <v>17</v>
      </c>
      <c r="I18" s="5">
        <f>GETPIVOTDATA("Sum of Unsuccessful Offensive Duel",'Dashboard (IND)'!$AG$6)</f>
        <v>3</v>
      </c>
      <c r="J18" s="13">
        <f t="shared" si="0"/>
        <v>0.85</v>
      </c>
      <c r="K18" s="23"/>
      <c r="L18" s="18" t="s">
        <v>611</v>
      </c>
      <c r="M18" s="5">
        <f>GETPIVOTDATA("Sum of Turnover Won",'Dashboard (IND)'!B6)</f>
        <v>41</v>
      </c>
      <c r="N18" s="5"/>
      <c r="O18" s="123">
        <f>GETPIVOTDATA("Sum of Duration (mins)",'Dashboard (IND)'!$P$6)</f>
        <v>860</v>
      </c>
      <c r="P18" s="123"/>
      <c r="Q18" s="123"/>
      <c r="R18" s="18" t="s">
        <v>576</v>
      </c>
      <c r="S18" s="5">
        <f>GETPIVOTDATA("Sum of Total Pass Received",'Dashboard (IND)'!M6)</f>
        <v>322</v>
      </c>
      <c r="T18" s="13"/>
      <c r="U18" s="120" t="s">
        <v>38</v>
      </c>
      <c r="V18" s="120"/>
      <c r="W18" s="5">
        <f>GETPIVOTDATA("Sum of GK On target",'Dashboard (IND)'!W6)</f>
        <v>3</v>
      </c>
    </row>
    <row r="19" spans="4:29" ht="25" customHeight="1">
      <c r="D19" s="6"/>
      <c r="F19" s="18" t="s">
        <v>667</v>
      </c>
      <c r="G19" s="5">
        <f>GETPIVOTDATA("Sum of Total Through Passes",'Dashboard (IND)'!BN6)</f>
        <v>13</v>
      </c>
      <c r="H19" s="5"/>
      <c r="I19" s="5"/>
      <c r="J19" s="23"/>
      <c r="K19" s="23"/>
      <c r="L19" s="18" t="s">
        <v>55</v>
      </c>
      <c r="M19" s="5">
        <f>GETPIVOTDATA("Sum of Blocked Shots",'Dashboard (IND)'!AB6)</f>
        <v>0</v>
      </c>
      <c r="N19" s="5"/>
      <c r="O19" s="5"/>
      <c r="P19" s="118"/>
      <c r="Q19" s="26"/>
      <c r="R19" s="18" t="s">
        <v>422</v>
      </c>
      <c r="S19" s="5">
        <f>GETPIVOTDATA("Sum of Ball Lost",'Dashboard (IND)'!BK6)</f>
        <v>31</v>
      </c>
      <c r="T19" s="84"/>
      <c r="U19" s="121" t="s">
        <v>39</v>
      </c>
      <c r="V19" s="121"/>
      <c r="W19" s="5">
        <f>GETPIVOTDATA("Sum of GK Off Target",'Dashboard (IND)'!V6)</f>
        <v>1</v>
      </c>
      <c r="Z19" s="25"/>
      <c r="AA19" s="9"/>
      <c r="AB19" s="22"/>
      <c r="AC19" s="22"/>
    </row>
    <row r="20" spans="4:29" ht="25" customHeight="1">
      <c r="F20" s="18" t="s">
        <v>450</v>
      </c>
      <c r="G20" s="5">
        <f>GETPIVOTDATA("Sum of Total Acceleration",'Dashboard (IND)'!G6)</f>
        <v>15</v>
      </c>
      <c r="H20" s="5"/>
      <c r="I20" s="5"/>
      <c r="J20" s="23"/>
      <c r="K20" s="23"/>
      <c r="L20" s="18" t="s">
        <v>223</v>
      </c>
      <c r="M20" s="5">
        <f>GETPIVOTDATA("Sum of Fouls",'Dashboard (IND)'!Y6)</f>
        <v>15</v>
      </c>
      <c r="N20" s="5"/>
      <c r="R20" s="18" t="s">
        <v>14</v>
      </c>
      <c r="S20" s="5">
        <f>GETPIVOTDATA("Sum of Ball Lost in Final 1/3",'Dashboard (IND)'!BJ6)</f>
        <v>16</v>
      </c>
      <c r="T20" s="84"/>
      <c r="U20" s="121" t="s">
        <v>281</v>
      </c>
      <c r="V20" s="121"/>
      <c r="W20" s="5">
        <f>GETPIVOTDATA("Sum of Save",'Dashboard (IND)'!Q6)</f>
        <v>0</v>
      </c>
      <c r="Y20" s="26"/>
      <c r="Z20" s="5"/>
      <c r="AA20" s="5"/>
      <c r="AB20" s="5"/>
      <c r="AC20" s="23"/>
    </row>
    <row r="21" spans="4:29" ht="25" customHeight="1">
      <c r="F21" s="18" t="s">
        <v>426</v>
      </c>
      <c r="G21" s="5">
        <f>GETPIVOTDATA("Sum of Touches in the Box",'Dashboard (IND)'!AV6)</f>
        <v>19</v>
      </c>
      <c r="K21" s="23"/>
      <c r="L21" s="18" t="s">
        <v>222</v>
      </c>
      <c r="M21" s="5">
        <f>GETPIVOTDATA("Sum of Won Fouls",'Dashboard (IND)'!Z6)</f>
        <v>8</v>
      </c>
      <c r="N21" s="5"/>
      <c r="R21" s="18" t="s">
        <v>195</v>
      </c>
      <c r="S21" s="5">
        <f>GETPIVOTDATA("Sum of Ball Lost in Middle 1/3",'Dashboard (IND)'!BI6)</f>
        <v>7</v>
      </c>
      <c r="T21" s="84"/>
      <c r="U21" s="121" t="s">
        <v>418</v>
      </c>
      <c r="V21" s="121"/>
      <c r="W21" s="5">
        <f>GETPIVOTDATA("Sum of GK 1v1",'Dashboard (IND)'!X6)</f>
        <v>0</v>
      </c>
      <c r="Y21" s="26"/>
      <c r="Z21" s="5"/>
      <c r="AA21" s="5"/>
      <c r="AB21" s="5"/>
      <c r="AC21" s="23"/>
    </row>
    <row r="22" spans="4:29" ht="25" customHeight="1">
      <c r="F22" s="24"/>
      <c r="G22" s="5"/>
      <c r="H22" s="23"/>
      <c r="J22" s="22"/>
      <c r="K22" s="23"/>
      <c r="L22" s="18"/>
      <c r="M22" s="5"/>
      <c r="N22" s="5"/>
      <c r="R22" s="18" t="s">
        <v>28</v>
      </c>
      <c r="S22" s="5">
        <f>GETPIVOTDATA("Sum of Ball Lost in Own 1/3",'Dashboard (IND)'!BH6)</f>
        <v>8</v>
      </c>
      <c r="T22" s="84"/>
      <c r="U22" s="121" t="s">
        <v>449</v>
      </c>
      <c r="V22" s="121"/>
      <c r="W22" s="5">
        <f>GETPIVOTDATA("Sum of Defence the Space",'Dashboard (IND)'!U6)</f>
        <v>7</v>
      </c>
    </row>
    <row r="23" spans="4:29" ht="25" customHeight="1">
      <c r="F23" s="18"/>
      <c r="G23" s="5"/>
      <c r="H23" s="23"/>
      <c r="J23" s="23"/>
      <c r="L23" s="18"/>
      <c r="M23" s="5"/>
      <c r="N23" s="5"/>
      <c r="R23" s="26"/>
      <c r="S23" s="26"/>
      <c r="T23" s="26"/>
      <c r="U23" s="121" t="s">
        <v>577</v>
      </c>
      <c r="V23" s="121"/>
      <c r="W23" s="5">
        <f>GETPIVOTDATA("Sum of Defend the line (Cross)",'Dashboard (IND)'!T6)</f>
        <v>0</v>
      </c>
    </row>
    <row r="24" spans="4:29" ht="25" customHeight="1">
      <c r="F24" s="18"/>
      <c r="G24" s="5"/>
      <c r="H24" s="23"/>
      <c r="J24" s="23"/>
      <c r="K24" s="22"/>
      <c r="L24" s="18"/>
      <c r="M24" s="5"/>
      <c r="N24" s="5"/>
      <c r="R24" s="26"/>
      <c r="S24" s="26"/>
      <c r="T24" s="26"/>
      <c r="U24" s="121" t="s">
        <v>460</v>
      </c>
      <c r="V24" s="121"/>
      <c r="W24" s="5">
        <f>GETPIVOTDATA("Sum of Counter Kick",'Dashboard (IND)'!S6)</f>
        <v>0</v>
      </c>
    </row>
    <row r="25" spans="4:29" ht="25" customHeight="1">
      <c r="F25" s="18"/>
      <c r="G25" s="5"/>
      <c r="H25" s="23"/>
      <c r="J25" s="23"/>
      <c r="K25" s="23"/>
      <c r="L25" s="18"/>
      <c r="M25" s="5"/>
      <c r="N25" s="5"/>
      <c r="O25" s="5"/>
      <c r="P25" s="23"/>
      <c r="Q25" s="26"/>
    </row>
    <row r="26" spans="4:29" ht="25" customHeight="1">
      <c r="F26" s="18"/>
      <c r="G26" s="5"/>
      <c r="H26" s="23"/>
      <c r="J26" s="23"/>
      <c r="K26" s="23"/>
      <c r="O26" s="5"/>
      <c r="P26" s="23"/>
      <c r="Q26" s="26"/>
    </row>
    <row r="27" spans="4:29" ht="25" customHeight="1">
      <c r="F27" s="18"/>
      <c r="J27" s="23"/>
      <c r="K27" s="23"/>
      <c r="O27" s="5"/>
      <c r="P27" s="23"/>
      <c r="Q27" s="26"/>
    </row>
    <row r="28" spans="4:29" ht="25" customHeight="1">
      <c r="F28" s="18"/>
      <c r="J28" s="23"/>
      <c r="K28" s="23"/>
      <c r="O28" s="5"/>
      <c r="P28" s="23"/>
    </row>
    <row r="29" spans="4:29" ht="25" customHeight="1">
      <c r="K29" s="23"/>
    </row>
    <row r="30" spans="4:29" ht="25" customHeight="1"/>
    <row r="31" spans="4:29" ht="25" customHeight="1"/>
    <row r="32" spans="4:29" ht="25" customHeight="1"/>
    <row r="33" ht="25" customHeight="1"/>
    <row r="34" ht="25" customHeight="1"/>
    <row r="35" ht="25" customHeight="1"/>
    <row r="36" ht="25" customHeight="1"/>
    <row r="37" ht="25" customHeight="1"/>
    <row r="38" ht="25" customHeight="1"/>
    <row r="39" ht="25" customHeight="1"/>
    <row r="40" ht="25" customHeight="1"/>
    <row r="41" ht="25" customHeight="1"/>
    <row r="42" ht="25" customHeight="1"/>
    <row r="43" ht="25" customHeight="1"/>
    <row r="44" ht="25" customHeight="1"/>
    <row r="45" ht="25" customHeight="1"/>
    <row r="46" ht="25" customHeight="1"/>
    <row r="47" ht="25" customHeight="1"/>
    <row r="48" ht="25" customHeight="1"/>
    <row r="49" ht="25" customHeight="1"/>
    <row r="50" ht="25" customHeight="1"/>
    <row r="51" ht="25" customHeight="1"/>
    <row r="52" ht="25" customHeight="1"/>
    <row r="53" ht="25" customHeight="1"/>
    <row r="54" ht="25" customHeight="1"/>
    <row r="55" ht="25" customHeight="1"/>
    <row r="56" ht="25" customHeight="1"/>
    <row r="57" ht="25" customHeight="1"/>
    <row r="58" ht="25" customHeight="1"/>
    <row r="59" ht="25" customHeight="1"/>
  </sheetData>
  <mergeCells count="22">
    <mergeCell ref="U22:V22"/>
    <mergeCell ref="U20:V20"/>
    <mergeCell ref="U21:V21"/>
    <mergeCell ref="U24:V24"/>
    <mergeCell ref="R7:S7"/>
    <mergeCell ref="R17:S17"/>
    <mergeCell ref="U9:V9"/>
    <mergeCell ref="U10:V10"/>
    <mergeCell ref="U11:V11"/>
    <mergeCell ref="U14:V14"/>
    <mergeCell ref="U16:W16"/>
    <mergeCell ref="U17:V17"/>
    <mergeCell ref="U12:V12"/>
    <mergeCell ref="U13:V13"/>
    <mergeCell ref="U23:V23"/>
    <mergeCell ref="U7:W7"/>
    <mergeCell ref="F7:J7"/>
    <mergeCell ref="L7:P7"/>
    <mergeCell ref="U18:V18"/>
    <mergeCell ref="U19:V19"/>
    <mergeCell ref="O17:Q17"/>
    <mergeCell ref="O18:Q1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AC12D-D380-414F-871E-FECF78A88B13}">
  <dimension ref="A1:IP58"/>
  <sheetViews>
    <sheetView tabSelected="1" zoomScale="94" workbookViewId="0">
      <selection activeCell="G10" sqref="G10"/>
    </sheetView>
  </sheetViews>
  <sheetFormatPr baseColWidth="10" defaultRowHeight="16"/>
  <cols>
    <col min="1" max="1" width="38.1640625" customWidth="1"/>
    <col min="2" max="2" width="10" customWidth="1"/>
    <col min="3" max="3" width="10.1640625" customWidth="1"/>
    <col min="4" max="48" width="20.83203125" customWidth="1"/>
    <col min="49" max="49" width="32.33203125" customWidth="1"/>
    <col min="50" max="50" width="26" customWidth="1"/>
    <col min="51" max="51" width="28.33203125" customWidth="1"/>
    <col min="52" max="52" width="31.6640625" customWidth="1"/>
    <col min="53" max="53" width="30" customWidth="1"/>
    <col min="54" max="54" width="28.83203125" customWidth="1"/>
    <col min="55" max="55" width="27" customWidth="1"/>
    <col min="56" max="226" width="20.83203125" customWidth="1"/>
    <col min="227" max="228" width="20.83203125" style="115" customWidth="1"/>
    <col min="229" max="241" width="20.83203125" customWidth="1"/>
  </cols>
  <sheetData>
    <row r="1" spans="1:250">
      <c r="D1" s="2" t="s">
        <v>562</v>
      </c>
      <c r="E1" s="2" t="s">
        <v>282</v>
      </c>
      <c r="F1" s="2" t="s">
        <v>155</v>
      </c>
      <c r="G1" s="2" t="s">
        <v>157</v>
      </c>
      <c r="H1" s="2" t="s">
        <v>154</v>
      </c>
      <c r="I1" s="2" t="s">
        <v>156</v>
      </c>
      <c r="J1" s="2" t="s">
        <v>464</v>
      </c>
      <c r="K1" s="2" t="s">
        <v>465</v>
      </c>
      <c r="L1" s="2" t="s">
        <v>158</v>
      </c>
      <c r="M1" s="2" t="s">
        <v>56</v>
      </c>
      <c r="N1" s="2" t="s">
        <v>57</v>
      </c>
      <c r="O1" s="2" t="s">
        <v>559</v>
      </c>
      <c r="P1" s="2" t="s">
        <v>560</v>
      </c>
      <c r="Q1" s="2" t="s">
        <v>561</v>
      </c>
      <c r="R1" s="2" t="s">
        <v>58</v>
      </c>
      <c r="S1" s="2" t="s">
        <v>59</v>
      </c>
      <c r="T1" s="2" t="s">
        <v>60</v>
      </c>
      <c r="U1" s="2" t="s">
        <v>61</v>
      </c>
      <c r="V1" s="2" t="s">
        <v>62</v>
      </c>
      <c r="W1" s="2" t="s">
        <v>63</v>
      </c>
      <c r="X1" s="2" t="s">
        <v>64</v>
      </c>
      <c r="Y1" s="2" t="s">
        <v>170</v>
      </c>
      <c r="Z1" s="2" t="s">
        <v>65</v>
      </c>
      <c r="AA1" s="2" t="s">
        <v>66</v>
      </c>
      <c r="AB1" s="2" t="s">
        <v>67</v>
      </c>
      <c r="AC1" s="2" t="s">
        <v>68</v>
      </c>
      <c r="AD1" s="2" t="s">
        <v>69</v>
      </c>
      <c r="AE1" s="2" t="s">
        <v>70</v>
      </c>
      <c r="AF1" s="2" t="s">
        <v>198</v>
      </c>
      <c r="AG1" s="2" t="s">
        <v>227</v>
      </c>
      <c r="AH1" s="2" t="s">
        <v>199</v>
      </c>
      <c r="AI1" s="2" t="s">
        <v>200</v>
      </c>
      <c r="AJ1" s="2" t="s">
        <v>201</v>
      </c>
      <c r="AK1" s="2" t="s">
        <v>226</v>
      </c>
      <c r="AL1" s="2" t="s">
        <v>225</v>
      </c>
      <c r="AM1" s="2" t="s">
        <v>224</v>
      </c>
      <c r="AN1" s="2" t="s">
        <v>71</v>
      </c>
      <c r="AO1" s="2" t="s">
        <v>171</v>
      </c>
      <c r="AP1" s="2" t="s">
        <v>72</v>
      </c>
      <c r="AQ1" s="2" t="s">
        <v>73</v>
      </c>
      <c r="AR1" s="2" t="s">
        <v>74</v>
      </c>
      <c r="AS1" s="2" t="s">
        <v>75</v>
      </c>
      <c r="AT1" s="2" t="s">
        <v>76</v>
      </c>
      <c r="AU1" s="2" t="s">
        <v>77</v>
      </c>
      <c r="AV1" s="2" t="s">
        <v>202</v>
      </c>
      <c r="AW1" s="2" t="s">
        <v>231</v>
      </c>
      <c r="AX1" s="2" t="s">
        <v>203</v>
      </c>
      <c r="AY1" s="2" t="s">
        <v>204</v>
      </c>
      <c r="AZ1" s="2" t="s">
        <v>205</v>
      </c>
      <c r="BA1" s="2" t="s">
        <v>230</v>
      </c>
      <c r="BB1" s="2" t="s">
        <v>229</v>
      </c>
      <c r="BC1" s="2" t="s">
        <v>228</v>
      </c>
      <c r="BD1" s="2" t="s">
        <v>78</v>
      </c>
      <c r="BE1" s="2" t="s">
        <v>79</v>
      </c>
      <c r="BF1" s="2" t="s">
        <v>80</v>
      </c>
      <c r="BG1" s="2" t="s">
        <v>159</v>
      </c>
      <c r="BH1" s="2" t="s">
        <v>160</v>
      </c>
      <c r="BI1" s="2" t="s">
        <v>81</v>
      </c>
      <c r="BJ1" s="2" t="s">
        <v>82</v>
      </c>
      <c r="BK1" s="2" t="s">
        <v>83</v>
      </c>
      <c r="BL1" s="2" t="s">
        <v>84</v>
      </c>
      <c r="BM1" s="2" t="s">
        <v>85</v>
      </c>
      <c r="BN1" s="2" t="s">
        <v>86</v>
      </c>
      <c r="BO1" s="2" t="s">
        <v>161</v>
      </c>
      <c r="BP1" s="2" t="s">
        <v>162</v>
      </c>
      <c r="BQ1" s="2" t="s">
        <v>87</v>
      </c>
      <c r="BR1" s="2" t="s">
        <v>88</v>
      </c>
      <c r="BS1" s="2" t="s">
        <v>89</v>
      </c>
      <c r="BT1" s="2" t="s">
        <v>90</v>
      </c>
      <c r="BU1" s="2" t="s">
        <v>163</v>
      </c>
      <c r="BV1" s="2" t="s">
        <v>124</v>
      </c>
      <c r="BW1" s="2" t="s">
        <v>172</v>
      </c>
      <c r="BX1" s="2" t="s">
        <v>173</v>
      </c>
      <c r="BY1" s="2" t="s">
        <v>174</v>
      </c>
      <c r="BZ1" s="2" t="s">
        <v>175</v>
      </c>
      <c r="CA1" s="2" t="s">
        <v>91</v>
      </c>
      <c r="CB1" s="2" t="s">
        <v>93</v>
      </c>
      <c r="CC1" s="2" t="s">
        <v>92</v>
      </c>
      <c r="CD1" s="2" t="s">
        <v>164</v>
      </c>
      <c r="CE1" s="2" t="s">
        <v>165</v>
      </c>
      <c r="CF1" s="2" t="s">
        <v>94</v>
      </c>
      <c r="CG1" s="2" t="s">
        <v>95</v>
      </c>
      <c r="CH1" s="2" t="s">
        <v>457</v>
      </c>
      <c r="CI1" s="2" t="s">
        <v>96</v>
      </c>
      <c r="CJ1" s="2" t="s">
        <v>97</v>
      </c>
      <c r="CK1" s="2" t="s">
        <v>98</v>
      </c>
      <c r="CL1" s="2" t="s">
        <v>166</v>
      </c>
      <c r="CM1" s="2" t="s">
        <v>167</v>
      </c>
      <c r="CN1" s="2" t="s">
        <v>99</v>
      </c>
      <c r="CO1" s="2" t="s">
        <v>100</v>
      </c>
      <c r="CP1" s="2" t="s">
        <v>101</v>
      </c>
      <c r="CQ1" s="2" t="s">
        <v>168</v>
      </c>
      <c r="CR1" s="2" t="s">
        <v>169</v>
      </c>
      <c r="CS1" s="2" t="s">
        <v>102</v>
      </c>
      <c r="CT1" s="2" t="s">
        <v>103</v>
      </c>
      <c r="CU1" s="2" t="s">
        <v>104</v>
      </c>
      <c r="CV1" s="2" t="s">
        <v>105</v>
      </c>
      <c r="CW1" s="2" t="s">
        <v>106</v>
      </c>
      <c r="CX1" s="2" t="s">
        <v>107</v>
      </c>
      <c r="CY1" s="2" t="s">
        <v>108</v>
      </c>
      <c r="CZ1" s="2" t="s">
        <v>109</v>
      </c>
      <c r="DA1" s="2" t="s">
        <v>110</v>
      </c>
      <c r="DB1" s="2" t="s">
        <v>111</v>
      </c>
      <c r="DC1" s="2" t="s">
        <v>22</v>
      </c>
      <c r="DD1" s="2" t="s">
        <v>15</v>
      </c>
      <c r="DE1" s="2" t="s">
        <v>112</v>
      </c>
      <c r="DF1" s="2" t="s">
        <v>113</v>
      </c>
      <c r="DG1" s="2" t="s">
        <v>329</v>
      </c>
      <c r="DH1" s="2" t="s">
        <v>330</v>
      </c>
      <c r="DI1" s="2" t="s">
        <v>114</v>
      </c>
      <c r="DJ1" s="2" t="s">
        <v>115</v>
      </c>
      <c r="DK1" s="2" t="s">
        <v>331</v>
      </c>
      <c r="DL1" s="2" t="s">
        <v>332</v>
      </c>
      <c r="DM1" s="2" t="s">
        <v>24</v>
      </c>
      <c r="DN1" s="2" t="s">
        <v>125</v>
      </c>
      <c r="DO1" s="2" t="s">
        <v>13</v>
      </c>
      <c r="DP1" s="2" t="s">
        <v>126</v>
      </c>
      <c r="DQ1" s="2" t="s">
        <v>25</v>
      </c>
      <c r="DR1" s="2" t="s">
        <v>127</v>
      </c>
      <c r="DS1" s="2" t="s">
        <v>116</v>
      </c>
      <c r="DT1" s="2" t="s">
        <v>117</v>
      </c>
      <c r="DU1" s="2" t="s">
        <v>118</v>
      </c>
      <c r="DV1" s="2" t="s">
        <v>178</v>
      </c>
      <c r="DW1" s="2" t="s">
        <v>176</v>
      </c>
      <c r="DX1" s="2" t="s">
        <v>137</v>
      </c>
      <c r="DY1" s="2" t="s">
        <v>138</v>
      </c>
      <c r="DZ1" s="2" t="s">
        <v>177</v>
      </c>
      <c r="EA1" s="36" t="s">
        <v>233</v>
      </c>
      <c r="EB1" s="36" t="s">
        <v>283</v>
      </c>
      <c r="EC1" s="36" t="s">
        <v>284</v>
      </c>
      <c r="ED1" s="58" t="s">
        <v>466</v>
      </c>
      <c r="EE1" s="58" t="s">
        <v>467</v>
      </c>
      <c r="EF1" s="36" t="s">
        <v>285</v>
      </c>
      <c r="EG1" s="36" t="s">
        <v>286</v>
      </c>
      <c r="EH1" s="36" t="s">
        <v>287</v>
      </c>
      <c r="EI1" s="58" t="s">
        <v>468</v>
      </c>
      <c r="EJ1" s="58" t="s">
        <v>469</v>
      </c>
      <c r="EK1" s="36" t="s">
        <v>239</v>
      </c>
      <c r="EL1" s="36" t="s">
        <v>288</v>
      </c>
      <c r="EM1" s="36" t="s">
        <v>289</v>
      </c>
      <c r="EN1" s="58" t="s">
        <v>470</v>
      </c>
      <c r="EO1" s="58" t="s">
        <v>471</v>
      </c>
      <c r="EP1" s="36" t="s">
        <v>242</v>
      </c>
      <c r="EQ1" s="36" t="s">
        <v>290</v>
      </c>
      <c r="ER1" s="36" t="s">
        <v>291</v>
      </c>
      <c r="ES1" s="58" t="s">
        <v>472</v>
      </c>
      <c r="ET1" s="58" t="s">
        <v>473</v>
      </c>
      <c r="EU1" s="36" t="s">
        <v>251</v>
      </c>
      <c r="EV1" s="36" t="s">
        <v>293</v>
      </c>
      <c r="EW1" s="36" t="s">
        <v>292</v>
      </c>
      <c r="EX1" s="58" t="s">
        <v>474</v>
      </c>
      <c r="EY1" s="58" t="s">
        <v>475</v>
      </c>
      <c r="EZ1" s="36" t="s">
        <v>257</v>
      </c>
      <c r="FA1" s="36" t="s">
        <v>294</v>
      </c>
      <c r="FB1" s="36" t="s">
        <v>295</v>
      </c>
      <c r="FC1" s="58" t="s">
        <v>476</v>
      </c>
      <c r="FD1" s="58" t="s">
        <v>477</v>
      </c>
      <c r="FE1" s="36" t="s">
        <v>260</v>
      </c>
      <c r="FF1" s="36" t="s">
        <v>261</v>
      </c>
      <c r="FG1" s="36" t="s">
        <v>296</v>
      </c>
      <c r="FH1" s="36" t="s">
        <v>297</v>
      </c>
      <c r="FI1" s="58" t="s">
        <v>478</v>
      </c>
      <c r="FJ1" s="58" t="s">
        <v>479</v>
      </c>
      <c r="FK1" s="58" t="s">
        <v>547</v>
      </c>
      <c r="FL1" s="58" t="s">
        <v>662</v>
      </c>
      <c r="FM1" s="58" t="s">
        <v>664</v>
      </c>
      <c r="FN1" s="36" t="s">
        <v>299</v>
      </c>
      <c r="FO1" s="36" t="s">
        <v>298</v>
      </c>
      <c r="FP1" s="36" t="s">
        <v>300</v>
      </c>
      <c r="FQ1" s="36" t="s">
        <v>301</v>
      </c>
      <c r="FR1" s="36" t="s">
        <v>302</v>
      </c>
      <c r="FS1" s="36" t="s">
        <v>303</v>
      </c>
      <c r="FT1" s="36" t="s">
        <v>250</v>
      </c>
      <c r="FU1" s="36" t="s">
        <v>550</v>
      </c>
      <c r="FV1" s="36" t="s">
        <v>551</v>
      </c>
      <c r="FW1" s="58" t="s">
        <v>480</v>
      </c>
      <c r="FX1" s="58" t="s">
        <v>481</v>
      </c>
      <c r="FY1" s="36" t="s">
        <v>304</v>
      </c>
      <c r="FZ1" s="36" t="s">
        <v>305</v>
      </c>
      <c r="GA1" s="36" t="s">
        <v>306</v>
      </c>
      <c r="GB1" s="58" t="s">
        <v>482</v>
      </c>
      <c r="GC1" s="58" t="s">
        <v>483</v>
      </c>
      <c r="GD1" s="36" t="s">
        <v>150</v>
      </c>
      <c r="GE1" s="36" t="s">
        <v>307</v>
      </c>
      <c r="GF1" s="36" t="s">
        <v>308</v>
      </c>
      <c r="GG1" s="36" t="s">
        <v>309</v>
      </c>
      <c r="GH1" s="36" t="s">
        <v>310</v>
      </c>
      <c r="GI1" s="36" t="s">
        <v>311</v>
      </c>
      <c r="GJ1" s="36" t="s">
        <v>338</v>
      </c>
      <c r="GK1" s="36" t="s">
        <v>341</v>
      </c>
      <c r="GL1" s="36" t="s">
        <v>342</v>
      </c>
      <c r="GM1" s="58" t="s">
        <v>484</v>
      </c>
      <c r="GN1" s="58" t="s">
        <v>485</v>
      </c>
      <c r="GO1" s="36" t="s">
        <v>451</v>
      </c>
      <c r="GP1" s="58" t="s">
        <v>558</v>
      </c>
      <c r="GQ1" s="36" t="s">
        <v>554</v>
      </c>
      <c r="GR1" s="36" t="s">
        <v>555</v>
      </c>
      <c r="GS1" s="36" t="s">
        <v>556</v>
      </c>
      <c r="GT1" s="36" t="s">
        <v>557</v>
      </c>
      <c r="GU1" s="36" t="s">
        <v>665</v>
      </c>
      <c r="GV1" s="36" t="s">
        <v>351</v>
      </c>
      <c r="GW1" s="36" t="s">
        <v>352</v>
      </c>
      <c r="GX1" s="36" t="s">
        <v>353</v>
      </c>
      <c r="GY1" s="58" t="s">
        <v>486</v>
      </c>
      <c r="GZ1" s="58" t="s">
        <v>487</v>
      </c>
      <c r="HA1" s="36" t="s">
        <v>488</v>
      </c>
      <c r="HB1" s="36" t="s">
        <v>489</v>
      </c>
      <c r="HC1" s="36" t="s">
        <v>490</v>
      </c>
      <c r="HD1" s="58" t="s">
        <v>491</v>
      </c>
      <c r="HE1" s="58" t="s">
        <v>492</v>
      </c>
      <c r="HF1" s="36" t="s">
        <v>312</v>
      </c>
      <c r="HG1" s="36" t="s">
        <v>313</v>
      </c>
      <c r="HH1" s="36" t="s">
        <v>314</v>
      </c>
      <c r="HI1" s="58" t="s">
        <v>493</v>
      </c>
      <c r="HJ1" s="58" t="s">
        <v>494</v>
      </c>
      <c r="HK1" s="36" t="s">
        <v>267</v>
      </c>
      <c r="HL1" s="36" t="s">
        <v>315</v>
      </c>
      <c r="HM1" s="36" t="s">
        <v>316</v>
      </c>
      <c r="HN1" s="58" t="s">
        <v>495</v>
      </c>
      <c r="HO1" s="58" t="s">
        <v>496</v>
      </c>
      <c r="HP1" s="36" t="s">
        <v>270</v>
      </c>
      <c r="HQ1" s="36" t="s">
        <v>317</v>
      </c>
      <c r="HR1" s="36" t="s">
        <v>318</v>
      </c>
      <c r="HS1" s="58" t="s">
        <v>497</v>
      </c>
      <c r="HT1" s="58" t="s">
        <v>498</v>
      </c>
      <c r="HU1" s="36" t="s">
        <v>273</v>
      </c>
      <c r="HV1" s="36" t="s">
        <v>319</v>
      </c>
      <c r="HW1" s="36" t="s">
        <v>320</v>
      </c>
      <c r="HX1" s="58" t="s">
        <v>499</v>
      </c>
      <c r="HY1" s="58" t="s">
        <v>500</v>
      </c>
      <c r="HZ1" s="36" t="s">
        <v>321</v>
      </c>
      <c r="IA1" s="36" t="s">
        <v>322</v>
      </c>
      <c r="IB1" s="36" t="s">
        <v>611</v>
      </c>
      <c r="IC1" s="36" t="s">
        <v>323</v>
      </c>
      <c r="ID1" s="36" t="s">
        <v>324</v>
      </c>
      <c r="IE1" s="36" t="s">
        <v>325</v>
      </c>
      <c r="IF1" s="36" t="s">
        <v>326</v>
      </c>
      <c r="IG1" s="36" t="s">
        <v>327</v>
      </c>
      <c r="IH1" s="36" t="s">
        <v>277</v>
      </c>
      <c r="II1" s="36" t="s">
        <v>278</v>
      </c>
      <c r="IJ1" s="36" t="s">
        <v>279</v>
      </c>
      <c r="IK1" s="36" t="s">
        <v>280</v>
      </c>
      <c r="IL1" s="36" t="s">
        <v>57</v>
      </c>
      <c r="IM1" s="36" t="s">
        <v>281</v>
      </c>
      <c r="IN1" s="36" t="s">
        <v>459</v>
      </c>
      <c r="IO1" s="83" t="s">
        <v>460</v>
      </c>
    </row>
    <row r="2" spans="1:250">
      <c r="E2" t="s">
        <v>670</v>
      </c>
      <c r="F2" t="s">
        <v>776</v>
      </c>
      <c r="G2" t="s">
        <v>197</v>
      </c>
      <c r="H2" t="s">
        <v>669</v>
      </c>
      <c r="I2" s="28" t="s">
        <v>655</v>
      </c>
      <c r="J2" t="s">
        <v>463</v>
      </c>
      <c r="K2" t="s">
        <v>463</v>
      </c>
      <c r="L2" t="str" cm="1">
        <f t="array" ref="L2">_xlfn.IFS(M2&lt;N2,"L",M2=N2,"D",M2&gt;N2,"W")</f>
        <v>W</v>
      </c>
      <c r="M2">
        <f>COUNTIFS('Raw data'!$Y:$Y,"*1st*",'Raw data'!$D:$D,"P'Boro Goal")</f>
        <v>3</v>
      </c>
      <c r="N2">
        <f>COUNTIFS('Raw data'!$Y:$Y,"*1st*",'Raw data'!$D:$D,"Opp Goal")</f>
        <v>0</v>
      </c>
      <c r="O2" s="8">
        <f>P2+Q2</f>
        <v>42.633232985516621</v>
      </c>
      <c r="P2" s="8">
        <f>SUMIFS('Raw data'!$C:$C,'Raw data'!$D:$D,"Ball in play",'Raw data'!$Y:$Y,"*1st*") /60</f>
        <v>24.840901286507847</v>
      </c>
      <c r="Q2" s="8">
        <f>SUMIFS('Raw data'!$C:$C,'Raw data'!$D:$D,"Out of play",'Raw data'!$Y:$Y,"*1st*") /60</f>
        <v>17.792331699008773</v>
      </c>
      <c r="R2" s="7">
        <f>P2/O2</f>
        <v>0.58266520146259626</v>
      </c>
      <c r="S2" s="7">
        <f>Q2/O2</f>
        <v>0.41733479853740368</v>
      </c>
      <c r="T2" s="8">
        <f>(SUMIFS('Raw data'!$C:$C,'Raw data'!$D:$D,"In Possession",'Raw data'!$Y:$Y,"*1st*")-(3*(COUNTIFS('Raw data'!$D:$D,"In Possession",'Raw data'!$Y:$Y,"*1st*"))))/60</f>
        <v>14.36043978519089</v>
      </c>
      <c r="U2" s="8">
        <f>(SUMIFS('Raw data'!$C:$C,'Raw data'!$D:$D,"Out of Possession",'Raw data'!$Y:$Y,"*1st*")-(3*(COUNTIFS('Raw data'!$D:$D,"Out of Possession",'Raw data'!$Y:$Y,"*1st*"))))/60</f>
        <v>10.480461501316938</v>
      </c>
      <c r="V2" s="11">
        <f>T2/(T2+U2)</f>
        <v>0.57809656821874922</v>
      </c>
      <c r="W2" s="11">
        <f>U2/(T2+U2)</f>
        <v>0.42190343178125067</v>
      </c>
      <c r="X2">
        <f>COUNTIFS('Raw data'!$D:$D,"P'Boro Chance",'Raw data'!$Y:$Y,"*1st*")</f>
        <v>14</v>
      </c>
      <c r="Y2">
        <f>SUM(Z2:AB2)</f>
        <v>14</v>
      </c>
      <c r="Z2">
        <f>COUNTIFS('Raw data'!$D:$D,"P'Boro Chance",'Raw data'!$Q:$Q,"*On Target*",'Raw data'!$Y:$Y,"*1st*")</f>
        <v>7</v>
      </c>
      <c r="AA2">
        <f>COUNTIFS('Raw data'!$D:$D,"P'Boro Chance",'Raw data'!$Q:$Q,"*Off Target*",'Raw data'!$Y:$Y,"*1st*")</f>
        <v>5</v>
      </c>
      <c r="AB2">
        <f>COUNTIFS('Raw data'!$D:$D,"P'Boro Chance",'Raw data'!$Q:$Q,"*Blocked*",'Raw data'!$Y:$Y,"*1st*")</f>
        <v>2</v>
      </c>
      <c r="AC2" s="7">
        <f>Z2/Y2</f>
        <v>0.5</v>
      </c>
      <c r="AD2" s="7">
        <f>AA2/Y2</f>
        <v>0.35714285714285715</v>
      </c>
      <c r="AE2" s="7">
        <f>AB2/Y2</f>
        <v>0.14285714285714285</v>
      </c>
      <c r="AF2">
        <f>COUNTIFS('Raw data'!$D:$D,"P'Boro Chance",'Raw data'!$Q:$Q,"*Shots in the box*",'Raw data'!$Y:$Y,"*1st*")</f>
        <v>10</v>
      </c>
      <c r="AG2">
        <f>COUNTIFS('Raw data'!$D:$D,"P'Boro Chance",'Raw data'!$Q:$Q,"*Shots from Open Play*",'Raw data'!$Y:$Y,"*1st*")</f>
        <v>4</v>
      </c>
      <c r="AH2">
        <f>COUNTIFS('Raw data'!$D:$D,"P'Boro Chance",'Raw data'!$Q:$Q,"*Cross to Shots*",'Raw data'!$Y:$Y,"*1st*")</f>
        <v>2</v>
      </c>
      <c r="AI2">
        <f>COUNTIFS('Raw data'!$D:$D,"P'Boro Chance",'Raw data'!$Q:$Q,"*Counterattack to Shots*",'Raw data'!$Y:$Y,"*1st*")</f>
        <v>0</v>
      </c>
      <c r="AJ2">
        <f>COUNTIFS('Raw data'!$D:$D,"P'Boro Chance",'Raw data'!$Q:$Q,"*Through Pass to Shots*",'Raw data'!$Y:$Y,"*1st*")</f>
        <v>3</v>
      </c>
      <c r="AK2">
        <f>COUNTIFS('Raw data'!$D:$D,"P'Boro Chance",'Raw data'!$Q:$Q,"*Shots from Transition*",'Raw data'!$Y:$Y,"*1st*")</f>
        <v>7</v>
      </c>
      <c r="AL2">
        <f>COUNTIFS('Raw data'!$D:$D,"P'Boro Chance",'Raw data'!$Q:$Q,"*Shots from Set Play*",'Raw data'!$Y:$Y,"*1st*")</f>
        <v>3</v>
      </c>
      <c r="AM2">
        <f>COUNTIFS('Raw data'!$D:$D,"P'Boro Chance",'Raw data'!$Q:$Q,"*Shots from Restart*",'Raw data'!$Y:$Y,"*1st*")</f>
        <v>0</v>
      </c>
      <c r="AN2">
        <f>COUNTIFS('Raw data'!$D:$D,"Opp Chance",'Raw data'!$Y:$Y,"*1st*")</f>
        <v>0</v>
      </c>
      <c r="AO2">
        <f>SUM(AP2:AR2)</f>
        <v>0</v>
      </c>
      <c r="AP2">
        <f>COUNTIFS('Raw data'!$D:$D,"Opp Chance",'Raw data'!$Q:$Q,"*On Target*",'Raw data'!$Y:$Y,"*1st*")</f>
        <v>0</v>
      </c>
      <c r="AQ2">
        <f>COUNTIFS('Raw data'!$D:$D,"Opp Chance",'Raw data'!$Q:$Q,"*Off Target*",'Raw data'!$Y:$Y,"*1st*")</f>
        <v>0</v>
      </c>
      <c r="AR2">
        <f>COUNTIFS('Raw data'!$D:$D,"Opp Chance",'Raw data'!$Q:$Q,"*Blocked*",'Raw data'!$Y:$Y,"*1st*")</f>
        <v>0</v>
      </c>
      <c r="AS2" s="7" t="e">
        <f>AP2/AO2</f>
        <v>#DIV/0!</v>
      </c>
      <c r="AT2" s="7" t="e">
        <f>AQ2/AO2</f>
        <v>#DIV/0!</v>
      </c>
      <c r="AU2" s="7" t="e">
        <f>AR2/AO2</f>
        <v>#DIV/0!</v>
      </c>
      <c r="AV2">
        <f>COUNTIFS('Raw data'!$D:$D,"Opp Chance",'Raw data'!$Q:$Q,"*Shots in the box*",'Raw data'!$Y:$Y,"*1st*")</f>
        <v>0</v>
      </c>
      <c r="AW2">
        <f>COUNTIFS('Raw data'!$D:$D,"Opp Chance",'Raw data'!$Q:$Q,"*Shots from Open Play*",'Raw data'!$Y:$Y,"*1st*")</f>
        <v>0</v>
      </c>
      <c r="AX2">
        <f>COUNTIFS('Raw data'!$D:$D,"Opp Chance",'Raw data'!$Q:$Q,"*Cross to Shots*",'Raw data'!$Y:$Y,"*1st*")</f>
        <v>0</v>
      </c>
      <c r="AY2">
        <f>COUNTIFS('Raw data'!$D:$D,"Opp Chance",'Raw data'!$Q:$Q,"*Counterattack to Shots*",'Raw data'!$Y:$Y,"*1st*")</f>
        <v>0</v>
      </c>
      <c r="AZ2">
        <f>COUNTIFS('Raw data'!$D:$D,"Opp Chance",'Raw data'!$Q:$Q,"*Through Pass to Shots*",'Raw data'!$Y:$Y,"*1st*")</f>
        <v>0</v>
      </c>
      <c r="BA2">
        <f>COUNTIFS('Raw data'!$D:$D,"Opp Chance",'Raw data'!$Q:$Q,"*Shots from Transition*",'Raw data'!$Y:$Y,"*1st*")</f>
        <v>0</v>
      </c>
      <c r="BB2">
        <f>COUNTIFS('Raw data'!$D:$D,"Opp Chance",'Raw data'!$Q:$Q,"*Shots from Set Play*",'Raw data'!$Y:$Y,"*1st*")</f>
        <v>0</v>
      </c>
      <c r="BC2">
        <f>COUNTIFS('Raw data'!$D:$D,"Opp Chance",'Raw data'!$Q:$Q,"*Shots from Restart*",'Raw data'!$Y:$Y,"*1st*")</f>
        <v>0</v>
      </c>
      <c r="BD2">
        <f>COUNTIFS('Raw data'!$D:$D,"Build the Attack",'Raw data'!$Y:$Y,"*1st*")</f>
        <v>3</v>
      </c>
      <c r="BE2">
        <f>COUNTIFS('Raw data'!$D:$D,"Build the Attack",'Raw data'!$R:$R,"*+*",'Raw data'!$Y:$Y,"*1st*")</f>
        <v>3</v>
      </c>
      <c r="BF2">
        <f>COUNTIFS('Raw data'!$D:$D,"Build the Attack",'Raw data'!$R:$R,"-",'Raw data'!$Y:$Y,"*1st*")</f>
        <v>0</v>
      </c>
      <c r="BG2" s="7">
        <f>BE2/BD2</f>
        <v>1</v>
      </c>
      <c r="BH2" s="7">
        <f>BF2/BD2</f>
        <v>0</v>
      </c>
      <c r="BI2">
        <f>COUNTIFS('Raw data'!$D:$D,"Build the Attack",'Raw data'!$P:$P,"*Turnover*",'Raw data'!$Y:$Y,"*1st*")</f>
        <v>0</v>
      </c>
      <c r="BJ2">
        <f>COUNTIFS('Raw data'!$D:$D,"Build the Attack",'Raw data'!$P:$P,"*Direct play*",'Raw data'!$Y:$Y,"*1st*")</f>
        <v>2</v>
      </c>
      <c r="BK2">
        <f>COUNTIFS('Raw data'!$D:$D,"Build the Attack",'Raw data'!$P:$P,"*Reach Opp Half*",'Raw data'!$Y:$Y,"*1st*")</f>
        <v>2</v>
      </c>
      <c r="BL2">
        <f>COUNTIFS('Raw data'!$D:$D,"Create the Attack",'Raw data'!$Y:$Y,"*1st*")</f>
        <v>23</v>
      </c>
      <c r="BM2">
        <f>COUNTIFS('Raw data'!$D:$D,"Create the Attack",'Raw data'!$R:$R,"+",'Raw data'!$Y:$Y,"*1st*")</f>
        <v>6</v>
      </c>
      <c r="BN2">
        <f>COUNTIFS('Raw data'!$D:$D,"Create the Attack",'Raw data'!$R:$R,"-",'Raw data'!$Y:$Y,"*1st*")</f>
        <v>17</v>
      </c>
      <c r="BO2" s="7">
        <f>BM2/BL2</f>
        <v>0.2608695652173913</v>
      </c>
      <c r="BP2" s="7">
        <f>BN2/BL2</f>
        <v>0.73913043478260865</v>
      </c>
      <c r="BQ2">
        <f>COUNTIFS('Raw data'!$D:$D,"P'Boro Cross",'Raw data'!$Y:$Y,"*1st*")</f>
        <v>7</v>
      </c>
      <c r="BR2">
        <f>COUNTIFS('Raw data'!$D:$D,"P'Boro Cross",'Raw data'!$R:$R,"+",'Raw data'!$Y:$Y,"*1st*")</f>
        <v>3</v>
      </c>
      <c r="BS2">
        <f>COUNTIFS('Raw data'!$D:$D,"P'Boro Cross",'Raw data'!$R:$R,"-",'Raw data'!$Y:$Y,"*1st*")</f>
        <v>4</v>
      </c>
      <c r="BT2" s="7">
        <f>BR2/BQ2</f>
        <v>0.42857142857142855</v>
      </c>
      <c r="BU2" s="7">
        <f>BS2/BQ2</f>
        <v>0.5714285714285714</v>
      </c>
      <c r="BV2">
        <f>COUNTIFS('Raw data'!$D:$D,"Opp Cross",'Raw data'!$Y:$Y,"*1st*")</f>
        <v>0</v>
      </c>
      <c r="BW2">
        <f>COUNTIFS('Raw data'!$D:$D,"Opp Cross",'Raw data'!$R:$R,"+",'Raw data'!$Y:$Y,"*1st*")</f>
        <v>0</v>
      </c>
      <c r="BX2">
        <f>COUNTIFS('Raw data'!$D:$D,"Opp Cross",'Raw data'!$R:$R,"-",'Raw data'!$Y:$Y,"*1st*")</f>
        <v>0</v>
      </c>
      <c r="BY2" s="7" t="e">
        <f>BW2/BV2</f>
        <v>#DIV/0!</v>
      </c>
      <c r="BZ2" s="7" t="e">
        <f>BX2/BV2</f>
        <v>#DIV/0!</v>
      </c>
      <c r="CA2">
        <f>COUNTIFS('Raw data'!$D:$D,"High Block",'Raw data'!$Y:$Y,"*1st*")</f>
        <v>19</v>
      </c>
      <c r="CB2">
        <f>COUNTIFS('Raw data'!$D:$D,"High Block",'Raw data'!$R:$R,"+",'Raw data'!$Y:$Y,"*1st*")</f>
        <v>17</v>
      </c>
      <c r="CC2">
        <f>COUNTIFS('Raw data'!$D:$D,"High Block",'Raw data'!$R:$R,"-",'Raw data'!$Y:$Y,"*1st*")</f>
        <v>2</v>
      </c>
      <c r="CD2" s="7">
        <f>CB2/CA2</f>
        <v>0.89473684210526316</v>
      </c>
      <c r="CE2" s="7">
        <f>CC2/CA2</f>
        <v>0.10526315789473684</v>
      </c>
      <c r="CF2">
        <f>COUNTIFS('Raw data'!$D:$D,"High Block",'Raw data'!$S:$S,"Regain Opp Half",'Raw data'!$Y:$Y,"*1st*")</f>
        <v>10</v>
      </c>
      <c r="CG2">
        <f>COUNTIFS('Raw data'!$D:$D,"High Block",'Raw data'!$S:$S,"Force error",'Raw data'!$Y:$Y,"*1st*")</f>
        <v>7</v>
      </c>
      <c r="CH2">
        <f>COUNTIFS('Raw data'!$D:$D,"High Block",'Raw data'!$P:$P,"Direct play",'Raw data'!$Y:$Y,"*1st*")</f>
        <v>0</v>
      </c>
      <c r="CI2">
        <f>COUNTIFS('Raw data'!$D:$D,"Mid Block",'Raw data'!$Y:$Y,"*1st*")</f>
        <v>5</v>
      </c>
      <c r="CJ2">
        <f>COUNTIFS('Raw data'!$D:$D,"Mid Block",'Raw data'!$R:$R,"+",'Raw data'!$Y:$Y,"*1st*")</f>
        <v>5</v>
      </c>
      <c r="CK2">
        <f>COUNTIFS('Raw data'!$D:$D,"Mid Block",'Raw data'!$R:$R,"-",'Raw data'!$Y:$Y,"*1st*")</f>
        <v>0</v>
      </c>
      <c r="CL2" s="7">
        <f>CJ2/CI2</f>
        <v>1</v>
      </c>
      <c r="CM2" s="7">
        <f>CK2/CI2</f>
        <v>0</v>
      </c>
      <c r="CN2">
        <f>COUNTIFS('Raw data'!$D:$D,"Low Block",'Raw data'!$Y:$Y,"*1st*")</f>
        <v>1</v>
      </c>
      <c r="CO2">
        <f>COUNTIFS('Raw data'!$D:$D,"Low Block",'Raw data'!$R:$R,"+",'Raw data'!$Y:$Y,"*1st*")</f>
        <v>1</v>
      </c>
      <c r="CP2">
        <f>COUNTIFS('Raw data'!$D:$D,"Low Block",'Raw data'!$R:$R,"-",'Raw data'!$Y:$Y,"*1st*")</f>
        <v>0</v>
      </c>
      <c r="CQ2" s="7">
        <f>CO2/CN2</f>
        <v>1</v>
      </c>
      <c r="CR2" s="7">
        <f>CP2/CN2</f>
        <v>0</v>
      </c>
      <c r="CS2">
        <f>SUM(CU2:CW2)</f>
        <v>38</v>
      </c>
      <c r="CT2">
        <f>COUNTIFS('Raw data'!$D:$D,"Transition to Attack",'Raw data'!$U:$U,"*Transition to Att Counter*",'Raw data'!$Y:$Y,"*1st*")</f>
        <v>3</v>
      </c>
      <c r="CU2">
        <f>COUNTIFS('Raw data'!$D:$D,"Transition to Attack",'Raw data'!$U:$U,"*Final 1/3*",'Raw data'!$Y:$Y,"*1st*")</f>
        <v>18</v>
      </c>
      <c r="CV2">
        <f>COUNTIFS('Raw data'!$D:$D,"Transition to Attack",'Raw data'!$U:$U,"*Middle 1/3*",'Raw data'!$Y:$Y,"*1st*")</f>
        <v>9</v>
      </c>
      <c r="CW2">
        <f>COUNTIFS('Raw data'!$D:$D,"Transition to Attack",'Raw data'!$U:$U,"*Own 1/3*",'Raw data'!$Y:$Y,"*1st*")</f>
        <v>11</v>
      </c>
      <c r="CX2">
        <f>SUM(CZ2:DB2)</f>
        <v>23</v>
      </c>
      <c r="CY2">
        <f>COUNTIFS('Raw data'!$D:$D,"Transition to Defense",'Raw data'!$U:$U,"*Transition to def counter*",'Raw data'!$Y:$Y,"*1st*")</f>
        <v>1</v>
      </c>
      <c r="CZ2">
        <f>COUNTIFS('Raw data'!$D:$D,"Transition to Defense",'Raw data'!$U:$U,"*Final 1/3*",'Raw data'!$Y:$Y,"*1st*")</f>
        <v>20</v>
      </c>
      <c r="DA2">
        <f>COUNTIFS('Raw data'!$D:$D,"Transition to Defense",'Raw data'!$U:$U,"*Middle 1/3*",'Raw data'!$Y:$Y,"*1st*")</f>
        <v>3</v>
      </c>
      <c r="DB2">
        <f>COUNTIFS('Raw data'!$D:$D,"Transition to Defense",'Raw data'!$U:$U,"*Own 1/3*",'Raw data'!$Y:$Y,"*1st*")</f>
        <v>0</v>
      </c>
      <c r="DC2">
        <f>COUNTIFS('Raw data'!$T:$T,"P'Boro Corner",'Raw data'!$Y:$Y,"*1st*")</f>
        <v>4</v>
      </c>
      <c r="DD2">
        <f>COUNTIFS('Raw data'!$T:$T,"Opp Corner",'Raw data'!$Y:$Y,"*1st*")</f>
        <v>1</v>
      </c>
      <c r="DE2">
        <f>COUNTIFS('Raw data'!$T:$T,"*P'Boro Throw in*",'Raw data'!$Y:$Y,"*1st*")</f>
        <v>10</v>
      </c>
      <c r="DF2">
        <f>COUNTIFS('Raw data'!$T:$T,"*P'Boro Throw in*",'Raw data'!$U:$U,"*Final 1/3*",'Raw data'!$Y:$Y,"*1st*")</f>
        <v>1</v>
      </c>
      <c r="DG2">
        <f>COUNTIFS('Raw data'!$T:$T,"*P'Boro Throw in*",'Raw data'!$U:$U,"*Middle 1/3*",'Raw data'!$Y:$Y,"*1st*")</f>
        <v>5</v>
      </c>
      <c r="DH2">
        <f>COUNTIFS('Raw data'!$T:$T,"*P'Boro Throw in*",'Raw data'!$U:$U,"*Own 1/3*",'Raw data'!$Y:$Y,"*1st*")</f>
        <v>3</v>
      </c>
      <c r="DI2">
        <f>COUNTIFS('Raw data'!$T:$T,"*Opp Throw in*",'Raw data'!$Y:$Y,"*1st*")</f>
        <v>18</v>
      </c>
      <c r="DJ2">
        <f>COUNTIFS('Raw data'!$T:$T,"*Opp Throw in*",'Raw data'!$U:$U,"*Own 1/3*",'Raw data'!$Y:$Y,"*1st*")</f>
        <v>2</v>
      </c>
      <c r="DK2">
        <f>COUNTIFS('Raw data'!$T:$T,"*Opp Throw in*",'Raw data'!$U:$U,"*Middle 1/3*",'Raw data'!$Y:$Y,"*1st*")</f>
        <v>7</v>
      </c>
      <c r="DL2">
        <f>COUNTIFS('Raw data'!$T:$T,"*Opp Throw in*",'Raw data'!$U:$U,"*Own 1/3*",'Raw data'!$Y:$Y,"*1st*")</f>
        <v>2</v>
      </c>
      <c r="DM2">
        <f>COUNTIFS('Raw data'!$T:$T,"P'Boro Free Kick",'Raw data'!$Y:$Y,"*1st*")</f>
        <v>2</v>
      </c>
      <c r="DN2">
        <f>COUNTIFS('Raw data'!$T:$T,"P'Boro Free kick",'Raw data'!$U:$U,"Final 1/3",'Raw data'!$Y:$Y,"*1st*")</f>
        <v>0</v>
      </c>
      <c r="DO2">
        <f>COUNTIFS('Raw data'!$T:$T,"Opp Free Kick",'Raw data'!$Y:$Y,"*1st*")</f>
        <v>6</v>
      </c>
      <c r="DP2">
        <f>COUNTIFS('Raw data'!$T:$T,"Opp Free kick",'Raw data'!$U:$U,"Final 1/3",'Raw data'!$Y:$Y,"*1st*")</f>
        <v>0</v>
      </c>
      <c r="DQ2">
        <f>COUNTIFS('Raw data'!$T:$T,"P'Boro Goal Kick",'Raw data'!$Y:$Y,"*1st*")</f>
        <v>1</v>
      </c>
      <c r="DR2">
        <f>COUNTIFS('Raw data'!$T:$T,"Opp Goal Kick",'Raw data'!$Y:$Y,"*1st*")</f>
        <v>11</v>
      </c>
      <c r="DS2">
        <f>SUM(DT2,DF2,CU2)</f>
        <v>32</v>
      </c>
      <c r="DT2">
        <f>COUNTIFS('Raw data'!$D:$D,"P'Boro 1/3 Entry",'Raw data'!$Y:$Y,"*1st*")</f>
        <v>13</v>
      </c>
      <c r="DU2">
        <f>SUM(DJ2,DV2,DB2)</f>
        <v>4</v>
      </c>
      <c r="DV2">
        <f>COUNTIFS('Raw data'!$D:$D,"Opp 1/3 Entry",'Raw data'!$Y:$Y,"*1st*")</f>
        <v>2</v>
      </c>
      <c r="DW2">
        <f>SUM(DS2,DU2)</f>
        <v>36</v>
      </c>
      <c r="DX2">
        <f>COUNTIFS('Raw data'!$D:$D,"P'Boro Touches in Box",'Raw data'!$Y:$Y,"*1st*")</f>
        <v>12</v>
      </c>
      <c r="DY2">
        <f>COUNTIFS('Raw data'!$D:$D,"Opp Touches in Box",'Raw data'!$Y:$Y,"*1st*")</f>
        <v>0</v>
      </c>
      <c r="DZ2">
        <f>SUM(DX2:DY2)</f>
        <v>12</v>
      </c>
      <c r="EA2">
        <f>SUM(EA13:EA24)</f>
        <v>172</v>
      </c>
      <c r="EB2" s="8">
        <f>SUM(EB13:EB24)</f>
        <v>139</v>
      </c>
      <c r="EC2" s="8">
        <f>SUM(EC13:EC24)</f>
        <v>33</v>
      </c>
      <c r="ED2" s="54">
        <f>IFERROR(EB2/EA2,"-")</f>
        <v>0.80813953488372092</v>
      </c>
      <c r="EE2" s="54">
        <f>IFERROR(EC2/EA2,"-")</f>
        <v>0.19186046511627908</v>
      </c>
      <c r="EF2">
        <f>SUM(EF13:EF24)</f>
        <v>72</v>
      </c>
      <c r="EG2">
        <f>SUM(EG13:EG24)</f>
        <v>44</v>
      </c>
      <c r="EH2">
        <f>SUM(EH13:EH24)</f>
        <v>28</v>
      </c>
      <c r="EI2" s="54">
        <f>IFERROR(EG2/EF2,"-")</f>
        <v>0.61111111111111116</v>
      </c>
      <c r="EJ2" s="54">
        <f>IFERROR(EH2/EF2,"-")</f>
        <v>0.3888888888888889</v>
      </c>
      <c r="EK2" s="8">
        <f>SUM(EK13:EK24)</f>
        <v>62</v>
      </c>
      <c r="EL2" s="8">
        <f>SUM(EL13:EL24)</f>
        <v>59</v>
      </c>
      <c r="EM2" s="8">
        <f>SUM(EM13:EM24)</f>
        <v>3</v>
      </c>
      <c r="EN2" s="54">
        <f>IFERROR(EL2/EK2,"-")</f>
        <v>0.95161290322580649</v>
      </c>
      <c r="EO2" s="54">
        <f>IFERROR(EM2/EK2,"-")</f>
        <v>4.8387096774193547E-2</v>
      </c>
      <c r="EP2" s="8">
        <f>SUM(EP13:EP24)</f>
        <v>38</v>
      </c>
      <c r="EQ2" s="8">
        <f>SUM(EQ13:EQ24)</f>
        <v>36</v>
      </c>
      <c r="ER2" s="8">
        <f>SUM(ER13:ER24)</f>
        <v>2</v>
      </c>
      <c r="ES2" s="54">
        <f>IFERROR(EQ2/EP2,"-")</f>
        <v>0.94736842105263153</v>
      </c>
      <c r="ET2" s="54">
        <f>IFERROR(ER2/EP2,"-")</f>
        <v>5.2631578947368418E-2</v>
      </c>
      <c r="EU2" s="8">
        <f>SUM(EU13:EU24)</f>
        <v>14</v>
      </c>
      <c r="EV2" s="8">
        <f>SUM(EV13:EV24)</f>
        <v>7</v>
      </c>
      <c r="EW2" s="8">
        <f>SUM(EW13:EW24)</f>
        <v>7</v>
      </c>
      <c r="EX2" s="54">
        <f>IFERROR(EV2/EU2,"-")</f>
        <v>0.5</v>
      </c>
      <c r="EY2" s="54">
        <f>IFERROR(EW2/EU2,"-")</f>
        <v>0.5</v>
      </c>
      <c r="EZ2" s="8">
        <f>SUM(EZ13:EZ24)</f>
        <v>15</v>
      </c>
      <c r="FA2" s="8">
        <f>SUM(FA13:FA24)</f>
        <v>6</v>
      </c>
      <c r="FB2" s="8">
        <f>SUM(FB13:FB24)</f>
        <v>9</v>
      </c>
      <c r="FC2" s="54">
        <f>IFERROR(FA2/EZ2,"-")</f>
        <v>0.4</v>
      </c>
      <c r="FD2" s="54">
        <f>IFERROR(FB2/EZ2,"-")</f>
        <v>0.6</v>
      </c>
      <c r="FE2" s="8">
        <f>SUM(FE13:FE24)</f>
        <v>5</v>
      </c>
      <c r="FF2" s="8">
        <f>SUM(FF13:FF24)</f>
        <v>0</v>
      </c>
      <c r="FG2" s="8">
        <f>SUM(FG13:FG24)</f>
        <v>0</v>
      </c>
      <c r="FH2" s="8">
        <f>SUM(FH13:FH24)</f>
        <v>0</v>
      </c>
      <c r="FI2" s="54" t="str">
        <f>IFERROR(FG2/FF2,"-")</f>
        <v>-</v>
      </c>
      <c r="FJ2" s="54" t="str">
        <f>IFERROR(FH2/FF2,"-")</f>
        <v>-</v>
      </c>
      <c r="FK2" s="8">
        <f t="shared" ref="FK2:FV2" si="0">SUM(FK13:FK24)</f>
        <v>136</v>
      </c>
      <c r="FL2" s="8">
        <f t="shared" si="0"/>
        <v>105</v>
      </c>
      <c r="FM2" s="8">
        <f t="shared" si="0"/>
        <v>19</v>
      </c>
      <c r="FN2" s="8">
        <f t="shared" si="0"/>
        <v>7</v>
      </c>
      <c r="FO2" s="8">
        <f t="shared" si="0"/>
        <v>10</v>
      </c>
      <c r="FP2" s="8">
        <f t="shared" si="0"/>
        <v>9</v>
      </c>
      <c r="FQ2" s="8">
        <f t="shared" si="0"/>
        <v>1</v>
      </c>
      <c r="FR2" s="8">
        <f t="shared" si="0"/>
        <v>0</v>
      </c>
      <c r="FS2" s="8">
        <f t="shared" si="0"/>
        <v>10</v>
      </c>
      <c r="FT2" s="8">
        <f t="shared" si="0"/>
        <v>11</v>
      </c>
      <c r="FU2" s="8">
        <f t="shared" si="0"/>
        <v>9</v>
      </c>
      <c r="FV2" s="8">
        <f t="shared" si="0"/>
        <v>2</v>
      </c>
      <c r="FW2" s="54">
        <f>IFERROR(FU2/FT2,"-")</f>
        <v>0.81818181818181823</v>
      </c>
      <c r="FX2" s="54">
        <f>IFERROR(FV2/FT2,"-")</f>
        <v>0.18181818181818182</v>
      </c>
      <c r="FY2" s="8">
        <f>SUM(FY13:FY24)</f>
        <v>7</v>
      </c>
      <c r="FZ2" s="8">
        <f>SUM(FZ13:FZ24)</f>
        <v>4</v>
      </c>
      <c r="GA2" s="8">
        <f>SUM(GA13:GA24)</f>
        <v>3</v>
      </c>
      <c r="GB2" s="54">
        <f>IFERROR(FZ2/FY2,"-")</f>
        <v>0.5714285714285714</v>
      </c>
      <c r="GC2" s="54">
        <f>IFERROR(GA2/FY2,"-")</f>
        <v>0.42857142857142855</v>
      </c>
      <c r="GD2" s="8">
        <f t="shared" ref="GD2:GL2" si="1">SUM(GD13:GD24)</f>
        <v>14</v>
      </c>
      <c r="GE2" s="8">
        <f t="shared" si="1"/>
        <v>8</v>
      </c>
      <c r="GF2" s="8">
        <f t="shared" si="1"/>
        <v>4</v>
      </c>
      <c r="GG2" s="8">
        <f t="shared" si="1"/>
        <v>2</v>
      </c>
      <c r="GH2" s="8">
        <f t="shared" si="1"/>
        <v>3</v>
      </c>
      <c r="GI2" s="8">
        <f t="shared" si="1"/>
        <v>2</v>
      </c>
      <c r="GJ2" s="8">
        <f t="shared" si="1"/>
        <v>8</v>
      </c>
      <c r="GK2" s="8">
        <f t="shared" si="1"/>
        <v>7</v>
      </c>
      <c r="GL2" s="8">
        <f t="shared" si="1"/>
        <v>1</v>
      </c>
      <c r="GM2" s="54">
        <f>IFERROR(GK2/GJ2,"-")</f>
        <v>0.875</v>
      </c>
      <c r="GN2" s="54">
        <f>IFERROR(GL2/GJ2,"-")</f>
        <v>0.125</v>
      </c>
      <c r="GO2" s="8">
        <f t="shared" ref="GO2:GX2" si="2">SUM(GO13:GO24)</f>
        <v>3</v>
      </c>
      <c r="GP2" s="8">
        <f t="shared" si="2"/>
        <v>12</v>
      </c>
      <c r="GQ2" s="8">
        <f t="shared" si="2"/>
        <v>16</v>
      </c>
      <c r="GR2" s="8">
        <f t="shared" si="2"/>
        <v>0</v>
      </c>
      <c r="GS2" s="8">
        <f t="shared" si="2"/>
        <v>0</v>
      </c>
      <c r="GT2" s="8">
        <f t="shared" si="2"/>
        <v>7</v>
      </c>
      <c r="GU2" s="8">
        <f t="shared" si="2"/>
        <v>1</v>
      </c>
      <c r="GV2" s="8">
        <f t="shared" si="2"/>
        <v>26</v>
      </c>
      <c r="GW2" s="8">
        <f t="shared" si="2"/>
        <v>17</v>
      </c>
      <c r="GX2" s="8">
        <f t="shared" si="2"/>
        <v>9</v>
      </c>
      <c r="GY2" s="54">
        <f>IFERROR(GW2/GV2,"-")</f>
        <v>0.65384615384615385</v>
      </c>
      <c r="GZ2" s="54">
        <f>IFERROR(GX2/GV2,"-")</f>
        <v>0.34615384615384615</v>
      </c>
      <c r="HA2" s="8">
        <f>SUM(HA13:HA24)</f>
        <v>15</v>
      </c>
      <c r="HB2" s="8">
        <f>SUM(HB13:HB24)</f>
        <v>8</v>
      </c>
      <c r="HC2" s="8">
        <f>SUM(HC13:HC24)</f>
        <v>7</v>
      </c>
      <c r="HD2" s="54">
        <f>IFERROR(HB2/HA2,"-")</f>
        <v>0.53333333333333333</v>
      </c>
      <c r="HE2" s="54">
        <f>IFERROR(HC2/HA2,"-")</f>
        <v>0.46666666666666667</v>
      </c>
      <c r="HF2" s="8">
        <f>SUM(HF13:HF24)</f>
        <v>3</v>
      </c>
      <c r="HG2" s="8">
        <f>SUM(HG13:HG24)</f>
        <v>2</v>
      </c>
      <c r="HH2" s="8">
        <f>SUM(HH13:HH24)</f>
        <v>1</v>
      </c>
      <c r="HI2" s="54">
        <f>IFERROR(HG2/HF2,"-")</f>
        <v>0.66666666666666663</v>
      </c>
      <c r="HJ2" s="54">
        <f>IFERROR(HH2/HF2,"-")</f>
        <v>0.33333333333333331</v>
      </c>
      <c r="HK2" s="8">
        <f>SUM(HK13:HK24)</f>
        <v>2</v>
      </c>
      <c r="HL2" s="8">
        <f>SUM(HL13:HL24)</f>
        <v>0</v>
      </c>
      <c r="HM2" s="8">
        <f>SUM(HM13:HM24)</f>
        <v>2</v>
      </c>
      <c r="HN2" s="54">
        <f>IFERROR(HL2/HK2,"-")</f>
        <v>0</v>
      </c>
      <c r="HO2" s="54">
        <f>IFERROR(HM2/HK2,"-")</f>
        <v>1</v>
      </c>
      <c r="HP2" s="8">
        <f>SUM(HP13:HP24)</f>
        <v>3</v>
      </c>
      <c r="HQ2" s="8">
        <f>SUM(HQ13:HQ24)</f>
        <v>2</v>
      </c>
      <c r="HR2" s="8">
        <f>SUM(HR13:HR24)</f>
        <v>1</v>
      </c>
      <c r="HS2" s="54">
        <f>IFERROR(HQ2/HP2,"-")</f>
        <v>0.66666666666666663</v>
      </c>
      <c r="HT2" s="54">
        <f>IFERROR(HR2/HP2,"-")</f>
        <v>0.33333333333333331</v>
      </c>
      <c r="HU2" s="8">
        <f>SUM(HU13:HU24)</f>
        <v>5</v>
      </c>
      <c r="HV2" s="8">
        <f>SUM(HV13:HV24)</f>
        <v>2</v>
      </c>
      <c r="HW2" s="8">
        <f>SUM(HW13:HW24)</f>
        <v>3</v>
      </c>
      <c r="HX2" s="54">
        <f>IFERROR(HV2/HU2,"-")</f>
        <v>0.4</v>
      </c>
      <c r="HY2" s="54">
        <f>IFERROR(HW2/HU2,"-")</f>
        <v>0.6</v>
      </c>
      <c r="HZ2" s="8">
        <f t="shared" ref="HZ2:IO2" si="3">SUM(HZ13:HZ24)</f>
        <v>0</v>
      </c>
      <c r="IA2" s="8">
        <f t="shared" si="3"/>
        <v>22</v>
      </c>
      <c r="IB2" s="8">
        <f t="shared" si="3"/>
        <v>29</v>
      </c>
      <c r="IC2" s="8">
        <f t="shared" si="3"/>
        <v>2</v>
      </c>
      <c r="ID2" s="8">
        <f t="shared" si="3"/>
        <v>0</v>
      </c>
      <c r="IE2" s="8">
        <f t="shared" si="3"/>
        <v>0</v>
      </c>
      <c r="IF2" s="8">
        <f t="shared" si="3"/>
        <v>8</v>
      </c>
      <c r="IG2" s="8">
        <f t="shared" si="3"/>
        <v>3</v>
      </c>
      <c r="IH2" s="8">
        <f t="shared" si="3"/>
        <v>0</v>
      </c>
      <c r="II2" s="8">
        <f t="shared" si="3"/>
        <v>0</v>
      </c>
      <c r="IJ2" s="8">
        <f t="shared" si="3"/>
        <v>0</v>
      </c>
      <c r="IK2" s="8">
        <f t="shared" si="3"/>
        <v>4</v>
      </c>
      <c r="IL2" s="8">
        <f t="shared" si="3"/>
        <v>0</v>
      </c>
      <c r="IM2" s="8">
        <f t="shared" si="3"/>
        <v>0</v>
      </c>
      <c r="IN2" s="8">
        <f t="shared" si="3"/>
        <v>0</v>
      </c>
      <c r="IO2" s="8">
        <f t="shared" si="3"/>
        <v>0</v>
      </c>
    </row>
    <row r="3" spans="1:250">
      <c r="E3" t="s">
        <v>670</v>
      </c>
      <c r="F3" t="s">
        <v>776</v>
      </c>
      <c r="G3" t="s">
        <v>197</v>
      </c>
      <c r="H3" t="s">
        <v>669</v>
      </c>
      <c r="I3" s="28" t="s">
        <v>655</v>
      </c>
      <c r="J3" t="s">
        <v>462</v>
      </c>
      <c r="K3" t="s">
        <v>462</v>
      </c>
      <c r="L3" t="str" cm="1">
        <f t="array" ref="L3">_xlfn.IFS(M3&lt;N3,"L",M3=N3,"D",M3&gt;N3,"W")</f>
        <v>W</v>
      </c>
      <c r="M3">
        <f>COUNTIFS('Raw data'!$Y:$Y,"*2nd*",'Raw data'!$D:$D,"P'Boro Goal")</f>
        <v>3</v>
      </c>
      <c r="N3">
        <f>COUNTIFS('Raw data'!$Y:$Y,"*2nd*",'Raw data'!$D:$D,"Opp Goal")</f>
        <v>1</v>
      </c>
      <c r="O3" s="8">
        <f>P3+Q3</f>
        <v>40.221582859827379</v>
      </c>
      <c r="P3" s="8">
        <f>SUMIFS('Raw data'!$C:$C,'Raw data'!$D:$D,"Ball in play",'Raw data'!$Y:$Y,"*2nd*") /60</f>
        <v>24.723029990707282</v>
      </c>
      <c r="Q3" s="8">
        <f>SUMIFS('Raw data'!$C:$C,'Raw data'!$D:$D,"Out of play",'Raw data'!$Y:$Y,"*2nd*") /60</f>
        <v>15.498552869120099</v>
      </c>
      <c r="R3" s="7">
        <f>P3/O3</f>
        <v>0.61467073727225729</v>
      </c>
      <c r="S3" s="7">
        <f>Q3/O3</f>
        <v>0.38532926272774276</v>
      </c>
      <c r="T3" s="8">
        <f>(SUMIFS('Raw data'!$C:$C,'Raw data'!$D:$D,"In Possession",'Raw data'!$Y:$Y,"*2nd*")-(3*(COUNTIFS('Raw data'!$D:$D,"In Possession",'Raw data'!$Y:$Y,"*2nd*"))))/60</f>
        <v>17.40941897331534</v>
      </c>
      <c r="U3" s="8">
        <f>(SUMIFS('Raw data'!$C:$C,'Raw data'!$D:$D,"Out of Possession",'Raw data'!$Y:$Y,"*2nd*")-(3*(COUNTIFS('Raw data'!$D:$D,"Out of Possession",'Raw data'!$Y:$Y,"*2nd*"))))/60</f>
        <v>7.3136110173919118</v>
      </c>
      <c r="V3" s="11">
        <f>T3/(T3+U3)</f>
        <v>0.70417820873327786</v>
      </c>
      <c r="W3" s="11">
        <f>U3/(T3+U3)</f>
        <v>0.29582179126672209</v>
      </c>
      <c r="X3">
        <f>COUNTIFS('Raw data'!$D:$D,"P'Boro Chance",'Raw data'!$Y:$Y,"*2nd*")</f>
        <v>9</v>
      </c>
      <c r="Y3">
        <f>SUM(Z3:AB3)</f>
        <v>9</v>
      </c>
      <c r="Z3">
        <f>COUNTIFS('Raw data'!$D:$D,"P'Boro Chance",'Raw data'!$Q:$Q,"*On Target*",'Raw data'!$Y:$Y,"*2nd*")</f>
        <v>6</v>
      </c>
      <c r="AA3">
        <f>COUNTIFS('Raw data'!$D:$D,"P'Boro Chance",'Raw data'!$Q:$Q,"*Off Target*",'Raw data'!$Y:$Y,"*2nd*")</f>
        <v>1</v>
      </c>
      <c r="AB3">
        <f>COUNTIFS('Raw data'!$D:$D,"P'Boro Chance",'Raw data'!$Q:$Q,"*Blocked*",'Raw data'!$Y:$Y,"*2nd*")</f>
        <v>2</v>
      </c>
      <c r="AC3" s="7">
        <f>Z3/Y3</f>
        <v>0.66666666666666663</v>
      </c>
      <c r="AD3" s="7">
        <f>AA3/Y3</f>
        <v>0.1111111111111111</v>
      </c>
      <c r="AE3" s="7">
        <f>AB3/Y3</f>
        <v>0.22222222222222221</v>
      </c>
      <c r="AF3">
        <f>COUNTIFS('Raw data'!$D:$D,"P'Boro Chance",'Raw data'!$Q:$Q,"*Shots in the box*",'Raw data'!$Y:$Y,"*2nd*")</f>
        <v>8</v>
      </c>
      <c r="AG3">
        <f>COUNTIFS('Raw data'!$D:$D,"P'Boro Chance",'Raw data'!$Q:$Q,"*Shots from Open Play*",'Raw data'!$Y:$Y,"*2nd*")</f>
        <v>4</v>
      </c>
      <c r="AH3">
        <f>COUNTIFS('Raw data'!$D:$D,"P'Boro Chance",'Raw data'!$Q:$Q,"*Cross to Shots*",'Raw data'!$Y:$Y,"*2nd*")</f>
        <v>3</v>
      </c>
      <c r="AI3">
        <f>COUNTIFS('Raw data'!$D:$D,"P'Boro Chance",'Raw data'!$Q:$Q,"*Counterattack to Shots*",'Raw data'!$Y:$Y,"*2nd*")</f>
        <v>2</v>
      </c>
      <c r="AJ3">
        <f>COUNTIFS('Raw data'!$D:$D,"P'Boro Chance",'Raw data'!$Q:$Q,"*Through Pass to Shots*",'Raw data'!$Y:$Y,"*2nd*")</f>
        <v>6</v>
      </c>
      <c r="AK3">
        <f>COUNTIFS('Raw data'!$D:$D,"P'Boro Chance",'Raw data'!$Q:$Q,"*Shots from Transition*",'Raw data'!$Y:$Y,"*2nd*")</f>
        <v>5</v>
      </c>
      <c r="AL3">
        <f>COUNTIFS('Raw data'!$D:$D,"P'Boro Chance",'Raw data'!$Q:$Q,"*Shots from Set Play*",'Raw data'!$Y:$Y,"*2nd*")</f>
        <v>0</v>
      </c>
      <c r="AM3">
        <f>COUNTIFS('Raw data'!$D:$D,"P'Boro Chance",'Raw data'!$Q:$Q,"*Shots from Restart*",'Raw data'!$Y:$Y,"*2nd*")</f>
        <v>0</v>
      </c>
      <c r="AN3">
        <f>COUNTIFS('Raw data'!$D:$D,"Opp Chance",'Raw data'!$Y:$Y,"*2nd*")</f>
        <v>7</v>
      </c>
      <c r="AO3">
        <f>SUM(AP3:AR3)</f>
        <v>7</v>
      </c>
      <c r="AP3">
        <f>COUNTIFS('Raw data'!$D:$D,"Opp Chance",'Raw data'!$Q:$Q,"*On Target*",'Raw data'!$Y:$Y,"*2nd*")</f>
        <v>3</v>
      </c>
      <c r="AQ3">
        <f>COUNTIFS('Raw data'!$D:$D,"Opp Chance",'Raw data'!$Q:$Q,"*Off Target*",'Raw data'!$Y:$Y,"*2nd*")</f>
        <v>1</v>
      </c>
      <c r="AR3">
        <f>COUNTIFS('Raw data'!$D:$D,"Opp Chance",'Raw data'!$Q:$Q,"*Blocked*",'Raw data'!$Y:$Y,"*2nd*")</f>
        <v>3</v>
      </c>
      <c r="AS3" s="7">
        <f>AP3/AO3</f>
        <v>0.42857142857142855</v>
      </c>
      <c r="AT3" s="7">
        <f>AQ3/AO3</f>
        <v>0.14285714285714285</v>
      </c>
      <c r="AU3" s="7">
        <f>AR3/AO3</f>
        <v>0.42857142857142855</v>
      </c>
      <c r="AV3">
        <f>COUNTIFS('Raw data'!$D:$D,"Opp Chance",'Raw data'!$Q:$Q,"*Shots in the box*",'Raw data'!$Y:$Y,"*2nd*")</f>
        <v>3</v>
      </c>
      <c r="AW3">
        <f>COUNTIFS('Raw data'!$D:$D,"Opp Chance",'Raw data'!$Q:$Q,"*Shots from Open Play*",'Raw data'!$Y:$Y,"*2nd*")</f>
        <v>1</v>
      </c>
      <c r="AX3">
        <f>COUNTIFS('Raw data'!$D:$D,"Opp Chance",'Raw data'!$Q:$Q,"*Cross to Shots*",'Raw data'!$Y:$Y,"*2nd*")</f>
        <v>0</v>
      </c>
      <c r="AY3">
        <f>COUNTIFS('Raw data'!$D:$D,"Opp Chance",'Raw data'!$Q:$Q,"*Counterattack to Shots*",'Raw data'!$Y:$Y,"*2nd*")</f>
        <v>0</v>
      </c>
      <c r="AZ3">
        <f>COUNTIFS('Raw data'!$D:$D,"Opp Chance",'Raw data'!$Q:$Q,"*Through Pass to Shots*",'Raw data'!$Y:$Y,"*2nd*")</f>
        <v>0</v>
      </c>
      <c r="BA3">
        <f>COUNTIFS('Raw data'!$D:$D,"Opp Chance",'Raw data'!$Q:$Q,"*Shots from Transition*",'Raw data'!$Y:$Y,"*2nd*")</f>
        <v>3</v>
      </c>
      <c r="BB3">
        <f>COUNTIFS('Raw data'!$D:$D,"Opp Chance",'Raw data'!$Q:$Q,"*Shots from Set Play*",'Raw data'!$Y:$Y,"*2nd*")</f>
        <v>3</v>
      </c>
      <c r="BC3">
        <f>COUNTIFS('Raw data'!$D:$D,"Opp Chance",'Raw data'!$Q:$Q,"*Shots from Restart*",'Raw data'!$Y:$Y,"*2nd*")</f>
        <v>0</v>
      </c>
      <c r="BD3">
        <f>COUNTIFS('Raw data'!$D:$D,"Build the Attack",'Raw data'!$Y:$Y,"*2nd*")</f>
        <v>14</v>
      </c>
      <c r="BE3">
        <f>COUNTIFS('Raw data'!$D:$D,"Build the Attack",'Raw data'!$R:$R,"*+*",'Raw data'!$Y:$Y,"*2nd*")</f>
        <v>6</v>
      </c>
      <c r="BF3">
        <f>COUNTIFS('Raw data'!$D:$D,"Build the Attack",'Raw data'!$R:$R,"-",'Raw data'!$Y:$Y,"*2nd*")</f>
        <v>8</v>
      </c>
      <c r="BG3" s="7">
        <f>BE3/BD3</f>
        <v>0.42857142857142855</v>
      </c>
      <c r="BH3" s="7">
        <f>BF3/BD3</f>
        <v>0.5714285714285714</v>
      </c>
      <c r="BI3">
        <f>COUNTIFS('Raw data'!$D:$D,"Build the Attack",'Raw data'!$P:$P,"*Turnover*",'Raw data'!$Y:$Y,"*2nd*")</f>
        <v>4</v>
      </c>
      <c r="BJ3">
        <f>COUNTIFS('Raw data'!$D:$D,"Build the Attack",'Raw data'!$P:$P,"*Direct play*",'Raw data'!$Y:$Y,"*2nd*")</f>
        <v>1</v>
      </c>
      <c r="BK3">
        <f>COUNTIFS('Raw data'!$D:$D,"Build the Attack",'Raw data'!$P:$P,"*Reach Opp Half*",'Raw data'!$Y:$Y,"*2nd*")</f>
        <v>6</v>
      </c>
      <c r="BL3">
        <f>COUNTIFS('Raw data'!$D:$D,"Create the Attack",'Raw data'!$Y:$Y,"*2nd*")</f>
        <v>24</v>
      </c>
      <c r="BM3">
        <f>COUNTIFS('Raw data'!$D:$D,"Create the Attack",'Raw data'!$R:$R,"+",'Raw data'!$Y:$Y,"*2nd*")</f>
        <v>8</v>
      </c>
      <c r="BN3">
        <f>COUNTIFS('Raw data'!$D:$D,"Create the Attack",'Raw data'!$R:$R,"-",'Raw data'!$Y:$Y,"*2nd*")</f>
        <v>16</v>
      </c>
      <c r="BO3" s="7">
        <f>BM3/BL3</f>
        <v>0.33333333333333331</v>
      </c>
      <c r="BP3" s="7">
        <f>BN3/BL3</f>
        <v>0.66666666666666663</v>
      </c>
      <c r="BQ3">
        <f>COUNTIFS('Raw data'!$D:$D,"P'Boro Cross",'Raw data'!$Y:$Y,"*2nd*")</f>
        <v>6</v>
      </c>
      <c r="BR3">
        <f>COUNTIFS('Raw data'!$D:$D,"P'Boro Cross",'Raw data'!$R:$R,"+",'Raw data'!$Y:$Y,"*2nd*")</f>
        <v>3</v>
      </c>
      <c r="BS3">
        <f>COUNTIFS('Raw data'!$D:$D,"P'Boro Cross",'Raw data'!$R:$R,"-",'Raw data'!$Y:$Y,"*2nd*")</f>
        <v>3</v>
      </c>
      <c r="BT3" s="7">
        <f>BR3/BQ3</f>
        <v>0.5</v>
      </c>
      <c r="BU3" s="7">
        <f>BS3/BQ3</f>
        <v>0.5</v>
      </c>
      <c r="BV3">
        <f>COUNTIFS('Raw data'!$D:$D,"Opp Cross",'Raw data'!$Y:$Y,"*2nd*")</f>
        <v>4</v>
      </c>
      <c r="BW3">
        <f>COUNTIFS('Raw data'!$D:$D,"Opp Cross",'Raw data'!$R:$R,"+",'Raw data'!$Y:$Y,"*2nd*")</f>
        <v>1</v>
      </c>
      <c r="BX3">
        <f>COUNTIFS('Raw data'!$D:$D,"Opp Cross",'Raw data'!$R:$R,"-",'Raw data'!$Y:$Y,"*2nd*")</f>
        <v>3</v>
      </c>
      <c r="BY3" s="7">
        <f>BW3/BV3</f>
        <v>0.25</v>
      </c>
      <c r="BZ3" s="7">
        <f>BX3/BV3</f>
        <v>0.75</v>
      </c>
      <c r="CA3">
        <f>COUNTIFS('Raw data'!$D:$D,"High Block",'Raw data'!$Y:$Y,"*2nd*")</f>
        <v>4</v>
      </c>
      <c r="CB3">
        <f>COUNTIFS('Raw data'!$D:$D,"High Block",'Raw data'!$R:$R,"+",'Raw data'!$Y:$Y,"*2nd*")</f>
        <v>4</v>
      </c>
      <c r="CC3">
        <f>COUNTIFS('Raw data'!$D:$D,"High Block",'Raw data'!$R:$R,"-",'Raw data'!$Y:$Y,"*2nd*")</f>
        <v>0</v>
      </c>
      <c r="CD3" s="7">
        <f>CB3/CA3</f>
        <v>1</v>
      </c>
      <c r="CE3" s="7">
        <f>CC3/CA3</f>
        <v>0</v>
      </c>
      <c r="CF3">
        <f>COUNTIFS('Raw data'!$D:$D,"High Block",'Raw data'!$S:$S,"Regain Opp Half",'Raw data'!$Y:$Y,"*2nd*")</f>
        <v>1</v>
      </c>
      <c r="CG3">
        <f>COUNTIFS('Raw data'!$D:$D,"High Block",'Raw data'!$S:$S,"Force error",'Raw data'!$Y:$Y,"*2nd*")</f>
        <v>1</v>
      </c>
      <c r="CH3">
        <f>COUNTIFS('Raw data'!$D:$D,"High Block",'Raw data'!$P:$P,"Direct play",'Raw data'!$Y:$Y,"*2nd*")</f>
        <v>4</v>
      </c>
      <c r="CI3">
        <f>COUNTIFS('Raw data'!$D:$D,"Mid Block",'Raw data'!$Y:$Y,"*2nd*")</f>
        <v>4</v>
      </c>
      <c r="CJ3">
        <f>COUNTIFS('Raw data'!$D:$D,"Mid Block",'Raw data'!$R:$R,"+",'Raw data'!$Y:$Y,"*2nd*")</f>
        <v>4</v>
      </c>
      <c r="CK3">
        <f>COUNTIFS('Raw data'!$D:$D,"Mid Block",'Raw data'!$R:$R,"-",'Raw data'!$Y:$Y,"*2nd*")</f>
        <v>0</v>
      </c>
      <c r="CL3" s="7">
        <f>CJ3/CI3</f>
        <v>1</v>
      </c>
      <c r="CM3" s="7">
        <f>CK3/CI3</f>
        <v>0</v>
      </c>
      <c r="CN3">
        <f>COUNTIFS('Raw data'!$D:$D,"Low Block",'Raw data'!$Y:$Y,"*2nd*")</f>
        <v>1</v>
      </c>
      <c r="CO3">
        <f>COUNTIFS('Raw data'!$D:$D,"Low Block",'Raw data'!$R:$R,"+",'Raw data'!$Y:$Y,"*2nd*")</f>
        <v>1</v>
      </c>
      <c r="CP3">
        <f>COUNTIFS('Raw data'!$D:$D,"Low Block",'Raw data'!$R:$R,"-",'Raw data'!$Y:$Y,"*2nd*")</f>
        <v>0</v>
      </c>
      <c r="CQ3" s="7">
        <f>CO3/CN3</f>
        <v>1</v>
      </c>
      <c r="CR3" s="7">
        <f>CP3/CN3</f>
        <v>0</v>
      </c>
      <c r="CS3">
        <f>SUM(CU3:CW3)</f>
        <v>28</v>
      </c>
      <c r="CT3">
        <f>COUNTIFS('Raw data'!$D:$D,"Transition to Attack",'Raw data'!$U:$U,"*Transition to Att Counter*",'Raw data'!$Y:$Y,"*2nd*")</f>
        <v>3</v>
      </c>
      <c r="CU3">
        <f>COUNTIFS('Raw data'!$D:$D,"Transition to Attack",'Raw data'!$U:$U,"*Final 1/3*",'Raw data'!$Y:$Y,"*2nd*")</f>
        <v>4</v>
      </c>
      <c r="CV3">
        <f>COUNTIFS('Raw data'!$D:$D,"Transition to Attack",'Raw data'!$U:$U,"*Middle 1/3*",'Raw data'!$Y:$Y,"*2nd*")</f>
        <v>10</v>
      </c>
      <c r="CW3">
        <f>COUNTIFS('Raw data'!$D:$D,"Transition to Attack",'Raw data'!$U:$U,"*Own 1/3*",'Raw data'!$Y:$Y,"*2nd*")</f>
        <v>14</v>
      </c>
      <c r="CX3">
        <f>SUM(CZ3:DB3)</f>
        <v>26</v>
      </c>
      <c r="CY3">
        <f>COUNTIFS('Raw data'!$D:$D,"Transition to Defense",'Raw data'!$U:$U,"*Transition to def counter*",'Raw data'!$Y:$Y,"*2nd*")</f>
        <v>2</v>
      </c>
      <c r="CZ3">
        <f>COUNTIFS('Raw data'!$D:$D,"Transition to Defense",'Raw data'!$U:$U,"*Final 1/3*",'Raw data'!$Y:$Y,"*2nd*")</f>
        <v>11</v>
      </c>
      <c r="DA3">
        <f>COUNTIFS('Raw data'!$D:$D,"Transition to Defense",'Raw data'!$U:$U,"*Middle 1/3*",'Raw data'!$Y:$Y,"*2nd*")</f>
        <v>9</v>
      </c>
      <c r="DB3">
        <f>COUNTIFS('Raw data'!$D:$D,"Transition to Defense",'Raw data'!$U:$U,"*Own 1/3*",'Raw data'!$Y:$Y,"*2nd*")</f>
        <v>6</v>
      </c>
      <c r="DC3">
        <f>COUNTIFS('Raw data'!$T:$T,"P'Boro Corner",'Raw data'!$Y:$Y,"*2nd*")</f>
        <v>2</v>
      </c>
      <c r="DD3">
        <f>COUNTIFS('Raw data'!$T:$T,"Opp Corner",'Raw data'!$Y:$Y,"*2nd*")</f>
        <v>3</v>
      </c>
      <c r="DE3">
        <f>COUNTIFS('Raw data'!$T:$T,"*P'Boro Throw in*",'Raw data'!$Y:$Y,"*2nd*")</f>
        <v>11</v>
      </c>
      <c r="DF3">
        <f>COUNTIFS('Raw data'!$T:$T,"*P'Boro Throw in*",'Raw data'!$U:$U,"*Final 1/3*",'Raw data'!$Y:$Y,"*2nd*")</f>
        <v>0</v>
      </c>
      <c r="DG3">
        <f>COUNTIFS('Raw data'!$T:$T,"*P'Boro Throw in*",'Raw data'!$U:$U,"*Middle 1/3*",'Raw data'!$Y:$Y,"*2nd*")</f>
        <v>5</v>
      </c>
      <c r="DH3">
        <f>COUNTIFS('Raw data'!$T:$T,"*P'Boro Throw in*",'Raw data'!$U:$U,"*Own 1/3*",'Raw data'!$Y:$Y,"*2nd*")</f>
        <v>4</v>
      </c>
      <c r="DI3">
        <f>COUNTIFS('Raw data'!$T:$T,"*Opp Throw in*",'Raw data'!$Y:$Y,"*2nd*")</f>
        <v>4</v>
      </c>
      <c r="DJ3">
        <f>COUNTIFS('Raw data'!$T:$T,"*Opp Throw in*",'Raw data'!$U:$U,"*Own 1/3*",'Raw data'!$Y:$Y,"*2nd*")</f>
        <v>1</v>
      </c>
      <c r="DK3">
        <f>COUNTIFS('Raw data'!$T:$T,"*Opp Throw in*",'Raw data'!$U:$U,"*Middle 1/3*",'Raw data'!$Y:$Y,"*2nd*")</f>
        <v>0</v>
      </c>
      <c r="DL3">
        <f>COUNTIFS('Raw data'!$T:$T,"*Opp Throw in*",'Raw data'!$U:$U,"*Own 1/3*",'Raw data'!$Y:$Y,"*2nd*")</f>
        <v>1</v>
      </c>
      <c r="DM3">
        <f>COUNTIFS('Raw data'!$T:$T,"P'Boro Free Kick",'Raw data'!$Y:$Y,"*2nd*")</f>
        <v>7</v>
      </c>
      <c r="DN3">
        <f>COUNTIFS('Raw data'!$T:$T,"P'Boro Free kick",'Raw data'!$U:$U,"Final 1/3",'Raw data'!$Y:$Y,"*2nd*")</f>
        <v>0</v>
      </c>
      <c r="DO3">
        <f>COUNTIFS('Raw data'!$T:$T,"Opp Free Kick",'Raw data'!$Y:$Y,"*2nd*")</f>
        <v>4</v>
      </c>
      <c r="DP3">
        <f>COUNTIFS('Raw data'!$T:$T,"Opp Free kick",'Raw data'!$U:$U,"Final 1/3",'Raw data'!$Y:$Y,"*2nd*")</f>
        <v>0</v>
      </c>
      <c r="DQ3">
        <f>COUNTIFS('Raw data'!$T:$T,"P'Boro Goal Kick",'Raw data'!$Y:$Y,"*2nd*")</f>
        <v>1</v>
      </c>
      <c r="DR3">
        <f>COUNTIFS('Raw data'!$T:$T,"Opp Goal Kick",'Raw data'!$Y:$Y,"*2nd*")</f>
        <v>5</v>
      </c>
      <c r="DS3">
        <f>SUM(DT3,DF3,CU3)</f>
        <v>21</v>
      </c>
      <c r="DT3">
        <f>COUNTIFS('Raw data'!$D:$D,"P'Boro 1/3 Entry",'Raw data'!$Y:$Y,"*2nd*")</f>
        <v>17</v>
      </c>
      <c r="DU3">
        <f>SUM(DJ3,DV3,DB3)</f>
        <v>16</v>
      </c>
      <c r="DV3">
        <f>COUNTIFS('Raw data'!$D:$D,"Opp 1/3 Entry",'Raw data'!$Y:$Y,"*2nd*")</f>
        <v>9</v>
      </c>
      <c r="DW3">
        <f>SUM(DS3,DU3)</f>
        <v>37</v>
      </c>
      <c r="DX3">
        <f>COUNTIFS('Raw data'!$D:$D,"P'Boro Touches in Box",'Raw data'!$Y:$Y,"*2nd*")</f>
        <v>10</v>
      </c>
      <c r="DY3">
        <f>COUNTIFS('Raw data'!$D:$D,"Opp Touches in Box",'Raw data'!$Y:$Y,"*2nd*")</f>
        <v>7</v>
      </c>
      <c r="DZ3">
        <f>SUM(DX3:DY3)</f>
        <v>17</v>
      </c>
      <c r="EA3">
        <f>SUM(EA27:EA38)</f>
        <v>240</v>
      </c>
      <c r="EB3" s="8">
        <f>SUM(EB27:EB38)</f>
        <v>200</v>
      </c>
      <c r="EC3" s="8">
        <f>SUM(EC27:EC38)</f>
        <v>40</v>
      </c>
      <c r="ED3" s="54">
        <f>IFERROR(EB3/EA3,"-")</f>
        <v>0.83333333333333337</v>
      </c>
      <c r="EE3" s="54">
        <f>IFERROR(EC3/EA3,"-")</f>
        <v>0.16666666666666666</v>
      </c>
      <c r="EF3">
        <f>SUM(EF27:EF38)</f>
        <v>100</v>
      </c>
      <c r="EG3">
        <f>SUM(EG27:EG38)</f>
        <v>71</v>
      </c>
      <c r="EH3">
        <f>SUM(EH27:EH38)</f>
        <v>29</v>
      </c>
      <c r="EI3" s="54">
        <f>IFERROR(EG3/EF3,"-")</f>
        <v>0.71</v>
      </c>
      <c r="EJ3" s="54">
        <f>IFERROR(EH3/EF3,"-")</f>
        <v>0.28999999999999998</v>
      </c>
      <c r="EK3" s="8">
        <f>SUM(EK27:EK38)</f>
        <v>69</v>
      </c>
      <c r="EL3" s="8">
        <f>SUM(EL27:EL38)</f>
        <v>61</v>
      </c>
      <c r="EM3" s="8">
        <f>SUM(EM27:EM38)</f>
        <v>8</v>
      </c>
      <c r="EN3" s="54">
        <f>IFERROR(EL3/EK3,"-")</f>
        <v>0.88405797101449279</v>
      </c>
      <c r="EO3" s="54">
        <f>IFERROR(EM3/EK3,"-")</f>
        <v>0.11594202898550725</v>
      </c>
      <c r="EP3" s="8">
        <f>SUM(EP27:EP38)</f>
        <v>71</v>
      </c>
      <c r="EQ3" s="8">
        <f>SUM(EQ27:EQ38)</f>
        <v>68</v>
      </c>
      <c r="ER3" s="8">
        <f>SUM(ER27:ER38)</f>
        <v>3</v>
      </c>
      <c r="ES3" s="54">
        <f>IFERROR(EQ3/EP3,"-")</f>
        <v>0.95774647887323938</v>
      </c>
      <c r="ET3" s="54">
        <f>IFERROR(ER3/EP3,"-")</f>
        <v>4.2253521126760563E-2</v>
      </c>
      <c r="EU3" s="8">
        <f>SUM(EU27:EU38)</f>
        <v>22</v>
      </c>
      <c r="EV3" s="8">
        <f>SUM(EV27:EV38)</f>
        <v>14</v>
      </c>
      <c r="EW3" s="8">
        <f>SUM(EW27:EW38)</f>
        <v>13</v>
      </c>
      <c r="EX3" s="54">
        <f>IFERROR(EV3/EU3,"-")</f>
        <v>0.63636363636363635</v>
      </c>
      <c r="EY3" s="54">
        <f>IFERROR(EW3/EU3,"-")</f>
        <v>0.59090909090909094</v>
      </c>
      <c r="EZ3" s="8">
        <f>SUM(EZ27:EZ38)</f>
        <v>15</v>
      </c>
      <c r="FA3" s="8">
        <f>SUM(FA27:FA38)</f>
        <v>13</v>
      </c>
      <c r="FB3" s="8">
        <f>SUM(FB27:FB38)</f>
        <v>5</v>
      </c>
      <c r="FC3" s="54">
        <f>IFERROR(FA3/EZ3,"-")</f>
        <v>0.8666666666666667</v>
      </c>
      <c r="FD3" s="54">
        <f>IFERROR(FB3/EZ3,"-")</f>
        <v>0.33333333333333331</v>
      </c>
      <c r="FE3" s="8">
        <f>SUM(FE27:FE38)</f>
        <v>8</v>
      </c>
      <c r="FF3" s="8">
        <f>SUM(FF27:FF38)</f>
        <v>0</v>
      </c>
      <c r="FG3" s="8">
        <f>SUM(FG27:FG38)</f>
        <v>0</v>
      </c>
      <c r="FH3" s="8">
        <f>SUM(FH27:FH38)</f>
        <v>0</v>
      </c>
      <c r="FI3" s="54" t="str">
        <f>IFERROR(FG3/FF3,"-")</f>
        <v>-</v>
      </c>
      <c r="FJ3" s="54" t="str">
        <f>IFERROR(FH3/FF3,"-")</f>
        <v>-</v>
      </c>
      <c r="FK3" s="8">
        <f t="shared" ref="FK3:FV3" si="4">SUM(FK27:FK38)</f>
        <v>186</v>
      </c>
      <c r="FL3" s="8">
        <f t="shared" si="4"/>
        <v>142</v>
      </c>
      <c r="FM3" s="8">
        <f t="shared" si="4"/>
        <v>29</v>
      </c>
      <c r="FN3" s="8">
        <f t="shared" si="4"/>
        <v>15</v>
      </c>
      <c r="FO3" s="8">
        <f t="shared" si="4"/>
        <v>21</v>
      </c>
      <c r="FP3" s="8">
        <f t="shared" si="4"/>
        <v>7</v>
      </c>
      <c r="FQ3" s="8">
        <f t="shared" si="4"/>
        <v>6</v>
      </c>
      <c r="FR3" s="8">
        <f t="shared" si="4"/>
        <v>8</v>
      </c>
      <c r="FS3" s="8">
        <f t="shared" si="4"/>
        <v>9</v>
      </c>
      <c r="FT3" s="8">
        <f t="shared" si="4"/>
        <v>19</v>
      </c>
      <c r="FU3" s="8">
        <f t="shared" si="4"/>
        <v>14</v>
      </c>
      <c r="FV3" s="8">
        <f t="shared" si="4"/>
        <v>5</v>
      </c>
      <c r="FW3" s="54">
        <f>IFERROR(FU3/FT3,"-")</f>
        <v>0.73684210526315785</v>
      </c>
      <c r="FX3" s="54">
        <f>IFERROR(FV3/FT3,"-")</f>
        <v>0.26315789473684209</v>
      </c>
      <c r="FY3" s="8">
        <f>SUM(FY27:FY38)</f>
        <v>8</v>
      </c>
      <c r="FZ3" s="8">
        <f>SUM(FZ27:FZ38)</f>
        <v>4</v>
      </c>
      <c r="GA3" s="8">
        <f>SUM(GA27:GA38)</f>
        <v>4</v>
      </c>
      <c r="GB3" s="54">
        <f>IFERROR(FZ3/FY3,"-")</f>
        <v>0.5</v>
      </c>
      <c r="GC3" s="54">
        <f>IFERROR(GA3/FY3,"-")</f>
        <v>0.5</v>
      </c>
      <c r="GD3" s="8">
        <f t="shared" ref="GD3:GL3" si="5">SUM(GD27:GD38)</f>
        <v>8</v>
      </c>
      <c r="GE3" s="8">
        <f t="shared" si="5"/>
        <v>4</v>
      </c>
      <c r="GF3" s="8">
        <f t="shared" si="5"/>
        <v>2</v>
      </c>
      <c r="GG3" s="8">
        <f t="shared" si="5"/>
        <v>2</v>
      </c>
      <c r="GH3" s="8">
        <f t="shared" si="5"/>
        <v>3</v>
      </c>
      <c r="GI3" s="8">
        <f t="shared" si="5"/>
        <v>3</v>
      </c>
      <c r="GJ3" s="8">
        <f t="shared" si="5"/>
        <v>12</v>
      </c>
      <c r="GK3" s="8">
        <f t="shared" si="5"/>
        <v>10</v>
      </c>
      <c r="GL3" s="8">
        <f t="shared" si="5"/>
        <v>2</v>
      </c>
      <c r="GM3" s="54">
        <f>IFERROR(GK3/GJ3,"-")</f>
        <v>0.83333333333333337</v>
      </c>
      <c r="GN3" s="54">
        <f>IFERROR(GL3/GJ3,"-")</f>
        <v>0.16666666666666666</v>
      </c>
      <c r="GO3" s="8">
        <f t="shared" ref="GO3:GX3" si="6">SUM(GO27:GO38)</f>
        <v>12</v>
      </c>
      <c r="GP3" s="8">
        <f t="shared" si="6"/>
        <v>18</v>
      </c>
      <c r="GQ3" s="8">
        <f t="shared" si="6"/>
        <v>32</v>
      </c>
      <c r="GR3" s="8">
        <f t="shared" si="6"/>
        <v>2</v>
      </c>
      <c r="GS3" s="8">
        <f t="shared" si="6"/>
        <v>1</v>
      </c>
      <c r="GT3" s="8">
        <f t="shared" si="6"/>
        <v>8</v>
      </c>
      <c r="GU3" s="8">
        <f t="shared" si="6"/>
        <v>0</v>
      </c>
      <c r="GV3" s="8">
        <f t="shared" si="6"/>
        <v>26</v>
      </c>
      <c r="GW3" s="8">
        <f t="shared" si="6"/>
        <v>15</v>
      </c>
      <c r="GX3" s="8">
        <f t="shared" si="6"/>
        <v>11</v>
      </c>
      <c r="GY3" s="54">
        <f>IFERROR(GW3/GV3,"-")</f>
        <v>0.57692307692307687</v>
      </c>
      <c r="GZ3" s="54">
        <f>IFERROR(GX3/GV3,"-")</f>
        <v>0.42307692307692307</v>
      </c>
      <c r="HA3" s="8">
        <f>SUM(HA27:HA38)</f>
        <v>8</v>
      </c>
      <c r="HB3" s="8">
        <f>SUM(HB27:HB38)</f>
        <v>3</v>
      </c>
      <c r="HC3" s="8">
        <f>SUM(HC27:HC38)</f>
        <v>5</v>
      </c>
      <c r="HD3" s="54">
        <f>IFERROR(HB3/HA3,"-")</f>
        <v>0.375</v>
      </c>
      <c r="HE3" s="54">
        <f>IFERROR(HC3/HA3,"-")</f>
        <v>0.625</v>
      </c>
      <c r="HF3" s="8">
        <f>SUM(HF27:HF38)</f>
        <v>6</v>
      </c>
      <c r="HG3" s="8">
        <f>SUM(HG27:HG38)</f>
        <v>2</v>
      </c>
      <c r="HH3" s="8">
        <f>SUM(HH27:HH38)</f>
        <v>4</v>
      </c>
      <c r="HI3" s="54">
        <f>IFERROR(HG3/HF3,"-")</f>
        <v>0.33333333333333331</v>
      </c>
      <c r="HJ3" s="54">
        <f>IFERROR(HH3/HF3,"-")</f>
        <v>0.66666666666666663</v>
      </c>
      <c r="HK3" s="8">
        <f>SUM(HK27:HK38)</f>
        <v>5</v>
      </c>
      <c r="HL3" s="8">
        <f>SUM(HL27:HL38)</f>
        <v>1</v>
      </c>
      <c r="HM3" s="8">
        <f>SUM(HM27:HM38)</f>
        <v>4</v>
      </c>
      <c r="HN3" s="54">
        <f>IFERROR(HL3/HK3,"-")</f>
        <v>0.2</v>
      </c>
      <c r="HO3" s="54">
        <f>IFERROR(HM3/HK3,"-")</f>
        <v>0.8</v>
      </c>
      <c r="HP3" s="8">
        <f>SUM(HP27:HP38)</f>
        <v>6</v>
      </c>
      <c r="HQ3" s="8">
        <f>SUM(HQ27:HQ38)</f>
        <v>2</v>
      </c>
      <c r="HR3" s="8">
        <f>SUM(HR27:HR38)</f>
        <v>4</v>
      </c>
      <c r="HS3" s="54">
        <f>IFERROR(HQ3/HP3,"-")</f>
        <v>0.33333333333333331</v>
      </c>
      <c r="HT3" s="54">
        <f>IFERROR(HR3/HP3,"-")</f>
        <v>0.66666666666666663</v>
      </c>
      <c r="HU3" s="8">
        <f>SUM(HU27:HU38)</f>
        <v>6</v>
      </c>
      <c r="HV3" s="8">
        <f>SUM(HV27:HV38)</f>
        <v>4</v>
      </c>
      <c r="HW3" s="8">
        <f>SUM(HW27:HW38)</f>
        <v>2</v>
      </c>
      <c r="HX3" s="54">
        <f>IFERROR(HV3/HU3,"-")</f>
        <v>0.66666666666666663</v>
      </c>
      <c r="HY3" s="54">
        <f>IFERROR(HW3/HU3,"-")</f>
        <v>0.33333333333333331</v>
      </c>
      <c r="HZ3" s="8">
        <f t="shared" ref="HZ3:IO3" si="7">SUM(HZ27:HZ38)</f>
        <v>8</v>
      </c>
      <c r="IA3" s="8">
        <f t="shared" si="7"/>
        <v>9</v>
      </c>
      <c r="IB3" s="8">
        <f t="shared" si="7"/>
        <v>12</v>
      </c>
      <c r="IC3" s="8">
        <f t="shared" si="7"/>
        <v>4</v>
      </c>
      <c r="ID3" s="8">
        <f t="shared" si="7"/>
        <v>0</v>
      </c>
      <c r="IE3" s="8">
        <f t="shared" si="7"/>
        <v>0</v>
      </c>
      <c r="IF3" s="8">
        <f t="shared" si="7"/>
        <v>7</v>
      </c>
      <c r="IG3" s="8">
        <f t="shared" si="7"/>
        <v>5</v>
      </c>
      <c r="IH3" s="8">
        <f t="shared" si="7"/>
        <v>0</v>
      </c>
      <c r="II3" s="8">
        <f t="shared" si="7"/>
        <v>3</v>
      </c>
      <c r="IJ3" s="8">
        <f t="shared" si="7"/>
        <v>1</v>
      </c>
      <c r="IK3" s="8">
        <f t="shared" si="7"/>
        <v>3</v>
      </c>
      <c r="IL3" s="8">
        <f t="shared" si="7"/>
        <v>1</v>
      </c>
      <c r="IM3" s="8">
        <f t="shared" si="7"/>
        <v>0</v>
      </c>
      <c r="IN3" s="8">
        <f t="shared" si="7"/>
        <v>0</v>
      </c>
      <c r="IO3" s="8">
        <f t="shared" si="7"/>
        <v>0</v>
      </c>
    </row>
    <row r="4" spans="1:250">
      <c r="B4" s="8"/>
      <c r="E4" t="s">
        <v>670</v>
      </c>
      <c r="F4" t="s">
        <v>776</v>
      </c>
      <c r="G4" t="s">
        <v>197</v>
      </c>
      <c r="H4" t="s">
        <v>669</v>
      </c>
      <c r="I4" s="28" t="s">
        <v>655</v>
      </c>
      <c r="J4" t="s">
        <v>501</v>
      </c>
      <c r="K4" t="s">
        <v>501</v>
      </c>
      <c r="L4" t="str" cm="1">
        <f t="array" ref="L4">_xlfn.IFS(M4&lt;N4,"L",M4=N4,"D",M4&gt;N4,"W")</f>
        <v>W</v>
      </c>
      <c r="M4">
        <f>COUNTIF('Raw data'!$D:$D,"P'Boro Goal")</f>
        <v>6</v>
      </c>
      <c r="N4">
        <f>COUNTIF('Raw data'!$D:$D,"Opp Goal")</f>
        <v>1</v>
      </c>
      <c r="O4" s="8">
        <f>P4+Q4</f>
        <v>82.854815845344049</v>
      </c>
      <c r="P4" s="8">
        <f>SUMIF('Raw data'!$D:$D,"Ball in Play",'Raw data'!$C:$C)/60</f>
        <v>49.56393127721514</v>
      </c>
      <c r="Q4" s="8">
        <f>SUMIF('Raw data'!$D:$D,"Out of Play",'Raw data'!$C:$C)/60</f>
        <v>33.290884568128909</v>
      </c>
      <c r="R4" s="7">
        <f>P4/O4</f>
        <v>0.59820217776756235</v>
      </c>
      <c r="S4" s="7">
        <f>Q4/O4</f>
        <v>0.40179782223243771</v>
      </c>
      <c r="T4" s="8">
        <f>(SUMIF('Raw data'!$D:$D,"In Possession",'Raw data'!$C:$C)-(3*(COUNTIF('Raw data'!$D:$D,"In Possession"))))/60</f>
        <v>31.769858758506249</v>
      </c>
      <c r="U4" s="8">
        <f>(SUMIF('Raw data'!$D:$D,"Out of Possession",'Raw data'!$C:$C)-(3*(COUNTIF('Raw data'!$D:$D,"Out of Possession"))))/60</f>
        <v>17.79407251870887</v>
      </c>
      <c r="V4" s="11">
        <f>T4/(T4+U4)</f>
        <v>0.64098746689028419</v>
      </c>
      <c r="W4" s="11">
        <f>U4/(T4+U4)</f>
        <v>0.35901253310971576</v>
      </c>
      <c r="X4">
        <f>COUNTIF('Raw data'!$D:$D,"P'Boro Chance")</f>
        <v>23</v>
      </c>
      <c r="Y4">
        <f>SUM(Z4:AB4)</f>
        <v>23</v>
      </c>
      <c r="Z4">
        <f>COUNTIFS('Raw data'!$D:$D,"P'Boro Chance",'Raw data'!$Q:$Q,"*On Target*")</f>
        <v>13</v>
      </c>
      <c r="AA4">
        <f>COUNTIFS('Raw data'!$D:$D,"P'Boro Chance",'Raw data'!$Q:$Q,"*Off Target*")</f>
        <v>6</v>
      </c>
      <c r="AB4">
        <f>COUNTIFS('Raw data'!$D:$D,"P'Boro Chance",'Raw data'!$Q:$Q,"*Blocked*")</f>
        <v>4</v>
      </c>
      <c r="AC4" s="7">
        <f>Z4/Y4</f>
        <v>0.56521739130434778</v>
      </c>
      <c r="AD4" s="7">
        <f>AA4/Y4</f>
        <v>0.2608695652173913</v>
      </c>
      <c r="AE4" s="7">
        <f>AB4/Y4</f>
        <v>0.17391304347826086</v>
      </c>
      <c r="AF4">
        <f>COUNTIFS('Raw data'!$D:$D,"P'Boro Chance",'Raw data'!$Q:$Q,"*Shots in the box*")</f>
        <v>18</v>
      </c>
      <c r="AG4">
        <f>COUNTIFS('Raw data'!$D:$D,"P'Boro Chance",'Raw data'!$Q:$Q,"*Shots from Open Play*")</f>
        <v>8</v>
      </c>
      <c r="AH4">
        <f>COUNTIFS('Raw data'!$D:$D,"P'Boro Chance",'Raw data'!$Q:$Q,"*Cross to Shots*")</f>
        <v>5</v>
      </c>
      <c r="AI4">
        <f>COUNTIFS('Raw data'!$D:$D,"P'Boro Chance",'Raw data'!$Q:$Q,"*Counterattack to Shots*")</f>
        <v>2</v>
      </c>
      <c r="AJ4">
        <f>COUNTIFS('Raw data'!$D:$D,"P'Boro Chance",'Raw data'!$Q:$Q,"*Through Pass to Shots*")</f>
        <v>9</v>
      </c>
      <c r="AK4">
        <f>COUNTIFS('Raw data'!$D:$D,"P'Boro Chance",'Raw data'!$Q:$Q,"*Shots from Transition*")</f>
        <v>12</v>
      </c>
      <c r="AL4">
        <f>COUNTIFS('Raw data'!$D:$D,"P'Boro Chance",'Raw data'!$Q:$Q,"*Shots from Set Play*")</f>
        <v>3</v>
      </c>
      <c r="AM4">
        <f>COUNTIFS('Raw data'!$D:$D,"P'Boro Chance",'Raw data'!$Q:$Q,"*Shots from Restart*")</f>
        <v>0</v>
      </c>
      <c r="AN4">
        <f>COUNTIF('Raw data'!$D:$D,"Opp Chance")</f>
        <v>7</v>
      </c>
      <c r="AO4">
        <f>SUM(AP4:AR4)</f>
        <v>7</v>
      </c>
      <c r="AP4">
        <f>COUNTIFS('Raw data'!$D:$D,"Opp Chance",'Raw data'!$Q:$Q,"*On Target*")</f>
        <v>3</v>
      </c>
      <c r="AQ4">
        <f>COUNTIFS('Raw data'!$D:$D,"Opp Chance",'Raw data'!$Q:$Q,"*Off Target*")</f>
        <v>1</v>
      </c>
      <c r="AR4">
        <f>COUNTIFS('Raw data'!$D:$D,"Opp Chance",'Raw data'!$Q:$Q,"*Blocked*")</f>
        <v>3</v>
      </c>
      <c r="AS4" s="7">
        <f>AP4/AO4</f>
        <v>0.42857142857142855</v>
      </c>
      <c r="AT4" s="7">
        <f>AQ4/AO4</f>
        <v>0.14285714285714285</v>
      </c>
      <c r="AU4" s="7">
        <f>AR4/AO4</f>
        <v>0.42857142857142855</v>
      </c>
      <c r="AV4">
        <f>COUNTIFS('Raw data'!$D:$D,"Opp Chance",'Raw data'!$Q:$Q,"*Shots in the box*")</f>
        <v>3</v>
      </c>
      <c r="AW4">
        <f>COUNTIFS('Raw data'!$D:$D,"Opp Chance",'Raw data'!$Q:$Q,"*Shots from Open Play*")</f>
        <v>1</v>
      </c>
      <c r="AX4">
        <f>COUNTIFS('Raw data'!$D:$D,"Opp Chance",'Raw data'!$Q:$Q,"*Cross to Shots*")</f>
        <v>0</v>
      </c>
      <c r="AY4">
        <f>COUNTIFS('Raw data'!$D:$D,"Opp Chance",'Raw data'!$Q:$Q,"*Counterattack to Shots*")</f>
        <v>0</v>
      </c>
      <c r="AZ4">
        <f>COUNTIFS('Raw data'!$D:$D,"Opp Chance",'Raw data'!$Q:$Q,"*Through Pass to Shots*")</f>
        <v>0</v>
      </c>
      <c r="BA4">
        <f>COUNTIFS('Raw data'!$D:$D,"Opp Chance",'Raw data'!$Q:$Q,"*Shots from Transition*")</f>
        <v>3</v>
      </c>
      <c r="BB4">
        <f>COUNTIFS('Raw data'!$D:$D,"Opp Chance",'Raw data'!$Q:$Q,"*Shots from Set Play*")</f>
        <v>3</v>
      </c>
      <c r="BC4">
        <f>COUNTIFS('Raw data'!$D:$D,"Opp Chance",'Raw data'!$Q:$Q,"*Shots from Restart*")</f>
        <v>0</v>
      </c>
      <c r="BD4">
        <f>COUNTIF('Raw data'!$D:$D,"Build the Attack")</f>
        <v>17</v>
      </c>
      <c r="BE4">
        <f>COUNTIFS('Raw data'!$D:$D,"Build the Attack",'Raw data'!$R:$R,"*+*")</f>
        <v>9</v>
      </c>
      <c r="BF4">
        <f>COUNTIFS('Raw data'!$D:$D,"Build the Attack",'Raw data'!$R:$R,"-")</f>
        <v>8</v>
      </c>
      <c r="BG4" s="7">
        <f>BE4/BD4</f>
        <v>0.52941176470588236</v>
      </c>
      <c r="BH4" s="7">
        <f>BF4/BD4</f>
        <v>0.47058823529411764</v>
      </c>
      <c r="BI4">
        <f>COUNTIFS('Raw data'!$D:$D,"Build the Attack",'Raw data'!$P:$P,"*Turnover*")</f>
        <v>4</v>
      </c>
      <c r="BJ4">
        <f>COUNTIFS('Raw data'!$D:$D,"Build the Attack",'Raw data'!$P:$P,"*Direct play*")</f>
        <v>3</v>
      </c>
      <c r="BK4">
        <f>COUNTIFS('Raw data'!$D:$D,"Build the Attack",'Raw data'!$P:$P,"*Reach Opp Half*")</f>
        <v>8</v>
      </c>
      <c r="BL4">
        <f>COUNTIF('Raw data'!$D:$D,"Create the Attack")</f>
        <v>47</v>
      </c>
      <c r="BM4">
        <f>COUNTIFS('Raw data'!$D:$D,"Create the Attack",'Raw data'!$R:$R,"+")</f>
        <v>14</v>
      </c>
      <c r="BN4">
        <f>COUNTIFS('Raw data'!$D:$D,"Create the Attack",'Raw data'!$R:$R,"-")</f>
        <v>33</v>
      </c>
      <c r="BO4" s="7">
        <f>BM4/BL4</f>
        <v>0.2978723404255319</v>
      </c>
      <c r="BP4" s="7">
        <f>BN4/BL4</f>
        <v>0.7021276595744681</v>
      </c>
      <c r="BQ4">
        <f>COUNTIF('Raw data'!$D:$D,"P'Boro Cross")</f>
        <v>13</v>
      </c>
      <c r="BR4">
        <f>COUNTIFS('Raw data'!$D:$D,"P'Boro Cross",'Raw data'!$R:$R,"+")</f>
        <v>6</v>
      </c>
      <c r="BS4">
        <f>COUNTIFS('Raw data'!$D:$D,"P'Boro Cross",'Raw data'!$R:$R,"-")</f>
        <v>7</v>
      </c>
      <c r="BT4" s="7">
        <f>BR4/BQ4</f>
        <v>0.46153846153846156</v>
      </c>
      <c r="BU4" s="7">
        <f>BS4/BQ4</f>
        <v>0.53846153846153844</v>
      </c>
      <c r="BV4">
        <f>COUNTIF('Raw data'!$D:$D,"Opp Cross")</f>
        <v>4</v>
      </c>
      <c r="BW4">
        <f>COUNTIFS('Raw data'!$D:$D,"Opp Cross",'Raw data'!$R:$R,"+")</f>
        <v>1</v>
      </c>
      <c r="BX4">
        <f>COUNTIFS('Raw data'!$D:$D,"Opp Cross",'Raw data'!$R:$R,"-")</f>
        <v>3</v>
      </c>
      <c r="BY4" s="7">
        <f>BW4/BV4</f>
        <v>0.25</v>
      </c>
      <c r="BZ4" s="7">
        <f>BX4/BV4</f>
        <v>0.75</v>
      </c>
      <c r="CA4">
        <f>COUNTIF('Raw data'!$D:$D,"High Block")</f>
        <v>23</v>
      </c>
      <c r="CB4">
        <f>COUNTIFS('Raw data'!$D:$D,"High Block",'Raw data'!$R:$R,"+")</f>
        <v>21</v>
      </c>
      <c r="CC4">
        <f>COUNTIFS('Raw data'!$D:$D,"High Block",'Raw data'!$R:$R,"-")</f>
        <v>2</v>
      </c>
      <c r="CD4" s="7">
        <f>CB4/CA4</f>
        <v>0.91304347826086951</v>
      </c>
      <c r="CE4" s="7">
        <f>CC4/CA4</f>
        <v>8.6956521739130432E-2</v>
      </c>
      <c r="CF4">
        <f>COUNTIFS('Raw data'!$D:$D,"High Block",'Raw data'!$S:$S,"Regain Opp Half")</f>
        <v>11</v>
      </c>
      <c r="CG4">
        <f>COUNTIFS('Raw data'!$D:$D,"High Block",'Raw data'!$S:$S,"Force error")</f>
        <v>8</v>
      </c>
      <c r="CH4">
        <f>COUNTIFS('Raw data'!$D:$D,"High Block",'Raw data'!$P:$P,"Direct play")</f>
        <v>4</v>
      </c>
      <c r="CI4">
        <f>COUNTIF('Raw data'!$D:$D,"Mid Block")</f>
        <v>9</v>
      </c>
      <c r="CJ4">
        <f>COUNTIFS('Raw data'!$D:$D,"Mid Block",'Raw data'!$R:$R,"+")</f>
        <v>9</v>
      </c>
      <c r="CK4">
        <f>COUNTIFS('Raw data'!$D:$D,"Mid Block",'Raw data'!$R:$R,"-")</f>
        <v>0</v>
      </c>
      <c r="CL4" s="7">
        <f>CJ4/CI4</f>
        <v>1</v>
      </c>
      <c r="CM4" s="7">
        <f>CK4/CI4</f>
        <v>0</v>
      </c>
      <c r="CN4">
        <f>COUNTIF('Raw data'!$D:$D,"Low Block")</f>
        <v>2</v>
      </c>
      <c r="CO4">
        <f>COUNTIFS('Raw data'!$D:$D,"Low Block",'Raw data'!$R:$R,"+")</f>
        <v>2</v>
      </c>
      <c r="CP4">
        <f>COUNTIFS('Raw data'!$D:$D,"Low Block",'Raw data'!$R:$R,"-")</f>
        <v>0</v>
      </c>
      <c r="CQ4" s="7">
        <f>CO4/CN4</f>
        <v>1</v>
      </c>
      <c r="CR4" s="7">
        <f>CP4/CN4</f>
        <v>0</v>
      </c>
      <c r="CS4">
        <f>SUM(CU4:CW4)</f>
        <v>66</v>
      </c>
      <c r="CT4">
        <f>COUNTIFS('Raw data'!$D:$D,"Transition to Attack",'Raw data'!$U:$U,"*Transition to Att Counter*")</f>
        <v>6</v>
      </c>
      <c r="CU4">
        <f>COUNTIFS('Raw data'!$D:$D,"Transition to Attack",'Raw data'!$U:$U,"*Final 1/3*")</f>
        <v>22</v>
      </c>
      <c r="CV4">
        <f>COUNTIFS('Raw data'!$D:$D,"Transition to Attack",'Raw data'!$U:$U,"*Middle 1/3*")</f>
        <v>19</v>
      </c>
      <c r="CW4">
        <f>COUNTIFS('Raw data'!$D:$D,"Transition to Attack",'Raw data'!$U:$U,"*Own 1/3*")</f>
        <v>25</v>
      </c>
      <c r="CX4">
        <f>SUM(CZ4:DB4)</f>
        <v>49</v>
      </c>
      <c r="CY4">
        <f>COUNTIFS('Raw data'!$D:$D,"Transition to Defense",'Raw data'!$U:$U,"*Transition to def counter*")</f>
        <v>3</v>
      </c>
      <c r="CZ4">
        <f>COUNTIFS('Raw data'!$D:$D,"Transition to Defense",'Raw data'!$U:$U,"*Final 1/3*")</f>
        <v>31</v>
      </c>
      <c r="DA4">
        <f>COUNTIFS('Raw data'!$D:$D,"Transition to Defense",'Raw data'!$U:$U,"*Middle 1/3*")</f>
        <v>12</v>
      </c>
      <c r="DB4">
        <f>COUNTIFS('Raw data'!$D:$D,"Transition to Defense",'Raw data'!$U:$U,"*Own 1/3*")</f>
        <v>6</v>
      </c>
      <c r="DC4">
        <f>COUNTIF('Raw data'!$T:$T,"P'Boro Corner")</f>
        <v>6</v>
      </c>
      <c r="DD4">
        <f>COUNTIF('Raw data'!$T:$T,"Opp Corner")</f>
        <v>4</v>
      </c>
      <c r="DE4">
        <f>COUNTIF('Raw data'!$T:$T,"*P'Boro Throw in*")</f>
        <v>21</v>
      </c>
      <c r="DF4">
        <f>COUNTIFS('Raw data'!$T:$T,"*P'Boro Throw in*",'Raw data'!$U:$U,"*Final 1/3*")</f>
        <v>1</v>
      </c>
      <c r="DG4">
        <f>COUNTIFS('Raw data'!$T:$T,"*P'Boro Throw in*",'Raw data'!$U:$U,"*Middle 1/3*")</f>
        <v>10</v>
      </c>
      <c r="DH4">
        <f>COUNTIFS('Raw data'!$T:$T,"*P'Boro Throw in*",'Raw data'!$U:$U,"*Own 1/3*")</f>
        <v>7</v>
      </c>
      <c r="DI4">
        <f>COUNTIF('Raw data'!$T:$T,"*Opp Throw in*")</f>
        <v>22</v>
      </c>
      <c r="DJ4">
        <f>COUNTIFS('Raw data'!$T:$T,"*Opp Throw in*",'Raw data'!$U:$U,"*Own 1/3*")</f>
        <v>3</v>
      </c>
      <c r="DK4">
        <f>COUNTIFS('Raw data'!$T:$T,"*Opp Throw in*",'Raw data'!$U:$U,"*Middle 1/3*")</f>
        <v>7</v>
      </c>
      <c r="DL4">
        <f>COUNTIFS('Raw data'!$T:$T,"*Opp Throw in*",'Raw data'!$U:$U,"*Own 1/3*")</f>
        <v>3</v>
      </c>
      <c r="DM4">
        <f>COUNTIF('Raw data'!$T:$T,"P'Boro Free Kick")</f>
        <v>9</v>
      </c>
      <c r="DN4">
        <f>COUNTIFS('Raw data'!$T:$T,"P'Boro Free kick",'Raw data'!$U:$U,"Final 1/3")</f>
        <v>0</v>
      </c>
      <c r="DO4">
        <f>COUNTIF('Raw data'!$T:$T,"Opp Free Kick")</f>
        <v>10</v>
      </c>
      <c r="DP4">
        <f>COUNTIFS('Raw data'!$T:$T,"Opp Free kick",'Raw data'!$U:$U,"Final 1/3")</f>
        <v>0</v>
      </c>
      <c r="DQ4">
        <f>COUNTIFS('Raw data'!$T:$T,"P'Boro Goal Kick")</f>
        <v>2</v>
      </c>
      <c r="DR4">
        <f>COUNTIFS('Raw data'!$T:$T,"Opp Goal Kick")</f>
        <v>16</v>
      </c>
      <c r="DS4">
        <f>SUM(DT4,DF4,CU4)</f>
        <v>53</v>
      </c>
      <c r="DT4">
        <f>COUNTIF('Raw data'!$D:$D,"P'Boro 1/3 Entry")</f>
        <v>30</v>
      </c>
      <c r="DU4">
        <f>SUM(DJ4,DV4,DB4)</f>
        <v>20</v>
      </c>
      <c r="DV4">
        <f>COUNTIF('Raw data'!$D:$D,"Opp 1/3 Entry")</f>
        <v>11</v>
      </c>
      <c r="DW4">
        <f>SUM(DS4,DU4)</f>
        <v>73</v>
      </c>
      <c r="DX4">
        <f>COUNTIF('Raw data'!$D:$D,"P'Boro Touches in Box")</f>
        <v>22</v>
      </c>
      <c r="DY4">
        <f>COUNTIF('Raw data'!$D:$D,"Opp Touches in Box")</f>
        <v>7</v>
      </c>
      <c r="DZ4">
        <f>SUM(DX4:DY4)</f>
        <v>29</v>
      </c>
      <c r="EA4">
        <f>SUM(EA41:EA56)</f>
        <v>412</v>
      </c>
      <c r="EB4">
        <f>SUM(EB41:EB56)</f>
        <v>339</v>
      </c>
      <c r="EC4">
        <f>SUM(EC41:EC56)</f>
        <v>73</v>
      </c>
      <c r="ED4" s="54">
        <f>IFERROR(EB4/EA4,"-")</f>
        <v>0.82281553398058249</v>
      </c>
      <c r="EE4" s="54">
        <f>IFERROR(EC4/EA4,"-")</f>
        <v>0.17718446601941748</v>
      </c>
      <c r="EF4">
        <f>SUM(EF41:EF56)</f>
        <v>172</v>
      </c>
      <c r="EG4">
        <f>SUM(EG41:EG56)</f>
        <v>115</v>
      </c>
      <c r="EH4">
        <f>SUM(EH41:EH56)</f>
        <v>57</v>
      </c>
      <c r="EI4" s="54">
        <f>IFERROR(EG4/EF4,"-")</f>
        <v>0.66860465116279066</v>
      </c>
      <c r="EJ4" s="54">
        <f>IFERROR(EH4/EF4,"-")</f>
        <v>0.33139534883720928</v>
      </c>
      <c r="EK4" s="8">
        <f>SUM(EK41:EK56)</f>
        <v>131</v>
      </c>
      <c r="EL4" s="8">
        <f>SUM(EL41:EL56)</f>
        <v>120</v>
      </c>
      <c r="EM4" s="8">
        <f>SUM(EM41:EM56)</f>
        <v>11</v>
      </c>
      <c r="EN4" s="54">
        <f>IFERROR(EL4/EK4,"-")</f>
        <v>0.91603053435114501</v>
      </c>
      <c r="EO4" s="54">
        <f>IFERROR(EM4/EK4,"-")</f>
        <v>8.3969465648854963E-2</v>
      </c>
      <c r="EP4" s="8">
        <f>SUM(EP41:EP56)</f>
        <v>109</v>
      </c>
      <c r="EQ4" s="8">
        <f>SUM(EQ41:EQ56)</f>
        <v>104</v>
      </c>
      <c r="ER4" s="8">
        <f>SUM(ER41:ER56)</f>
        <v>5</v>
      </c>
      <c r="ES4" s="54">
        <f>IFERROR(EQ4/EP4,"-")</f>
        <v>0.95412844036697253</v>
      </c>
      <c r="ET4" s="54">
        <f>IFERROR(ER4/EP4,"-")</f>
        <v>4.5871559633027525E-2</v>
      </c>
      <c r="EU4" s="8">
        <f>SUM(EU41:EU56)</f>
        <v>36</v>
      </c>
      <c r="EV4" s="8">
        <f>SUM(EV41:EV56)</f>
        <v>21</v>
      </c>
      <c r="EW4" s="8">
        <f>SUM(EW41:EW56)</f>
        <v>20</v>
      </c>
      <c r="EX4" s="54">
        <f>IFERROR(EV4/EU4,"-")</f>
        <v>0.58333333333333337</v>
      </c>
      <c r="EY4" s="54">
        <f>IFERROR(EW4/EU4,"-")</f>
        <v>0.55555555555555558</v>
      </c>
      <c r="EZ4" s="8">
        <f>SUM(EZ41:EZ56)</f>
        <v>30</v>
      </c>
      <c r="FA4" s="8">
        <f>SUM(FA41:FA56)</f>
        <v>19</v>
      </c>
      <c r="FB4" s="8">
        <f>SUM(FB41:FB56)</f>
        <v>14</v>
      </c>
      <c r="FC4" s="54">
        <f>IFERROR(FA4/EZ4,"-")</f>
        <v>0.6333333333333333</v>
      </c>
      <c r="FD4" s="54">
        <f>IFERROR(FB4/EZ4,"-")</f>
        <v>0.46666666666666667</v>
      </c>
      <c r="FE4" s="8">
        <f>SUM(FE41:FE56)</f>
        <v>13</v>
      </c>
      <c r="FF4" s="8">
        <f>SUM(FF41:FF56)</f>
        <v>0</v>
      </c>
      <c r="FG4" s="8">
        <f>SUM(FG41:FG56)</f>
        <v>0</v>
      </c>
      <c r="FH4" s="8">
        <f>SUM(FH41:FH56)</f>
        <v>0</v>
      </c>
      <c r="FI4" s="54" t="str">
        <f>IFERROR(FG4/FF4,"-")</f>
        <v>-</v>
      </c>
      <c r="FJ4" s="54" t="str">
        <f>IFERROR(FH4/FF4,"-")</f>
        <v>-</v>
      </c>
      <c r="FK4" s="8">
        <f t="shared" ref="FK4:FV4" si="8">SUM(FK41:FK56)</f>
        <v>322</v>
      </c>
      <c r="FL4" s="8">
        <f t="shared" si="8"/>
        <v>247</v>
      </c>
      <c r="FM4" s="8">
        <f t="shared" si="8"/>
        <v>48</v>
      </c>
      <c r="FN4" s="8">
        <f t="shared" si="8"/>
        <v>22</v>
      </c>
      <c r="FO4" s="8">
        <f t="shared" si="8"/>
        <v>31</v>
      </c>
      <c r="FP4" s="8">
        <f t="shared" si="8"/>
        <v>16</v>
      </c>
      <c r="FQ4" s="8">
        <f t="shared" si="8"/>
        <v>7</v>
      </c>
      <c r="FR4" s="8">
        <f t="shared" si="8"/>
        <v>8</v>
      </c>
      <c r="FS4" s="8">
        <f t="shared" si="8"/>
        <v>19</v>
      </c>
      <c r="FT4" s="8">
        <f t="shared" si="8"/>
        <v>30</v>
      </c>
      <c r="FU4" s="8">
        <f t="shared" si="8"/>
        <v>23</v>
      </c>
      <c r="FV4" s="8">
        <f t="shared" si="8"/>
        <v>7</v>
      </c>
      <c r="FW4" s="54">
        <f>IFERROR(FU4/FT4,"-")</f>
        <v>0.76666666666666672</v>
      </c>
      <c r="FX4" s="54">
        <f>IFERROR(FV4/FT4,"-")</f>
        <v>0.23333333333333334</v>
      </c>
      <c r="FY4" s="8">
        <f>SUM(FY41:FY56)</f>
        <v>15</v>
      </c>
      <c r="FZ4" s="8">
        <f>SUM(FZ41:FZ56)</f>
        <v>8</v>
      </c>
      <c r="GA4" s="8">
        <f>SUM(GA41:GA56)</f>
        <v>7</v>
      </c>
      <c r="GB4" s="54">
        <f>IFERROR(FZ4/FY4,"-")</f>
        <v>0.53333333333333333</v>
      </c>
      <c r="GC4" s="54">
        <f>IFERROR(GA4/FY4,"-")</f>
        <v>0.46666666666666667</v>
      </c>
      <c r="GD4" s="8">
        <f t="shared" ref="GD4:GL4" si="9">SUM(GD41:GD56)</f>
        <v>22</v>
      </c>
      <c r="GE4" s="8">
        <f t="shared" si="9"/>
        <v>12</v>
      </c>
      <c r="GF4" s="8">
        <f t="shared" si="9"/>
        <v>6</v>
      </c>
      <c r="GG4" s="8">
        <f t="shared" si="9"/>
        <v>4</v>
      </c>
      <c r="GH4" s="8">
        <f t="shared" si="9"/>
        <v>6</v>
      </c>
      <c r="GI4" s="8">
        <f t="shared" si="9"/>
        <v>5</v>
      </c>
      <c r="GJ4" s="8">
        <f t="shared" si="9"/>
        <v>20</v>
      </c>
      <c r="GK4" s="8">
        <f t="shared" si="9"/>
        <v>17</v>
      </c>
      <c r="GL4" s="8">
        <f t="shared" si="9"/>
        <v>3</v>
      </c>
      <c r="GM4" s="54">
        <f>IFERROR(GK4/GJ4,"-")</f>
        <v>0.85</v>
      </c>
      <c r="GN4" s="54">
        <f>IFERROR(GL4/GJ4,"-")</f>
        <v>0.15</v>
      </c>
      <c r="GO4" s="8">
        <f t="shared" ref="GO4:GX4" si="10">SUM(GO41:GO56)</f>
        <v>15</v>
      </c>
      <c r="GP4" s="8">
        <f t="shared" si="10"/>
        <v>30</v>
      </c>
      <c r="GQ4" s="8">
        <f t="shared" si="10"/>
        <v>48</v>
      </c>
      <c r="GR4" s="8">
        <f t="shared" si="10"/>
        <v>2</v>
      </c>
      <c r="GS4" s="8">
        <f t="shared" si="10"/>
        <v>1</v>
      </c>
      <c r="GT4" s="8">
        <f t="shared" si="10"/>
        <v>15</v>
      </c>
      <c r="GU4" s="8">
        <f t="shared" si="10"/>
        <v>1</v>
      </c>
      <c r="GV4" s="8">
        <f t="shared" si="10"/>
        <v>52</v>
      </c>
      <c r="GW4" s="8">
        <f t="shared" si="10"/>
        <v>32</v>
      </c>
      <c r="GX4" s="8">
        <f t="shared" si="10"/>
        <v>20</v>
      </c>
      <c r="GY4" s="54">
        <f>IFERROR(GW4/GV4,"-")</f>
        <v>0.61538461538461542</v>
      </c>
      <c r="GZ4" s="54">
        <f>IFERROR(GX4/GV4,"-")</f>
        <v>0.38461538461538464</v>
      </c>
      <c r="HA4" s="8">
        <f>SUM(HA41:HA56)</f>
        <v>23</v>
      </c>
      <c r="HB4" s="8">
        <f>SUM(HB41:HB56)</f>
        <v>11</v>
      </c>
      <c r="HC4" s="8">
        <f>SUM(HC41:HC56)</f>
        <v>12</v>
      </c>
      <c r="HD4" s="54">
        <f>IFERROR(HB4/HA4,"-")</f>
        <v>0.47826086956521741</v>
      </c>
      <c r="HE4" s="54">
        <f>IFERROR(HC4/HA4,"-")</f>
        <v>0.52173913043478259</v>
      </c>
      <c r="HF4" s="8">
        <f>SUM(HF41:HF56)</f>
        <v>9</v>
      </c>
      <c r="HG4" s="8">
        <f>SUM(HG41:HG56)</f>
        <v>4</v>
      </c>
      <c r="HH4" s="8">
        <f>SUM(HH41:HH56)</f>
        <v>5</v>
      </c>
      <c r="HI4" s="54">
        <f>IFERROR(HG4/HF4,"-")</f>
        <v>0.44444444444444442</v>
      </c>
      <c r="HJ4" s="54">
        <f>IFERROR(HH4/HF4,"-")</f>
        <v>0.55555555555555558</v>
      </c>
      <c r="HK4" s="8">
        <f>SUM(HK41:HK56)</f>
        <v>7</v>
      </c>
      <c r="HL4" s="8">
        <f>SUM(HL41:HL56)</f>
        <v>1</v>
      </c>
      <c r="HM4" s="8">
        <f>SUM(HM41:HM56)</f>
        <v>6</v>
      </c>
      <c r="HN4" s="54">
        <f>IFERROR(HL4/HK4,"-")</f>
        <v>0.14285714285714285</v>
      </c>
      <c r="HO4" s="54">
        <f>IFERROR(HM4/HK4,"-")</f>
        <v>0.8571428571428571</v>
      </c>
      <c r="HP4" s="8">
        <f>SUM(HP41:HP56)</f>
        <v>9</v>
      </c>
      <c r="HQ4" s="8">
        <f>SUM(HQ41:HQ56)</f>
        <v>4</v>
      </c>
      <c r="HR4" s="8">
        <f>SUM(HR41:HR56)</f>
        <v>5</v>
      </c>
      <c r="HS4" s="54">
        <f>IFERROR(HQ4/HP4,"-")</f>
        <v>0.44444444444444442</v>
      </c>
      <c r="HT4" s="54">
        <f>IFERROR(HR4/HP4,"-")</f>
        <v>0.55555555555555558</v>
      </c>
      <c r="HU4" s="8">
        <f>SUM(HU41:HU56)</f>
        <v>11</v>
      </c>
      <c r="HV4" s="8">
        <f>SUM(HV41:HV56)</f>
        <v>6</v>
      </c>
      <c r="HW4" s="8">
        <f>SUM(HW41:HW56)</f>
        <v>5</v>
      </c>
      <c r="HX4" s="54">
        <f>IFERROR(HV4/HU4,"-")</f>
        <v>0.54545454545454541</v>
      </c>
      <c r="HY4" s="54">
        <f>IFERROR(HW4/HU4,"-")</f>
        <v>0.45454545454545453</v>
      </c>
      <c r="HZ4" s="8">
        <f t="shared" ref="HZ4:IO4" si="11">SUM(HZ41:HZ56)</f>
        <v>8</v>
      </c>
      <c r="IA4" s="8">
        <f t="shared" si="11"/>
        <v>31</v>
      </c>
      <c r="IB4" s="8">
        <f t="shared" si="11"/>
        <v>41</v>
      </c>
      <c r="IC4" s="8">
        <f t="shared" si="11"/>
        <v>6</v>
      </c>
      <c r="ID4" s="8">
        <f t="shared" si="11"/>
        <v>0</v>
      </c>
      <c r="IE4" s="8">
        <f t="shared" si="11"/>
        <v>0</v>
      </c>
      <c r="IF4" s="8">
        <f t="shared" si="11"/>
        <v>15</v>
      </c>
      <c r="IG4" s="8">
        <f t="shared" si="11"/>
        <v>8</v>
      </c>
      <c r="IH4" s="8">
        <f t="shared" si="11"/>
        <v>0</v>
      </c>
      <c r="II4" s="8">
        <f t="shared" si="11"/>
        <v>3</v>
      </c>
      <c r="IJ4" s="8">
        <f t="shared" si="11"/>
        <v>1</v>
      </c>
      <c r="IK4" s="8">
        <f t="shared" si="11"/>
        <v>7</v>
      </c>
      <c r="IL4" s="8">
        <f t="shared" si="11"/>
        <v>1</v>
      </c>
      <c r="IM4" s="8">
        <f t="shared" si="11"/>
        <v>0</v>
      </c>
      <c r="IN4" s="8">
        <f t="shared" si="11"/>
        <v>0</v>
      </c>
      <c r="IO4" s="8">
        <f t="shared" si="11"/>
        <v>0</v>
      </c>
    </row>
    <row r="5" spans="1:250">
      <c r="B5" s="8"/>
      <c r="I5" s="28"/>
      <c r="BA5" s="8"/>
      <c r="BB5" s="8"/>
      <c r="BC5" s="8"/>
      <c r="BD5" s="7"/>
      <c r="BE5" s="7"/>
    </row>
    <row r="6" spans="1:250">
      <c r="B6" s="8"/>
    </row>
    <row r="7" spans="1:250">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CC7" s="8"/>
      <c r="CD7" s="8"/>
      <c r="CE7" s="8"/>
    </row>
    <row r="8" spans="1:250" s="55" customFormat="1">
      <c r="A8"/>
      <c r="B8"/>
      <c r="C8"/>
      <c r="D8"/>
      <c r="E8"/>
      <c r="F8"/>
      <c r="G8"/>
      <c r="AN8" s="38"/>
    </row>
    <row r="9" spans="1:250">
      <c r="B9" s="8"/>
      <c r="C9" s="8"/>
      <c r="N9" s="55"/>
      <c r="O9" s="55"/>
      <c r="DY9" s="8"/>
      <c r="DZ9" s="8"/>
      <c r="EA9" s="8"/>
      <c r="EB9" s="8"/>
    </row>
    <row r="10" spans="1:250">
      <c r="B10" s="8"/>
      <c r="C10" s="8"/>
      <c r="H10" s="56"/>
      <c r="I10" s="56"/>
      <c r="J10" s="56"/>
      <c r="K10" s="56"/>
      <c r="L10" s="56"/>
      <c r="M10" s="56"/>
      <c r="N10" s="56"/>
      <c r="O10" s="57"/>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DY10" s="8"/>
      <c r="DZ10" s="8"/>
      <c r="EA10" s="8"/>
      <c r="EB10" s="8"/>
    </row>
    <row r="11" spans="1:250" s="8" customFormat="1">
      <c r="A11"/>
      <c r="B11" s="11"/>
      <c r="C11" s="11"/>
      <c r="D11"/>
      <c r="F11"/>
      <c r="G11"/>
      <c r="H11"/>
      <c r="I11"/>
      <c r="J11"/>
      <c r="K11"/>
      <c r="L11"/>
      <c r="M11"/>
      <c r="CF11"/>
      <c r="HS11" s="115"/>
      <c r="HT11" s="115"/>
    </row>
    <row r="12" spans="1:250" s="8" customFormat="1">
      <c r="A12"/>
      <c r="B12" s="11"/>
      <c r="C12" s="11"/>
      <c r="D12"/>
      <c r="F12"/>
      <c r="G12"/>
      <c r="H12"/>
      <c r="I12"/>
      <c r="J12"/>
      <c r="K12"/>
      <c r="L12"/>
      <c r="M12"/>
      <c r="CF12"/>
      <c r="DW12" t="s">
        <v>465</v>
      </c>
      <c r="DX12" t="s">
        <v>140</v>
      </c>
      <c r="DY12" t="s">
        <v>542</v>
      </c>
      <c r="DZ12" t="s">
        <v>151</v>
      </c>
      <c r="EA12" s="2" t="s">
        <v>233</v>
      </c>
      <c r="EB12" s="2" t="s">
        <v>234</v>
      </c>
      <c r="EC12" s="2" t="s">
        <v>235</v>
      </c>
      <c r="ED12" s="2" t="s">
        <v>502</v>
      </c>
      <c r="EE12" s="2" t="s">
        <v>503</v>
      </c>
      <c r="EF12" s="2" t="s">
        <v>236</v>
      </c>
      <c r="EG12" s="2" t="s">
        <v>237</v>
      </c>
      <c r="EH12" s="2" t="s">
        <v>238</v>
      </c>
      <c r="EI12" s="2" t="s">
        <v>504</v>
      </c>
      <c r="EJ12" s="2" t="s">
        <v>505</v>
      </c>
      <c r="EK12" s="2" t="s">
        <v>239</v>
      </c>
      <c r="EL12" s="35" t="s">
        <v>240</v>
      </c>
      <c r="EM12" s="2" t="s">
        <v>241</v>
      </c>
      <c r="EN12" s="35" t="s">
        <v>506</v>
      </c>
      <c r="EO12" s="2" t="s">
        <v>507</v>
      </c>
      <c r="EP12" s="2" t="s">
        <v>242</v>
      </c>
      <c r="EQ12" s="2" t="s">
        <v>243</v>
      </c>
      <c r="ER12" s="2" t="s">
        <v>244</v>
      </c>
      <c r="ES12" s="2" t="s">
        <v>508</v>
      </c>
      <c r="ET12" s="2" t="s">
        <v>509</v>
      </c>
      <c r="EU12" s="2" t="s">
        <v>251</v>
      </c>
      <c r="EV12" s="2" t="s">
        <v>252</v>
      </c>
      <c r="EW12" s="2" t="s">
        <v>253</v>
      </c>
      <c r="EX12" s="2" t="s">
        <v>510</v>
      </c>
      <c r="EY12" s="2" t="s">
        <v>511</v>
      </c>
      <c r="EZ12" s="2" t="s">
        <v>257</v>
      </c>
      <c r="FA12" s="2" t="s">
        <v>258</v>
      </c>
      <c r="FB12" s="2" t="s">
        <v>259</v>
      </c>
      <c r="FC12" s="2" t="s">
        <v>512</v>
      </c>
      <c r="FD12" s="2" t="s">
        <v>513</v>
      </c>
      <c r="FE12" s="2" t="s">
        <v>260</v>
      </c>
      <c r="FF12" s="2" t="s">
        <v>261</v>
      </c>
      <c r="FG12" s="2" t="s">
        <v>262</v>
      </c>
      <c r="FH12" s="2" t="s">
        <v>263</v>
      </c>
      <c r="FI12" s="2" t="s">
        <v>514</v>
      </c>
      <c r="FJ12" s="2" t="s">
        <v>515</v>
      </c>
      <c r="FK12" s="2" t="s">
        <v>547</v>
      </c>
      <c r="FL12" s="2" t="s">
        <v>661</v>
      </c>
      <c r="FM12" s="2" t="s">
        <v>663</v>
      </c>
      <c r="FN12" s="2" t="s">
        <v>245</v>
      </c>
      <c r="FO12" s="2" t="s">
        <v>246</v>
      </c>
      <c r="FP12" s="2" t="s">
        <v>247</v>
      </c>
      <c r="FQ12" s="2" t="s">
        <v>248</v>
      </c>
      <c r="FR12" s="2" t="s">
        <v>249</v>
      </c>
      <c r="FS12" s="2" t="s">
        <v>177</v>
      </c>
      <c r="FT12" s="2" t="s">
        <v>250</v>
      </c>
      <c r="FU12" s="2" t="s">
        <v>548</v>
      </c>
      <c r="FV12" s="2" t="s">
        <v>549</v>
      </c>
      <c r="FW12" s="2" t="s">
        <v>516</v>
      </c>
      <c r="FX12" s="2" t="s">
        <v>517</v>
      </c>
      <c r="FY12" s="2" t="s">
        <v>254</v>
      </c>
      <c r="FZ12" s="2" t="s">
        <v>255</v>
      </c>
      <c r="GA12" s="2" t="s">
        <v>256</v>
      </c>
      <c r="GB12" s="2" t="s">
        <v>518</v>
      </c>
      <c r="GC12" s="2" t="s">
        <v>519</v>
      </c>
      <c r="GD12" s="2" t="s">
        <v>150</v>
      </c>
      <c r="GE12" s="2" t="s">
        <v>38</v>
      </c>
      <c r="GF12" s="2" t="s">
        <v>39</v>
      </c>
      <c r="GG12" s="2" t="s">
        <v>37</v>
      </c>
      <c r="GH12" s="2" t="s">
        <v>52</v>
      </c>
      <c r="GI12" s="2" t="s">
        <v>54</v>
      </c>
      <c r="GJ12" s="2" t="s">
        <v>582</v>
      </c>
      <c r="GK12" s="2" t="s">
        <v>339</v>
      </c>
      <c r="GL12" s="2" t="s">
        <v>340</v>
      </c>
      <c r="GM12" s="2" t="s">
        <v>520</v>
      </c>
      <c r="GN12" s="2" t="s">
        <v>521</v>
      </c>
      <c r="GO12" s="2" t="s">
        <v>451</v>
      </c>
      <c r="GP12" s="2" t="s">
        <v>553</v>
      </c>
      <c r="GQ12" s="2" t="s">
        <v>554</v>
      </c>
      <c r="GR12" s="2" t="s">
        <v>555</v>
      </c>
      <c r="GS12" s="2" t="s">
        <v>556</v>
      </c>
      <c r="GT12" s="2" t="s">
        <v>557</v>
      </c>
      <c r="GU12" s="2" t="s">
        <v>665</v>
      </c>
      <c r="GV12" s="1" t="s">
        <v>351</v>
      </c>
      <c r="GW12" s="1" t="s">
        <v>522</v>
      </c>
      <c r="GX12" s="1" t="s">
        <v>523</v>
      </c>
      <c r="GY12" s="1" t="s">
        <v>524</v>
      </c>
      <c r="GZ12" s="1" t="s">
        <v>525</v>
      </c>
      <c r="HA12" s="1" t="s">
        <v>488</v>
      </c>
      <c r="HB12" s="1" t="s">
        <v>526</v>
      </c>
      <c r="HC12" s="1" t="s">
        <v>527</v>
      </c>
      <c r="HD12" s="1" t="s">
        <v>528</v>
      </c>
      <c r="HE12" s="1" t="s">
        <v>529</v>
      </c>
      <c r="HF12" s="1" t="s">
        <v>264</v>
      </c>
      <c r="HG12" s="1" t="s">
        <v>266</v>
      </c>
      <c r="HH12" s="1" t="s">
        <v>265</v>
      </c>
      <c r="HI12" s="1" t="s">
        <v>530</v>
      </c>
      <c r="HJ12" s="1" t="s">
        <v>531</v>
      </c>
      <c r="HK12" s="1" t="s">
        <v>267</v>
      </c>
      <c r="HL12" s="1" t="s">
        <v>268</v>
      </c>
      <c r="HM12" s="1" t="s">
        <v>269</v>
      </c>
      <c r="HN12" s="1" t="s">
        <v>532</v>
      </c>
      <c r="HO12" s="1" t="s">
        <v>533</v>
      </c>
      <c r="HP12" s="1" t="s">
        <v>270</v>
      </c>
      <c r="HQ12" s="1" t="s">
        <v>271</v>
      </c>
      <c r="HR12" s="1" t="s">
        <v>272</v>
      </c>
      <c r="HS12" s="116" t="s">
        <v>534</v>
      </c>
      <c r="HT12" s="116" t="s">
        <v>535</v>
      </c>
      <c r="HU12" s="1" t="s">
        <v>273</v>
      </c>
      <c r="HV12" s="1" t="s">
        <v>274</v>
      </c>
      <c r="HW12" s="1" t="s">
        <v>275</v>
      </c>
      <c r="HX12" s="1" t="s">
        <v>536</v>
      </c>
      <c r="HY12" s="1" t="s">
        <v>537</v>
      </c>
      <c r="HZ12" s="1" t="s">
        <v>47</v>
      </c>
      <c r="IA12" s="1" t="s">
        <v>49</v>
      </c>
      <c r="IB12" s="1" t="s">
        <v>611</v>
      </c>
      <c r="IC12" s="1" t="s">
        <v>50</v>
      </c>
      <c r="ID12" s="1" t="s">
        <v>55</v>
      </c>
      <c r="IE12" s="1" t="s">
        <v>276</v>
      </c>
      <c r="IF12" s="1" t="s">
        <v>223</v>
      </c>
      <c r="IG12" s="1" t="s">
        <v>222</v>
      </c>
      <c r="IH12" s="36" t="s">
        <v>277</v>
      </c>
      <c r="II12" s="36" t="s">
        <v>278</v>
      </c>
      <c r="IJ12" s="36" t="s">
        <v>279</v>
      </c>
      <c r="IK12" s="36" t="s">
        <v>280</v>
      </c>
      <c r="IL12" s="36" t="s">
        <v>57</v>
      </c>
      <c r="IM12" s="36" t="s">
        <v>281</v>
      </c>
      <c r="IN12" s="36" t="s">
        <v>459</v>
      </c>
      <c r="IO12" s="83" t="s">
        <v>460</v>
      </c>
      <c r="IP12" t="s">
        <v>414</v>
      </c>
    </row>
    <row r="13" spans="1:250">
      <c r="B13" s="7"/>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DW13" t="s">
        <v>463</v>
      </c>
      <c r="DX13" t="s">
        <v>642</v>
      </c>
      <c r="DY13">
        <v>40</v>
      </c>
      <c r="DZ13" t="s">
        <v>152</v>
      </c>
      <c r="EA13">
        <f t="shared" ref="EA13:EA23" si="12">EB13+EC13</f>
        <v>23</v>
      </c>
      <c r="EB13" s="8">
        <f>EG13+EL13+EQ13</f>
        <v>22</v>
      </c>
      <c r="EC13" s="8">
        <f>EH13+EM13+ER13</f>
        <v>1</v>
      </c>
      <c r="ED13" s="54">
        <f t="shared" ref="ED13:ED23" si="13">IFERROR(EB13/$EA13,"-")</f>
        <v>0.95652173913043481</v>
      </c>
      <c r="EE13" s="54">
        <f t="shared" ref="EE13:EE23" si="14">IFERROR(EC13/$EA13,"-")</f>
        <v>4.3478260869565216E-2</v>
      </c>
      <c r="EF13">
        <f>EG13+EH13</f>
        <v>9</v>
      </c>
      <c r="EG13">
        <f>COUNTIFS('Raw data'!$D:$D,"*Louie Briggs*", 'Raw data'!$Y:$Y,"*1st*",'Raw data'!$I:$I,"*Forward Pass*",'Raw data'!$M:$M,"*Pass completed*")</f>
        <v>8</v>
      </c>
      <c r="EH13">
        <f>COUNTIFS('Raw data'!$D:$D,"*Louie Briggs*", 'Raw data'!$Y:$Y,"*1st*",'Raw data'!$I:$I,"*Forward Pass*",'Raw data'!$M:$M,"*Pass Uncompleted*")</f>
        <v>1</v>
      </c>
      <c r="EI13" s="54">
        <f t="shared" ref="EI13:EI23" si="15">IFERROR(EG13/$EF13,"-")</f>
        <v>0.88888888888888884</v>
      </c>
      <c r="EJ13" s="54">
        <f t="shared" ref="EJ13:EJ23" si="16">IFERROR(EH13/$EF13,"-")</f>
        <v>0.1111111111111111</v>
      </c>
      <c r="EK13">
        <f>EL13+EM13</f>
        <v>14</v>
      </c>
      <c r="EL13" s="8">
        <f>COUNTIFS('Raw data'!$D:$D,"*Louie Briggs*", 'Raw data'!$Y:$Y,"*1st*",'Raw data'!$I:$I,"*Lateral Pass*",'Raw data'!$M:$M,"*Pass completed*")</f>
        <v>14</v>
      </c>
      <c r="EM13" s="8">
        <f>COUNTIFS('Raw data'!$D:$D,"*Louie Briggs*", 'Raw data'!$Y:$Y,"*1st*",'Raw data'!$I:$I,"*Lateral Pass*",'Raw data'!$M:$M,"*Pass Uncompleted*")</f>
        <v>0</v>
      </c>
      <c r="EN13" s="54">
        <f t="shared" ref="EN13:EN23" si="17">IFERROR(EL13/$EK13,"-")</f>
        <v>1</v>
      </c>
      <c r="EO13" s="54">
        <f t="shared" ref="EO13:EO23" si="18">IFERROR(EM13/$EK13,"-")</f>
        <v>0</v>
      </c>
      <c r="EP13">
        <f>EQ13+ER13</f>
        <v>0</v>
      </c>
      <c r="EQ13" s="8">
        <f>COUNTIFS('Raw data'!$D:$D,"*Louie Briggs*", 'Raw data'!$Y:$Y,"*1st*",'Raw data'!$I:$I,"*Backward Pass*",'Raw data'!$M:$M,"*Pass completed*")</f>
        <v>0</v>
      </c>
      <c r="ER13" s="8">
        <f>COUNTIFS('Raw data'!$D:$D,"*Louie Briggs*", 'Raw data'!$Y:$Y,"*1st*",'Raw data'!$I:$I,"*Backward Pass*",'Raw data'!$M:$M,"*Pass Uncompleted*")</f>
        <v>0</v>
      </c>
      <c r="ES13" s="54" t="str">
        <f t="shared" ref="ES13:ES23" si="19">IFERROR(EQ13/$EQ13,"-")</f>
        <v>-</v>
      </c>
      <c r="ET13" s="54" t="str">
        <f t="shared" ref="ET13:ET23" si="20">IFERROR(ER13/$EQ13,"-")</f>
        <v>-</v>
      </c>
      <c r="EU13" s="8">
        <f>COUNTIFS('Raw data'!$D:$D,"*Louie Briggs*", 'Raw data'!$Y:$Y,"*1st*",'Raw data'!$I:$I,"*Long Kick*")</f>
        <v>1</v>
      </c>
      <c r="EV13" s="8">
        <f>COUNTIFS('Raw data'!$D:$D,"*Louie Briggs*", 'Raw data'!$Y:$Y,"*1st*",'Raw data'!$I:$I,"*Long Kick*",'Raw data'!$M:$M,"*Pass completed*")</f>
        <v>1</v>
      </c>
      <c r="EW13" s="8">
        <f>COUNTIFS('Raw data'!$D:$D,"*Louie Briggs*", 'Raw data'!$Y:$Y,"*1st*",'Raw data'!$I:$I,"*Long Kick*",'Raw data'!$M:$M,"*Pass Uncompleted*")</f>
        <v>0</v>
      </c>
      <c r="EX13" s="54">
        <f t="shared" ref="EX13:EX23" si="21">IFERROR(EV13/$EU13,"-")</f>
        <v>1</v>
      </c>
      <c r="EY13" s="54">
        <f t="shared" ref="EY13:EY23" si="22">IFERROR(EW13/$EU13,"-")</f>
        <v>0</v>
      </c>
      <c r="EZ13" s="8">
        <f>COUNTIFS('Raw data'!$D:$D,"*Louie Briggs*", 'Raw data'!$Y:$Y,"*1st*",'Raw data'!$I:$I,"*Balls in Behind*")</f>
        <v>0</v>
      </c>
      <c r="FA13" s="8">
        <f>COUNTIFS('Raw data'!$D:$D,"*Louie Briggs*", 'Raw data'!$Y:$Y,"*1st*",'Raw data'!$I:$I,"*Balls in Behind*",'Raw data'!$M:$M,"*Pass completed*")</f>
        <v>0</v>
      </c>
      <c r="FB13" s="8">
        <f>COUNTIFS('Raw data'!$D:$D,"*Louie Briggs*", 'Raw data'!$Y:$Y,"*1st*",'Raw data'!$I:$I,"*Balls in Behind*",'Raw data'!$M:$M,"*Pass Uncompleted*")</f>
        <v>0</v>
      </c>
      <c r="FC13" s="54" t="str">
        <f t="shared" ref="FC13:FC23" si="23">IFERROR(FA13/$EZ13,"-")</f>
        <v>-</v>
      </c>
      <c r="FD13" s="54" t="str">
        <f t="shared" ref="FD13:FD23" si="24">IFERROR(FB13/$EZ13,"-")</f>
        <v>-</v>
      </c>
      <c r="FE13" s="8">
        <f>COUNTIFS('Raw data'!$D:$D,"*Louie Briggs*", 'Raw data'!$Y:$Y,"*1st*",'Raw data'!$I:$I,"*Key/Through pass*")</f>
        <v>0</v>
      </c>
      <c r="FF13" s="8">
        <f>COUNTIFS('Raw data'!$D:$D,"*Louie Briggs*", 'Raw data'!$Y:$Y,"*1st*",'Raw data'!$I:$I,"*Diagonal pass*")</f>
        <v>0</v>
      </c>
      <c r="FG13" s="8">
        <f>COUNTIFS('Raw data'!$D:$D,"*Louie Briggs*", 'Raw data'!$Y:$Y,"*1st*",'Raw data'!$I:$I,"*Diagonal pass*",'Raw data'!$M:$M,"*Pass completed*")</f>
        <v>0</v>
      </c>
      <c r="FH13" s="8">
        <f>COUNTIFS('Raw data'!$D:$D,"*Louie Briggs*", 'Raw data'!$Y:$Y,"*1st*",'Raw data'!$I:$I,"*Diagonal pass*",'Raw data'!$M:$M,"*Pass Uncompleted*")</f>
        <v>0</v>
      </c>
      <c r="FI13" s="54" t="str">
        <f t="shared" ref="FI13:FI23" si="25">IFERROR(FG13/$FF13,"-")</f>
        <v>-</v>
      </c>
      <c r="FJ13" s="54" t="str">
        <f t="shared" ref="FJ13:FJ23" si="26">IFERROR(FH13/$FF13,"-")</f>
        <v>-</v>
      </c>
      <c r="FK13" s="8">
        <f>COUNTIFS('Raw data'!$D:$D,"*Louie Briggs*", 'Raw data'!$Y:$Y,"*1st*",'Raw data'!$M:$M,"*Pass Received*")</f>
        <v>17</v>
      </c>
      <c r="FL13" s="8">
        <f>COUNTIFS('Raw data'!$D:$D,"*Louie Briggs*", 'Raw data'!$Y:$Y,"*1st*",'Raw data'!$M:$M,"*Pass Completed*",'Raw data'!$M:$M,"*Pass Received*")</f>
        <v>17</v>
      </c>
      <c r="FM13" s="8">
        <f>COUNTIFS('Raw data'!$D:$D,"*Louie Briggs*", 'Raw data'!$Y:$Y,"*1st*",'Raw data'!$M:$M,"*Pass Uncompleted*",'Raw data'!$M:$M,"*Pass Received*")</f>
        <v>1</v>
      </c>
      <c r="FN13" s="8">
        <f>COUNTIFS('Raw data'!$D:$D,"*Louie Briggs*", 'Raw data'!$Y:$Y,"*1st*",'Raw data'!$M:$M,"*Kept Possession*",'Raw data'!$M:$M,"*Pass Received*")</f>
        <v>1</v>
      </c>
      <c r="FO13" s="8">
        <f>COUNTIFS('Raw data'!$D:$D,"*Louie Briggs*", 'Raw data'!$Y:$Y,"*1st*",'Raw data'!$M:$M,"*Lost Possession*")</f>
        <v>0</v>
      </c>
      <c r="FP13" s="8">
        <f>COUNTIFS('Raw data'!$D:$D,"*Louie Briggs*", 'Raw data'!$Y:$Y,"*1st*",'Raw data'!$M:$M,"*Lost Possession*",'Raw data'!$M:$M,"*Lost Final 1/3*")</f>
        <v>0</v>
      </c>
      <c r="FQ13" s="8">
        <f>COUNTIFS('Raw data'!$D:$D,"*Louie Briggs*", 'Raw data'!$Y:$Y,"*1st*",'Raw data'!$M:$M,"*Lost Possession*",'Raw data'!$M:$M,"*Lost Middle 1/3*")</f>
        <v>0</v>
      </c>
      <c r="FR13" s="8">
        <f>COUNTIFS('Raw data'!$D:$D,"*Louie Briggs*", 'Raw data'!$Y:$Y,"*1st*",'Raw data'!$M:$M,"*Lost Possession*",'Raw data'!$M:$M,"*Lost Own 1/3*")</f>
        <v>0</v>
      </c>
      <c r="FS13" s="8">
        <f>COUNTIFS('Raw data'!$D:$D,"*Louie Briggs*", 'Raw data'!$Y:$Y,"*1st*",'Raw data'!$H:$H,"*Touches in the Box*")</f>
        <v>0</v>
      </c>
      <c r="FT13" s="8">
        <f>COUNTIFS('Raw data'!$D:$D,"*Louie Briggs*", 'Raw data'!$Y:$Y,"*1st*",'Raw data'!$H:$H,"*1v1 Attack*")</f>
        <v>1</v>
      </c>
      <c r="FU13" s="8">
        <f>COUNTIFS('Raw data'!$D:$D,"*Louie Briggs*", 'Raw data'!$Y:$Y,"*1st*",'Raw data'!$H:$H,"*1v1 Attack*",'Raw data'!$H:$H,"*1v1 Attack*",'Raw data'!$M:$M,"*Kept Possession*")</f>
        <v>1</v>
      </c>
      <c r="FV13" s="8">
        <f>COUNTIFS('Raw data'!$D:$D,"*Louie Briggs*", 'Raw data'!$Y:$Y,"*1st*",'Raw data'!$H:$H,"*1v1 Attack*",'Raw data'!$H:$H,"*1v1 Attack*",'Raw data'!$M:$M,"*Lost Possession*")</f>
        <v>0</v>
      </c>
      <c r="FW13" s="54">
        <f t="shared" ref="FW13:FW23" si="27">IFERROR(FU13/$FT13,"-")</f>
        <v>1</v>
      </c>
      <c r="FX13" s="54">
        <f t="shared" ref="FX13:FX23" si="28">IFERROR(FV13/$FT13,"-")</f>
        <v>0</v>
      </c>
      <c r="FY13" s="8">
        <f>COUNTIFS('Raw data'!$D:$D,"*Louie Briggs*", 'Raw data'!$Y:$Y,"*1st*",'Raw data'!$I:$I,"*Cross*")</f>
        <v>0</v>
      </c>
      <c r="FZ13" s="8">
        <f>COUNTIFS('Raw data'!$D:$D,"*Louie Briggs*", 'Raw data'!$Y:$Y,"*1st*",'Raw data'!$I:$I,"*Cross*",'Raw data'!$M:$M,"*Pass Completed*")</f>
        <v>0</v>
      </c>
      <c r="GA13" s="8">
        <f>COUNTIFS('Raw data'!$D:$D,"*Louie Briggs*", 'Raw data'!$Y:$Y,"*1st*",'Raw data'!$I:$I,"*Cross*",'Raw data'!$M:$M,"*Pass Uncompleted*")</f>
        <v>0</v>
      </c>
      <c r="GB13" s="54" t="str">
        <f t="shared" ref="GB13:GB23" si="29">IFERROR(FZ13/$FY13,"-")</f>
        <v>-</v>
      </c>
      <c r="GC13" s="54" t="str">
        <f t="shared" ref="GC13:GC23" si="30">IFERROR(GA13/$FY13,"-")</f>
        <v>-</v>
      </c>
      <c r="GD13" s="8">
        <f t="shared" ref="GD13:GD23" si="31">SUM(GE13:GG13)</f>
        <v>0</v>
      </c>
      <c r="GE13" s="8">
        <f>COUNTIFS('Raw data'!$D:$D,"*Louie Briggs*", 'Raw data'!$Y:$Y,"*1st*",'Raw data'!$L:$L,"*On Target*")</f>
        <v>0</v>
      </c>
      <c r="GF13" s="8">
        <f>COUNTIFS('Raw data'!$D:$D,"*Louie Briggs*", 'Raw data'!$Y:$Y,"*1st*",'Raw data'!$L:$L,"*Off Target*")</f>
        <v>0</v>
      </c>
      <c r="GG13" s="8">
        <f>COUNTIFS('Raw data'!$D:$D,"*Louie Briggs*", 'Raw data'!$Y:$Y,"*1st*",'Raw data'!$L:$L,"*Blocked*")</f>
        <v>0</v>
      </c>
      <c r="GH13" s="8">
        <f>COUNTIFS('Raw data'!$D:$D,"*Louie Briggs*", 'Raw data'!$Y:$Y,"*1st*",'Raw data'!$M:$M,"*Goal*")</f>
        <v>0</v>
      </c>
      <c r="GI13" s="8">
        <f>COUNTIFS('Raw data'!$D:$D,"*Louie Briggs*", 'Raw data'!$Y:$Y,"*1st*",'Raw data'!$M:$M,"*Assist*")</f>
        <v>0</v>
      </c>
      <c r="GJ13" s="8">
        <f>COUNTIFS('Raw data'!$D:$D,"*Louie Briggs*", 'Raw data'!$Y:$Y,"*1st*",'Raw data'!$H:$H,"*Offensive duel*")</f>
        <v>0</v>
      </c>
      <c r="GK13" s="8">
        <f>COUNTIFS('Raw data'!$D:$D,"*Louie Briggs*", 'Raw data'!$Y:$Y,"*1st*",'Raw data'!$H:$H,"*Offensive Duel*",'Raw data'!$H:$H,"*Offensive Duel*",'Raw data'!$M:$M,"*Kept Possession*")</f>
        <v>0</v>
      </c>
      <c r="GL13" s="8">
        <f>COUNTIFS('Raw data'!$D:$D,"*Louie Briggs*", 'Raw data'!$Y:$Y,"*1st*",'Raw data'!$H:$H,"*Offensive Duel*",'Raw data'!$H:$H,"*Offensive Duel*",'Raw data'!$M:$M,"*Lost Possession*")</f>
        <v>0</v>
      </c>
      <c r="GM13" s="54" t="str">
        <f t="shared" ref="GM13:GM23" si="32">IFERROR(GK13/$GJ13,"-")</f>
        <v>-</v>
      </c>
      <c r="GN13" s="54" t="str">
        <f t="shared" ref="GN13:GN23" si="33">IFERROR(GL13/$GJ13,"-")</f>
        <v>-</v>
      </c>
      <c r="GO13" s="8">
        <f>COUNTIFS('Raw data'!$D:$D,"*Louie Briggs*", 'Raw data'!$Y:$Y,"*1st*",'Raw data'!$H:$H,"*Acceleration*")</f>
        <v>0</v>
      </c>
      <c r="GP13" s="8">
        <f>COUNTIFS('Raw data'!$D:$D,"*Louie Briggs*", 'Raw data'!$Y:$Y,"*1st*",'Raw data'!$H:$H,"*Move into Pocket*")</f>
        <v>0</v>
      </c>
      <c r="GQ13" s="8">
        <f>COUNTIFS('Raw data'!$D:$D,"*Louie Briggs*", 'Raw data'!$Y:$Y,"*1st*",'Raw data'!$H:$H,"*Wide area*")</f>
        <v>0</v>
      </c>
      <c r="GR13" s="8">
        <f>COUNTIFS('Raw data'!$D:$D,"*Louie Briggs*", 'Raw data'!$Y:$Y,"*1st*",'Raw data'!$H:$H,"*Back to goal*")</f>
        <v>0</v>
      </c>
      <c r="GS13" s="8">
        <f>COUNTIFS('Raw data'!$D:$D,"*Louie Briggs*", 'Raw data'!$Y:$Y,"*1st*",'Raw data'!$H:$H,"*Over/Underlaps*")</f>
        <v>0</v>
      </c>
      <c r="GT13" s="8">
        <f>COUNTIFS('Raw data'!$D:$D,"*Louie Briggs*", 'Raw data'!$Y:$Y,"*1st*",'Raw data'!$H:$H,"*Runs in Behind*")</f>
        <v>0</v>
      </c>
      <c r="GU13" s="8">
        <f>COUNTIFS('Raw data'!$D:$D,"*Louie Briggs*", 'Raw data'!$Y:$Y,"*1st*",'Raw data'!$H:$H,"*Half-space Runs*")</f>
        <v>0</v>
      </c>
      <c r="GV13" s="8">
        <f t="shared" ref="GV13:GV23" si="34">SUM(GJ13,HA13,HF13)</f>
        <v>0</v>
      </c>
      <c r="GW13" s="8">
        <f t="shared" ref="GW13:GW23" si="35">SUM(GK13,HB13,HG13)</f>
        <v>0</v>
      </c>
      <c r="GX13" s="8">
        <f t="shared" ref="GX13:GX23" si="36">SUM(GL13,HC13,HH13)</f>
        <v>0</v>
      </c>
      <c r="GY13" s="54" t="str">
        <f t="shared" ref="GY13:GY23" si="37">IFERROR(GW13/$GV13,"-")</f>
        <v>-</v>
      </c>
      <c r="GZ13" s="54" t="str">
        <f t="shared" ref="GZ13:GZ23" si="38">IFERROR(GX13/$GV13,"-")</f>
        <v>-</v>
      </c>
      <c r="HA13" s="8">
        <f>COUNTIFS('Raw data'!$D:$D,"*Louie Briggs*", 'Raw data'!$Y:$Y,"*1st*",'Raw data'!$K:$K,"*Ground duel*")</f>
        <v>0</v>
      </c>
      <c r="HB13" s="8">
        <f>COUNTIFS('Raw data'!$D:$D,"*Louie Briggs*", 'Raw data'!$Y:$Y,"*1st*",'Raw data'!$K:$K,"*Ground duel*",'Raw data'!$M:$M,"*Duel Succeeded*")</f>
        <v>0</v>
      </c>
      <c r="HC13" s="8">
        <f>COUNTIFS('Raw data'!$D:$D,"*Louie Briggs*", 'Raw data'!$Y:$Y,"*1st*",'Raw data'!$K:$K,"*Ground duel*",'Raw data'!$M:$M,"*Duel Unsucceeded*")</f>
        <v>0</v>
      </c>
      <c r="HD13" s="54" t="str">
        <f t="shared" ref="HD13:HD23" si="39">IFERROR(HB13/$HA13,"-")</f>
        <v>-</v>
      </c>
      <c r="HE13" s="54" t="str">
        <f t="shared" ref="HE13:HE23" si="40">IFERROR(HC13/$HA13,"-")</f>
        <v>-</v>
      </c>
      <c r="HF13" s="8">
        <f>COUNTIFS('Raw data'!$D:$D,"*Louie Briggs*", 'Raw data'!$Y:$Y,"*1st*",'Raw data'!$K:$K,"*Aerial duel*")</f>
        <v>0</v>
      </c>
      <c r="HG13" s="8">
        <f>COUNTIFS('Raw data'!$D:$D,"*Louie Briggs*", 'Raw data'!$Y:$Y,"*1st*",'Raw data'!$K:$K,"*Aerial duel*",'Raw data'!$M:$M,"*Duel Succeeded*")</f>
        <v>0</v>
      </c>
      <c r="HH13" s="8">
        <f>COUNTIFS('Raw data'!$D:$D,"*Louie Briggs*", 'Raw data'!$Y:$Y,"*1st*",'Raw data'!$K:$K,"*Aerial duel*",'Raw data'!$M:$M,"*Duel Unsucceeded*")</f>
        <v>0</v>
      </c>
      <c r="HI13" s="54" t="str">
        <f t="shared" ref="HI13:HI23" si="41">IFERROR(HG13/$HG13,"-")</f>
        <v>-</v>
      </c>
      <c r="HJ13" s="54" t="str">
        <f t="shared" ref="HJ13:HJ23" si="42">IFERROR(HH13/$HG13,"-")</f>
        <v>-</v>
      </c>
      <c r="HK13" s="8">
        <f>COUNTIFS('Raw data'!$D:$D,"*Louie Briggs*", 'Raw data'!$Y:$Y,"*1st*",'Raw data'!$K:$K,"*1v1 defense*")</f>
        <v>0</v>
      </c>
      <c r="HL13" s="8">
        <f>COUNTIFS('Raw data'!$D:$D,"*Louie Briggs*", 'Raw data'!$Y:$Y,"*1st*",'Raw data'!$K:$K,"*1v1 defense*",'Raw data'!$M:$M,"*Duel Succeeded*")</f>
        <v>0</v>
      </c>
      <c r="HM13" s="8">
        <f>COUNTIFS('Raw data'!$D:$D,"*Louie Briggs*", 'Raw data'!$Y:$Y,"*1st*",'Raw data'!$K:$K,"*1v1 defense*",'Raw data'!$M:$M,"*Duel Unsucceeded*")</f>
        <v>0</v>
      </c>
      <c r="HN13" s="54" t="str">
        <f t="shared" ref="HN13:HN23" si="43">IFERROR(HL13/$HK13,"-")</f>
        <v>-</v>
      </c>
      <c r="HO13" s="54" t="str">
        <f t="shared" ref="HO13:HO23" si="44">IFERROR(HM13/$HK13,"-")</f>
        <v>-</v>
      </c>
      <c r="HP13" s="8">
        <f>COUNTIFS('Raw data'!$D:$D,"*Louie Briggs*", 'Raw data'!$Y:$Y,"*1st*",'Raw data'!$J:$J,"*Tackles*")</f>
        <v>0</v>
      </c>
      <c r="HQ13" s="8">
        <f>COUNTIFS('Raw data'!$D:$D,"*Louie Briggs*", 'Raw data'!$Y:$Y,"*1st*",'Raw data'!$J:$J,"*Tackles*", 'Raw data'!$M:$M,"*Duel Succeeded*")</f>
        <v>0</v>
      </c>
      <c r="HR13" s="8">
        <f>COUNTIFS('Raw data'!$D:$D,"*Louie Briggs*", 'Raw data'!$Y:$Y,"*1st*",'Raw data'!$J:$J,"*Tackles*", 'Raw data'!$M:$M,"*Duel Unsucceeded*")</f>
        <v>0</v>
      </c>
      <c r="HS13" s="54" t="str">
        <f t="shared" ref="HS13:HS23" si="45">IFERROR(HQ13/$HP13,"-")</f>
        <v>-</v>
      </c>
      <c r="HT13" s="54" t="str">
        <f t="shared" ref="HT13:HT23" si="46">IFERROR(HR13/$HP13,"-")</f>
        <v>-</v>
      </c>
      <c r="HU13" s="8">
        <f>COUNTIFS('Raw data'!$D:$D,"*Louie Briggs*", 'Raw data'!$Y:$Y,"*1st*",'Raw data'!$K:$K,"*2nd Balls*")</f>
        <v>0</v>
      </c>
      <c r="HV13" s="8">
        <f>COUNTIFS('Raw data'!$D:$D,"*Louie Briggs*", 'Raw data'!$Y:$Y,"*1st*",'Raw data'!$K:$K,"*2nd Balls*", 'Raw data'!$M:$M,"*Duel Succeeded*")</f>
        <v>0</v>
      </c>
      <c r="HW13" s="8">
        <f>COUNTIFS('Raw data'!$D:$D,"*Louie Briggs*", 'Raw data'!$Y:$Y,"*1st*",'Raw data'!$K:$K,"*2nd Balls*", 'Raw data'!$M:$M,"*Duel Unsucceeded*")</f>
        <v>0</v>
      </c>
      <c r="HX13" s="54" t="str">
        <f t="shared" ref="HX13:HX23" si="47">IFERROR(HV13/$HU13,"-")</f>
        <v>-</v>
      </c>
      <c r="HY13" s="54" t="str">
        <f t="shared" ref="HY13:HY23" si="48">IFERROR(HW13/$HU13,"-")</f>
        <v>-</v>
      </c>
      <c r="HZ13" s="8">
        <f>COUNTIFS('Raw data'!$D:$D,"*Louie Briggs*", 'Raw data'!$Y:$Y,"*1st*",'Raw data'!$J:$J,"*Clearance*")</f>
        <v>0</v>
      </c>
      <c r="IA13" s="8">
        <f>COUNTIFS('Raw data'!$D:$D,"*Louie Briggs*", 'Raw data'!$Y:$Y,"*1st*",'Raw data'!$J:$J,"*Interception*")</f>
        <v>0</v>
      </c>
      <c r="IB13" s="8">
        <f>COUNTIFS('Raw data'!$D:$D,"*Louie Briggs*", 'Raw data'!$Y:$Y,"*1st*",'Raw data'!$J:$J,"*Turnover Won*")</f>
        <v>0</v>
      </c>
      <c r="IC13" s="8">
        <f>COUNTIFS('Raw data'!$D:$D,"*Louie Briggs*", 'Raw data'!$Y:$Y,"*1st*",'Raw data'!$J:$J,"*Recovery*")</f>
        <v>0</v>
      </c>
      <c r="ID13" s="8">
        <f>COUNTIFS('Raw data'!$D:$D,"*Louie Briggs*", 'Raw data'!$Y:$Y,"*1st*",'Raw data'!$J:$J,"*Blocked Shots*")</f>
        <v>0</v>
      </c>
      <c r="IE13" s="8">
        <f>COUNTIFS('Raw data'!$D:$D,"*Louie Briggs*", 'Raw data'!$Y:$Y,"*1st*",'Raw data'!$J:$J,"*Man-marking*")</f>
        <v>0</v>
      </c>
      <c r="IF13" s="8">
        <f>COUNTIFS('Raw data'!$D:$D,"*Louie Briggs*", 'Raw data'!$Y:$Y,"*1st*",'Raw data'!$J:$J,"*Fouls*")</f>
        <v>0</v>
      </c>
      <c r="IG13" s="8">
        <f>COUNTIFS('Raw data'!$D:$D,"*Louie Briggs*", 'Raw data'!$Y:$Y,"*1st*",'Raw data'!$J:$J,"*Won F*")</f>
        <v>0</v>
      </c>
      <c r="IH13" s="8">
        <f>COUNTIFS('Raw data'!$D:$D,"*Louie Briggs*", 'Raw data'!$Y:$Y,"*1st*",'Raw data'!$G:$G,"*1v1*")</f>
        <v>0</v>
      </c>
      <c r="II13" s="8">
        <f>COUNTIFS('Raw data'!$D:$D,"*Louie Briggs*", 'Raw data'!$Y:$Y,"*1st*",'Raw data'!$G:$G,"*On Target*")</f>
        <v>0</v>
      </c>
      <c r="IJ13" s="8">
        <f>COUNTIFS('Raw data'!$D:$D,"*Louie Briggs*", 'Raw data'!$Y:$Y,"*1st*",'Raw data'!$G:$G,"*Off Target*")</f>
        <v>0</v>
      </c>
      <c r="IK13" s="8">
        <f>COUNTIFS('Raw data'!$D:$D,"*Louie Briggs*", 'Raw data'!$Y:$Y,"*1st*",'Raw data'!$G:$G,"*Defend the Space*")</f>
        <v>4</v>
      </c>
      <c r="IL13" s="8">
        <f>COUNTIFS('Raw data'!$D:$D,"*Louie Briggs*", 'Raw data'!$Y:$Y,"*1st*",'Raw data'!$G:$G,"*Conceded*")</f>
        <v>0</v>
      </c>
      <c r="IM13" s="8">
        <f>COUNTIFS('Raw data'!$D:$D,"*Louie Briggs*", 'Raw data'!$Y:$Y,"*1st*",'Raw data'!$G:$G,"*Save*")</f>
        <v>0</v>
      </c>
      <c r="IN13" s="8">
        <f>COUNTIFS('Raw data'!$D:$D,"*Louie Briggs*", 'Raw data'!$Y:$Y,"*1st*",'Raw data'!$G:$G,"*Defend the line (Cross)*")</f>
        <v>0</v>
      </c>
      <c r="IO13" s="8">
        <f>COUNTIFS('Raw data'!$D:$D,"*Louie Briggs*", 'Raw data'!$Y:$Y,"*1st*",'Raw data'!$G:$G,"*Counter Kick*")</f>
        <v>0</v>
      </c>
      <c r="IP13" t="s">
        <v>642</v>
      </c>
    </row>
    <row r="14" spans="1:250">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DW14" t="s">
        <v>463</v>
      </c>
      <c r="DX14" t="s">
        <v>649</v>
      </c>
      <c r="DY14">
        <v>40</v>
      </c>
      <c r="DZ14" t="s">
        <v>153</v>
      </c>
      <c r="EA14">
        <f t="shared" si="12"/>
        <v>36</v>
      </c>
      <c r="EB14" s="8">
        <f t="shared" ref="EB14:EB23" si="49">EG14+EL14+EQ14</f>
        <v>28</v>
      </c>
      <c r="EC14" s="8">
        <f t="shared" ref="EC14:EC23" si="50">EH14+EM14+ER14</f>
        <v>8</v>
      </c>
      <c r="ED14" s="54">
        <f t="shared" si="13"/>
        <v>0.77777777777777779</v>
      </c>
      <c r="EE14" s="54">
        <f t="shared" si="14"/>
        <v>0.22222222222222221</v>
      </c>
      <c r="EF14">
        <f t="shared" ref="EF14:EF23" si="51">EG14+EH14</f>
        <v>16</v>
      </c>
      <c r="EG14">
        <f>COUNTIFS('Raw data'!$D:$D,"*Joshua Laotan*", 'Raw data'!$Y:$Y,"*1st*",'Raw data'!$I:$I,"*Forward Pass*",'Raw data'!$M:$M,"*Pass completed*")</f>
        <v>9</v>
      </c>
      <c r="EH14">
        <f>COUNTIFS('Raw data'!$D:$D,"*Joshua Laotan*", 'Raw data'!$Y:$Y,"*1st*",'Raw data'!$I:$I,"*Forward Pass*",'Raw data'!$M:$M,"*Pass Uncompleted*")</f>
        <v>7</v>
      </c>
      <c r="EI14" s="54">
        <f t="shared" si="15"/>
        <v>0.5625</v>
      </c>
      <c r="EJ14" s="54">
        <f t="shared" si="16"/>
        <v>0.4375</v>
      </c>
      <c r="EK14">
        <f t="shared" ref="EK14:EK23" si="52">EL14+EM14</f>
        <v>15</v>
      </c>
      <c r="EL14" s="8">
        <f>COUNTIFS('Raw data'!$D:$D,"*Joshua Laotan*", 'Raw data'!$Y:$Y,"*1st*",'Raw data'!$I:$I,"*Lateral Pass*",'Raw data'!$M:$M,"*Pass completed*")</f>
        <v>14</v>
      </c>
      <c r="EM14" s="8">
        <f>COUNTIFS('Raw data'!$D:$D,"*Joshua Laotan*", 'Raw data'!$Y:$Y,"*1st*",'Raw data'!$I:$I,"*Lateral Pass*",'Raw data'!$M:$M,"*Pass Uncompleted*")</f>
        <v>1</v>
      </c>
      <c r="EN14" s="54">
        <f t="shared" si="17"/>
        <v>0.93333333333333335</v>
      </c>
      <c r="EO14" s="54">
        <f t="shared" si="18"/>
        <v>6.6666666666666666E-2</v>
      </c>
      <c r="EP14">
        <f t="shared" ref="EP14:EP23" si="53">EQ14+ER14</f>
        <v>5</v>
      </c>
      <c r="EQ14" s="8">
        <f>COUNTIFS('Raw data'!$D:$D,"*Joshua Laotan*", 'Raw data'!$Y:$Y,"*1st*",'Raw data'!$I:$I,"*Backward Pass*",'Raw data'!$M:$M,"*Pass completed*")</f>
        <v>5</v>
      </c>
      <c r="ER14" s="8">
        <f>COUNTIFS('Raw data'!$D:$D,"*Joshua Laotan*", 'Raw data'!$Y:$Y,"*1st*",'Raw data'!$I:$I,"*Backward Pass*",'Raw data'!$M:$M,"*Pass Uncompleted*")</f>
        <v>0</v>
      </c>
      <c r="ES14" s="54">
        <f t="shared" si="19"/>
        <v>1</v>
      </c>
      <c r="ET14" s="54">
        <f t="shared" si="20"/>
        <v>0</v>
      </c>
      <c r="EU14" s="8">
        <f>COUNTIFS('Raw data'!$D:$D,"*Joshua Laotan*", 'Raw data'!$Y:$Y,"*1st*",'Raw data'!$I:$I,"*Long Kick*")</f>
        <v>6</v>
      </c>
      <c r="EV14" s="8">
        <f>COUNTIFS('Raw data'!$D:$D,"*Joshua Laotan*", 'Raw data'!$Y:$Y,"*1st*",'Raw data'!$I:$I,"*Long Kick*",'Raw data'!$M:$M,"*Pass completed*")</f>
        <v>3</v>
      </c>
      <c r="EW14" s="8">
        <f>COUNTIFS('Raw data'!$D:$D,"*Joshua Laotan*", 'Raw data'!$Y:$Y,"*1st*",'Raw data'!$I:$I,"*Long Kick*",'Raw data'!$M:$M,"*Pass Uncompleted*")</f>
        <v>3</v>
      </c>
      <c r="EX14" s="54">
        <f t="shared" si="21"/>
        <v>0.5</v>
      </c>
      <c r="EY14" s="54">
        <f t="shared" si="22"/>
        <v>0.5</v>
      </c>
      <c r="EZ14" s="8">
        <f>COUNTIFS('Raw data'!$D:$D,"*Joshua Laotan*", 'Raw data'!$Y:$Y,"*1st*",'Raw data'!$I:$I,"*Balls in Behind*")</f>
        <v>6</v>
      </c>
      <c r="FA14" s="8">
        <f>COUNTIFS('Raw data'!$D:$D,"*Joshua Laotan*", 'Raw data'!$Y:$Y,"*1st*",'Raw data'!$I:$I,"*Balls in Behind*",'Raw data'!$M:$M,"*Pass completed*")</f>
        <v>2</v>
      </c>
      <c r="FB14" s="8">
        <f>COUNTIFS('Raw data'!$D:$D,"*Joshua Laotan*", 'Raw data'!$Y:$Y,"*1st*",'Raw data'!$I:$I,"*Balls in Behind*",'Raw data'!$M:$M,"*Pass Uncompleted*")</f>
        <v>4</v>
      </c>
      <c r="FC14" s="54">
        <f t="shared" si="23"/>
        <v>0.33333333333333331</v>
      </c>
      <c r="FD14" s="54">
        <f t="shared" si="24"/>
        <v>0.66666666666666663</v>
      </c>
      <c r="FE14" s="8">
        <f>COUNTIFS('Raw data'!$D:$D,"*Joshua Laotan*", 'Raw data'!$Y:$Y,"*1st*",'Raw data'!$I:$I,"*Key/Through pass*")</f>
        <v>0</v>
      </c>
      <c r="FF14" s="8">
        <f>COUNTIFS('Raw data'!$D:$D,"*Joshua Laotan*", 'Raw data'!$Y:$Y,"*1st*",'Raw data'!$I:$I,"*Diagonal pass*")</f>
        <v>0</v>
      </c>
      <c r="FG14" s="8">
        <f>COUNTIFS('Raw data'!$D:$D,"*Joshua Laotan*", 'Raw data'!$Y:$Y,"*1st*",'Raw data'!$I:$I,"*Diagonal pass*",'Raw data'!$M:$M,"*Pass completed*")</f>
        <v>0</v>
      </c>
      <c r="FH14" s="8">
        <f>COUNTIFS('Raw data'!$D:$D,"*Joshua Laotan*", 'Raw data'!$Y:$Y,"*1st*",'Raw data'!$I:$I,"*Diagonal pass*",'Raw data'!$M:$M,"*Pass Uncompleted*")</f>
        <v>0</v>
      </c>
      <c r="FI14" s="54" t="str">
        <f t="shared" si="25"/>
        <v>-</v>
      </c>
      <c r="FJ14" s="54" t="str">
        <f t="shared" si="26"/>
        <v>-</v>
      </c>
      <c r="FK14" s="8">
        <f>COUNTIFS('Raw data'!$D:$D,"*Joshua Laotan*", 'Raw data'!$Y:$Y,"*1st*",'Raw data'!$M:$M,"*Pass Received*")</f>
        <v>30</v>
      </c>
      <c r="FL14" s="8">
        <f>COUNTIFS('Raw data'!$D:$D,"*Joshua Laotan*", 'Raw data'!$Y:$Y,"*1st*",'Raw data'!$M:$M,"*Pass Completed*",'Raw data'!$M:$M,"*Pass Received*")</f>
        <v>24</v>
      </c>
      <c r="FM14" s="8">
        <f>COUNTIFS('Raw data'!$D:$D,"*Joshua Laotan*", 'Raw data'!$Y:$Y,"*1st*",'Raw data'!$M:$M,"*Pass Uncompleted*",'Raw data'!$M:$M,"*Pass Received*")</f>
        <v>7</v>
      </c>
      <c r="FN14" s="8">
        <f>COUNTIFS('Raw data'!$D:$D,"*Joshua Laotan*", 'Raw data'!$Y:$Y,"*1st*",'Raw data'!$M:$M,"*Kept Possession*",'Raw data'!$M:$M,"*Pass Received*")</f>
        <v>1</v>
      </c>
      <c r="FO14" s="8">
        <f>COUNTIFS('Raw data'!$D:$D,"*Joshua Laotan*", 'Raw data'!$Y:$Y,"*1st*",'Raw data'!$M:$M,"*Lost Possession*")</f>
        <v>0</v>
      </c>
      <c r="FP14" s="8">
        <f>COUNTIFS('Raw data'!$D:$D,"*Joshua Laotan*", 'Raw data'!$Y:$Y,"*1st*",'Raw data'!$M:$M,"*Lost Possession*",'Raw data'!$M:$M,"*Lost Final 1/3*")</f>
        <v>0</v>
      </c>
      <c r="FQ14" s="8">
        <f>COUNTIFS('Raw data'!$D:$D,"*Joshua Laotan*", 'Raw data'!$Y:$Y,"*1st*",'Raw data'!$M:$M,"*Lost Possession*",'Raw data'!$M:$M,"*Lost Middle 1/3*")</f>
        <v>0</v>
      </c>
      <c r="FR14" s="8">
        <f>COUNTIFS('Raw data'!$D:$D,"*Joshua Laotan*", 'Raw data'!$Y:$Y,"*1st*",'Raw data'!$M:$M,"*Lost Possession*",'Raw data'!$M:$M,"*Lost Own 1/3*")</f>
        <v>0</v>
      </c>
      <c r="FS14" s="8">
        <f>COUNTIFS('Raw data'!$D:$D,"*Joshua Laotan*", 'Raw data'!$Y:$Y,"*1st*",'Raw data'!$H:$H,"*Touches in the Box*")</f>
        <v>0</v>
      </c>
      <c r="FT14" s="8">
        <f>COUNTIFS('Raw data'!$D:$D,"*Joshua Laotan*", 'Raw data'!$Y:$Y,"*1st*",'Raw data'!$H:$H,"*1v1 Attack*")</f>
        <v>0</v>
      </c>
      <c r="FU14" s="8">
        <f>COUNTIFS('Raw data'!$D:$D,"*Joshua Laotan*", 'Raw data'!$Y:$Y,"*1st*",'Raw data'!$H:$H,"*1v1 Attack*",'Raw data'!$H:$H,"*1v1 Attack*",'Raw data'!$M:$M,"*Kept Possession*")</f>
        <v>0</v>
      </c>
      <c r="FV14" s="8">
        <f>COUNTIFS('Raw data'!$D:$D,"*Joshua Laotan*", 'Raw data'!$Y:$Y,"*1st*",'Raw data'!$H:$H,"*1v1 Attack*",'Raw data'!$H:$H,"*1v1 Attack*",'Raw data'!$M:$M,"*Lost Possession*")</f>
        <v>0</v>
      </c>
      <c r="FW14" s="54" t="str">
        <f t="shared" si="27"/>
        <v>-</v>
      </c>
      <c r="FX14" s="54" t="str">
        <f t="shared" si="28"/>
        <v>-</v>
      </c>
      <c r="FY14" s="8">
        <f>COUNTIFS('Raw data'!$D:$D,"*Joshua Laotan*", 'Raw data'!$Y:$Y,"*1st*",'Raw data'!$I:$I,"*Cross*")</f>
        <v>0</v>
      </c>
      <c r="FZ14" s="8">
        <f>COUNTIFS('Raw data'!$D:$D,"*Joshua Laotan*", 'Raw data'!$Y:$Y,"*1st*",'Raw data'!$I:$I,"*Cross*",'Raw data'!$M:$M,"*Pass Completed*")</f>
        <v>0</v>
      </c>
      <c r="GA14" s="8">
        <f>COUNTIFS('Raw data'!$D:$D,"*Joshua Laotan*", 'Raw data'!$Y:$Y,"*1st*",'Raw data'!$I:$I,"*Cross*",'Raw data'!$M:$M,"*Pass Uncompleted*")</f>
        <v>0</v>
      </c>
      <c r="GB14" s="54" t="str">
        <f t="shared" si="29"/>
        <v>-</v>
      </c>
      <c r="GC14" s="54" t="str">
        <f t="shared" si="30"/>
        <v>-</v>
      </c>
      <c r="GD14" s="8">
        <f t="shared" si="31"/>
        <v>0</v>
      </c>
      <c r="GE14" s="8">
        <f>COUNTIFS('Raw data'!$D:$D,"*Joshua Laotan*", 'Raw data'!$Y:$Y,"*1st*",'Raw data'!$L:$L,"*On Target*")</f>
        <v>0</v>
      </c>
      <c r="GF14" s="8">
        <f>COUNTIFS('Raw data'!$D:$D,"*Joshua Laotan*", 'Raw data'!$Y:$Y,"*1st*",'Raw data'!$L:$L,"*Off Target*")</f>
        <v>0</v>
      </c>
      <c r="GG14" s="8">
        <f>COUNTIFS('Raw data'!$D:$D,"*Joshua Laotan*", 'Raw data'!$Y:$Y,"*1st*",'Raw data'!$L:$L,"*Blocked*")</f>
        <v>0</v>
      </c>
      <c r="GH14" s="8">
        <f>COUNTIFS('Raw data'!$D:$D,"*Joshua Laotan*", 'Raw data'!$Y:$Y,"*1st*",'Raw data'!$M:$M,"*Goal*")</f>
        <v>0</v>
      </c>
      <c r="GI14" s="8">
        <f>COUNTIFS('Raw data'!$D:$D,"*Joshua Laotan*", 'Raw data'!$Y:$Y,"*1st*",'Raw data'!$M:$M,"*Assist*")</f>
        <v>0</v>
      </c>
      <c r="GJ14" s="8">
        <f>COUNTIFS('Raw data'!$D:$D,"*Joshua Laotan*", 'Raw data'!$Y:$Y,"*1st*",'Raw data'!$H:$H,"*Offensive duel*")</f>
        <v>1</v>
      </c>
      <c r="GK14" s="8">
        <f>COUNTIFS('Raw data'!$D:$D,"*Joshua Laotan*", 'Raw data'!$Y:$Y,"*1st*",'Raw data'!$H:$H,"*Offensive Duel*",'Raw data'!$H:$H,"*Offensive Duel*",'Raw data'!$M:$M,"*Kept Possession*")</f>
        <v>1</v>
      </c>
      <c r="GL14" s="8">
        <f>COUNTIFS('Raw data'!$D:$D,"*Joshua Laotan*", 'Raw data'!$Y:$Y,"*1st*",'Raw data'!$H:$H,"*Offensive Duel*",'Raw data'!$H:$H,"*Offensive Duel*",'Raw data'!$M:$M,"*Lost Possession*")</f>
        <v>0</v>
      </c>
      <c r="GM14" s="54">
        <f t="shared" si="32"/>
        <v>1</v>
      </c>
      <c r="GN14" s="54">
        <f t="shared" si="33"/>
        <v>0</v>
      </c>
      <c r="GO14" s="8">
        <f>COUNTIFS('Raw data'!$D:$D,"*Joshua Laotan*", 'Raw data'!$Y:$Y,"*1st*",'Raw data'!$H:$H,"*Acceleration*")</f>
        <v>2</v>
      </c>
      <c r="GP14" s="8">
        <f>COUNTIFS('Raw data'!$D:$D,"*Joshua Laotan*", 'Raw data'!$Y:$Y,"*1st*",'Raw data'!$H:$H,"*Move into Pocket*")</f>
        <v>0</v>
      </c>
      <c r="GQ14" s="8">
        <f>COUNTIFS('Raw data'!$D:$D,"*Joshua Laotan*", 'Raw data'!$Y:$Y,"*1st*",'Raw data'!$H:$H,"*Wide area*")</f>
        <v>0</v>
      </c>
      <c r="GR14" s="8">
        <f>COUNTIFS('Raw data'!$D:$D,"*Joshua Laotan*", 'Raw data'!$Y:$Y,"*1st*",'Raw data'!$H:$H,"*Back to goal*")</f>
        <v>0</v>
      </c>
      <c r="GS14" s="8">
        <f>COUNTIFS('Raw data'!$D:$D,"*Joshua Laotan*", 'Raw data'!$Y:$Y,"*1st*",'Raw data'!$H:$H,"*Over/Underlaps*")</f>
        <v>0</v>
      </c>
      <c r="GT14" s="8">
        <f>COUNTIFS('Raw data'!$D:$D,"*Joshua Laotan*", 'Raw data'!$Y:$Y,"*1st*",'Raw data'!$H:$H,"*Runs in Behind*")</f>
        <v>0</v>
      </c>
      <c r="GU14" s="8">
        <f>COUNTIFS('Raw data'!$D:$D,"*Joshua Laotan*", 'Raw data'!$Y:$Y,"*1st*",'Raw data'!$H:$H,"*Half-space Runs*")</f>
        <v>0</v>
      </c>
      <c r="GV14" s="8">
        <f t="shared" si="34"/>
        <v>2</v>
      </c>
      <c r="GW14" s="8">
        <f t="shared" si="35"/>
        <v>2</v>
      </c>
      <c r="GX14" s="8">
        <f t="shared" si="36"/>
        <v>0</v>
      </c>
      <c r="GY14" s="54">
        <f t="shared" si="37"/>
        <v>1</v>
      </c>
      <c r="GZ14" s="54">
        <f t="shared" si="38"/>
        <v>0</v>
      </c>
      <c r="HA14" s="8">
        <f>COUNTIFS('Raw data'!$D:$D,"*Joshua Laotan*", 'Raw data'!$Y:$Y,"*1st*",'Raw data'!$K:$K,"*Ground duel*")</f>
        <v>0</v>
      </c>
      <c r="HB14" s="8">
        <f>COUNTIFS('Raw data'!$D:$D,"*Joshua Laotan*", 'Raw data'!$Y:$Y,"*1st*",'Raw data'!$K:$K,"*Ground duel*",'Raw data'!$M:$M,"*Duel Succeeded*")</f>
        <v>0</v>
      </c>
      <c r="HC14" s="8">
        <f>COUNTIFS('Raw data'!$D:$D,"*Joshua Laotan*", 'Raw data'!$Y:$Y,"*1st*",'Raw data'!$K:$K,"*Ground duel*",'Raw data'!$M:$M,"*Duel Unsucceeded*")</f>
        <v>0</v>
      </c>
      <c r="HD14" s="54" t="str">
        <f t="shared" si="39"/>
        <v>-</v>
      </c>
      <c r="HE14" s="54" t="str">
        <f t="shared" si="40"/>
        <v>-</v>
      </c>
      <c r="HF14" s="8">
        <f>COUNTIFS('Raw data'!$D:$D,"*Joshua Laotan*", 'Raw data'!$Y:$Y,"*1st*",'Raw data'!$K:$K,"*Aerial duel*")</f>
        <v>1</v>
      </c>
      <c r="HG14" s="8">
        <f>COUNTIFS('Raw data'!$D:$D,"*Joshua Laotan*", 'Raw data'!$Y:$Y,"*1st*",'Raw data'!$K:$K,"*Aerial duel*",'Raw data'!$M:$M,"*Duel Succeeded*")</f>
        <v>1</v>
      </c>
      <c r="HH14" s="8">
        <f>COUNTIFS('Raw data'!$D:$D,"*Joshua Laotan*", 'Raw data'!$Y:$Y,"*1st*",'Raw data'!$K:$K,"*Aerial duel*",'Raw data'!$M:$M,"*Duel Unsucceeded*")</f>
        <v>0</v>
      </c>
      <c r="HI14" s="54">
        <f t="shared" si="41"/>
        <v>1</v>
      </c>
      <c r="HJ14" s="54">
        <f t="shared" si="42"/>
        <v>0</v>
      </c>
      <c r="HK14" s="8">
        <f>COUNTIFS('Raw data'!$D:$D,"*Joshua Laotan*", 'Raw data'!$Y:$Y,"*1st*",'Raw data'!$K:$K,"*1v1 defense*")</f>
        <v>0</v>
      </c>
      <c r="HL14" s="8">
        <f>COUNTIFS('Raw data'!$D:$D,"*Joshua Laotan*", 'Raw data'!$Y:$Y,"*1st*",'Raw data'!$K:$K,"*1v1 defense*",'Raw data'!$M:$M,"*Duel Succeeded*")</f>
        <v>0</v>
      </c>
      <c r="HM14" s="8">
        <f>COUNTIFS('Raw data'!$D:$D,"*Joshua Laotan*", 'Raw data'!$Y:$Y,"*1st*",'Raw data'!$K:$K,"*1v1 defense*",'Raw data'!$M:$M,"*Duel Unsucceeded*")</f>
        <v>0</v>
      </c>
      <c r="HN14" s="54" t="str">
        <f t="shared" si="43"/>
        <v>-</v>
      </c>
      <c r="HO14" s="54" t="str">
        <f t="shared" si="44"/>
        <v>-</v>
      </c>
      <c r="HP14" s="8">
        <f>COUNTIFS('Raw data'!$D:$D,"*Joshua Laotan*", 'Raw data'!$Y:$Y,"*1st*",'Raw data'!$J:$J,"*Tackles*")</f>
        <v>0</v>
      </c>
      <c r="HQ14" s="8">
        <f>COUNTIFS('Raw data'!$D:$D,"*Joshua Laotan*", 'Raw data'!$Y:$Y,"*1st*",'Raw data'!$J:$J,"*Tackles*", 'Raw data'!$M:$M,"*Duel Succeeded*")</f>
        <v>0</v>
      </c>
      <c r="HR14" s="8">
        <f>COUNTIFS('Raw data'!$D:$D,"*Joshua Laotan*", 'Raw data'!$Y:$Y,"*1st*",'Raw data'!$J:$J,"*Tackles*", 'Raw data'!$M:$M,"*Duel Unsucceeded*")</f>
        <v>0</v>
      </c>
      <c r="HS14" s="54" t="str">
        <f t="shared" si="45"/>
        <v>-</v>
      </c>
      <c r="HT14" s="54" t="str">
        <f t="shared" si="46"/>
        <v>-</v>
      </c>
      <c r="HU14" s="8">
        <f>COUNTIFS('Raw data'!$D:$D,"*Joshua Laotan*", 'Raw data'!$Y:$Y,"*1st*",'Raw data'!$K:$K,"*2nd Balls*")</f>
        <v>0</v>
      </c>
      <c r="HV14" s="8">
        <f>COUNTIFS('Raw data'!$D:$D,"*Joshua Laotan*", 'Raw data'!$Y:$Y,"*1st*",'Raw data'!$K:$K,"*2nd Balls*", 'Raw data'!$M:$M,"*Duel Succeeded*")</f>
        <v>0</v>
      </c>
      <c r="HW14" s="8">
        <f>COUNTIFS('Raw data'!$D:$D,"*Joshua Laotan*", 'Raw data'!$Y:$Y,"*1st*",'Raw data'!$K:$K,"*2nd Balls*", 'Raw data'!$M:$M,"*Duel Unsucceeded*")</f>
        <v>0</v>
      </c>
      <c r="HX14" s="54" t="str">
        <f t="shared" si="47"/>
        <v>-</v>
      </c>
      <c r="HY14" s="54" t="str">
        <f t="shared" si="48"/>
        <v>-</v>
      </c>
      <c r="HZ14" s="8">
        <f>COUNTIFS('Raw data'!$D:$D,"*Joshua Laotan*", 'Raw data'!$Y:$Y,"*1st*",'Raw data'!$J:$J,"*Clearance*")</f>
        <v>0</v>
      </c>
      <c r="IA14" s="8">
        <f>COUNTIFS('Raw data'!$D:$D,"*Joshua Laotan*", 'Raw data'!$Y:$Y,"*1st*",'Raw data'!$J:$J,"*Interception*")</f>
        <v>0</v>
      </c>
      <c r="IB14" s="8">
        <f>COUNTIFS('Raw data'!$D:$D,"*Joshua Laotan*", 'Raw data'!$Y:$Y,"*1st*",'Raw data'!$J:$J,"*Turnover Won*")</f>
        <v>0</v>
      </c>
      <c r="IC14" s="8">
        <f>COUNTIFS('Raw data'!$D:$D,"*Joshua Laotan*", 'Raw data'!$Y:$Y,"*1st*",'Raw data'!$J:$J,"*Recovery*")</f>
        <v>0</v>
      </c>
      <c r="ID14" s="8">
        <f>COUNTIFS('Raw data'!$D:$D,"*Joshua Laotan*", 'Raw data'!$Y:$Y,"*1st*",'Raw data'!$J:$J,"*Blocked Shots*")</f>
        <v>0</v>
      </c>
      <c r="IE14" s="8">
        <f>COUNTIFS('Raw data'!$D:$D,"*Joshua Laotan*", 'Raw data'!$Y:$Y,"*1st*",'Raw data'!$J:$J,"*Man-marking*")</f>
        <v>0</v>
      </c>
      <c r="IF14" s="8">
        <f>COUNTIFS('Raw data'!$D:$D,"*Joshua Laotan*", 'Raw data'!$Y:$Y,"*1st*",'Raw data'!$J:$J,"*Fouls*")</f>
        <v>0</v>
      </c>
      <c r="IG14" s="8">
        <f>COUNTIFS('Raw data'!$D:$D,"*Joshua Laotan*", 'Raw data'!$Y:$Y,"*1st*",'Raw data'!$J:$J,"*Won F*")</f>
        <v>0</v>
      </c>
      <c r="IH14" s="8">
        <f>COUNTIFS('Raw data'!$D:$D,"*Joshua Laotan*", 'Raw data'!$Y:$Y,"*1st*",'Raw data'!$G:$G,"*1v1*")</f>
        <v>0</v>
      </c>
      <c r="II14" s="8">
        <f>COUNTIFS('Raw data'!$D:$D,"*Joshua Laotan*", 'Raw data'!$Y:$Y,"*1st*",'Raw data'!$G:$G,"*On Target*")</f>
        <v>0</v>
      </c>
      <c r="IJ14" s="8">
        <f>COUNTIFS('Raw data'!$D:$D,"*Joshua Laotan*", 'Raw data'!$Y:$Y,"*1st*",'Raw data'!$G:$G,"*Off Target*")</f>
        <v>0</v>
      </c>
      <c r="IK14" s="8">
        <f>COUNTIFS('Raw data'!$D:$D,"*Joshua Laotan*", 'Raw data'!$Y:$Y,"*1st*",'Raw data'!$G:$G,"*Defend the Space*")</f>
        <v>0</v>
      </c>
      <c r="IL14" s="8">
        <f>COUNTIFS('Raw data'!$D:$D,"*Joshua Laotan*", 'Raw data'!$Y:$Y,"*1st*",'Raw data'!$G:$G,"*Conceded*")</f>
        <v>0</v>
      </c>
      <c r="IM14" s="8">
        <f>COUNTIFS('Raw data'!$D:$D,"*Joshua Laotan*", 'Raw data'!$Y:$Y,"*1st*",'Raw data'!$G:$G,"*Save*")</f>
        <v>0</v>
      </c>
      <c r="IN14" s="8">
        <f>COUNTIFS('Raw data'!$D:$D,"*Joshua Laotan*", 'Raw data'!$Y:$Y,"*1st*",'Raw data'!$G:$G,"*Defend the line (Cross)*")</f>
        <v>0</v>
      </c>
      <c r="IO14" s="8">
        <f>COUNTIFS('Raw data'!$D:$D,"*Joshua Laotan*", 'Raw data'!$Y:$Y,"*1st*",'Raw data'!$G:$G,"*Counter Kick*")</f>
        <v>0</v>
      </c>
      <c r="IP14" t="s">
        <v>649</v>
      </c>
    </row>
    <row r="15" spans="1:250">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DW15" t="s">
        <v>463</v>
      </c>
      <c r="DX15" t="s">
        <v>738</v>
      </c>
      <c r="DY15">
        <v>40</v>
      </c>
      <c r="DZ15" t="s">
        <v>153</v>
      </c>
      <c r="EA15">
        <f t="shared" si="12"/>
        <v>33</v>
      </c>
      <c r="EB15" s="8">
        <f t="shared" si="49"/>
        <v>25</v>
      </c>
      <c r="EC15" s="8">
        <f t="shared" si="50"/>
        <v>8</v>
      </c>
      <c r="ED15" s="54">
        <f t="shared" si="13"/>
        <v>0.75757575757575757</v>
      </c>
      <c r="EE15" s="54">
        <f t="shared" si="14"/>
        <v>0.24242424242424243</v>
      </c>
      <c r="EF15">
        <f t="shared" si="51"/>
        <v>15</v>
      </c>
      <c r="EG15">
        <f>COUNTIFS('Raw data'!$D:$D,"*Ayodele Akinsanya*", 'Raw data'!$Y:$Y,"*1st*",'Raw data'!$I:$I,"*Forward Pass*",'Raw data'!$M:$M,"*Pass completed*")</f>
        <v>8</v>
      </c>
      <c r="EH15">
        <f>COUNTIFS('Raw data'!$D:$D,"*Ayodele Akinsanya*", 'Raw data'!$Y:$Y,"*1st*",'Raw data'!$I:$I,"*Forward Pass*",'Raw data'!$M:$M,"*Pass Uncompleted*")</f>
        <v>7</v>
      </c>
      <c r="EI15" s="54">
        <f t="shared" si="15"/>
        <v>0.53333333333333333</v>
      </c>
      <c r="EJ15" s="54">
        <f t="shared" si="16"/>
        <v>0.46666666666666667</v>
      </c>
      <c r="EK15">
        <f t="shared" si="52"/>
        <v>12</v>
      </c>
      <c r="EL15" s="8">
        <f>COUNTIFS('Raw data'!$D:$D,"*Ayodele Akinsanya*", 'Raw data'!$Y:$Y,"*1st*",'Raw data'!$I:$I,"*Lateral Pass*",'Raw data'!$M:$M,"*Pass completed*")</f>
        <v>12</v>
      </c>
      <c r="EM15" s="8">
        <f>COUNTIFS('Raw data'!$D:$D,"*Ayodele Akinsanya*", 'Raw data'!$Y:$Y,"*1st*",'Raw data'!$I:$I,"*Lateral Pass*",'Raw data'!$M:$M,"*Pass Uncompleted*")</f>
        <v>0</v>
      </c>
      <c r="EN15" s="54">
        <f t="shared" si="17"/>
        <v>1</v>
      </c>
      <c r="EO15" s="54">
        <f t="shared" si="18"/>
        <v>0</v>
      </c>
      <c r="EP15">
        <f t="shared" si="53"/>
        <v>6</v>
      </c>
      <c r="EQ15" s="8">
        <f>COUNTIFS('Raw data'!$D:$D,"*Ayodele Akinsanya*", 'Raw data'!$Y:$Y,"*1st*",'Raw data'!$I:$I,"*Backward Pass*",'Raw data'!$M:$M,"*Pass completed*")</f>
        <v>5</v>
      </c>
      <c r="ER15" s="8">
        <f>COUNTIFS('Raw data'!$D:$D,"*Ayodele Akinsanya*", 'Raw data'!$Y:$Y,"*1st*",'Raw data'!$I:$I,"*Backward Pass*",'Raw data'!$M:$M,"*Pass Uncompleted*")</f>
        <v>1</v>
      </c>
      <c r="ES15" s="54">
        <f t="shared" si="19"/>
        <v>1</v>
      </c>
      <c r="ET15" s="54">
        <f t="shared" si="20"/>
        <v>0.2</v>
      </c>
      <c r="EU15" s="8">
        <f>COUNTIFS('Raw data'!$D:$D,"*Ayodele Akinsanya*", 'Raw data'!$Y:$Y,"*1st*",'Raw data'!$I:$I,"*Long Kick*")</f>
        <v>4</v>
      </c>
      <c r="EV15" s="8">
        <f>COUNTIFS('Raw data'!$D:$D,"*Ayodele Akinsanya*", 'Raw data'!$Y:$Y,"*1st*",'Raw data'!$I:$I,"*Long Kick*",'Raw data'!$M:$M,"*Pass completed*")</f>
        <v>3</v>
      </c>
      <c r="EW15" s="8">
        <f>COUNTIFS('Raw data'!$D:$D,"*Ayodele Akinsanya*", 'Raw data'!$Y:$Y,"*1st*",'Raw data'!$I:$I,"*Long Kick*",'Raw data'!$M:$M,"*Pass Uncompleted*")</f>
        <v>1</v>
      </c>
      <c r="EX15" s="54">
        <f t="shared" si="21"/>
        <v>0.75</v>
      </c>
      <c r="EY15" s="54">
        <f t="shared" si="22"/>
        <v>0.25</v>
      </c>
      <c r="EZ15" s="8">
        <f>COUNTIFS('Raw data'!$D:$D,"*Ayodele Akinsanya*", 'Raw data'!$Y:$Y,"*1st*",'Raw data'!$I:$I,"*Balls in Behind*")</f>
        <v>3</v>
      </c>
      <c r="FA15" s="8">
        <f>COUNTIFS('Raw data'!$D:$D,"*Ayodele Akinsanya*", 'Raw data'!$Y:$Y,"*1st*",'Raw data'!$I:$I,"*Balls in Behind*",'Raw data'!$M:$M,"*Pass completed*")</f>
        <v>2</v>
      </c>
      <c r="FB15" s="8">
        <f>COUNTIFS('Raw data'!$D:$D,"*Ayodele Akinsanya*", 'Raw data'!$Y:$Y,"*1st*",'Raw data'!$I:$I,"*Balls in Behind*",'Raw data'!$M:$M,"*Pass Uncompleted*")</f>
        <v>1</v>
      </c>
      <c r="FC15" s="54">
        <f t="shared" si="23"/>
        <v>0.66666666666666663</v>
      </c>
      <c r="FD15" s="54">
        <f t="shared" si="24"/>
        <v>0.33333333333333331</v>
      </c>
      <c r="FE15" s="8">
        <f>COUNTIFS('Raw data'!$D:$D,"*Ayodele Akinsanya*", 'Raw data'!$Y:$Y,"*1st*",'Raw data'!$I:$I,"*Key/Through pass*")</f>
        <v>1</v>
      </c>
      <c r="FF15" s="8">
        <f>COUNTIFS('Raw data'!$D:$D,"*Ayodele Akinsanya*", 'Raw data'!$Y:$Y,"*1st*",'Raw data'!$I:$I,"*Diagonal pass*")</f>
        <v>0</v>
      </c>
      <c r="FG15" s="8">
        <f>COUNTIFS('Raw data'!$D:$D,"*Ayodele Akinsanya*", 'Raw data'!$Y:$Y,"*1st*",'Raw data'!$I:$I,"*Diagonal pass*",'Raw data'!$M:$M,"*Pass completed*")</f>
        <v>0</v>
      </c>
      <c r="FH15" s="8">
        <f>COUNTIFS('Raw data'!$D:$D,"*Ayodele Akinsanya*", 'Raw data'!$Y:$Y,"*1st*",'Raw data'!$I:$I,"*Diagonal pass*",'Raw data'!$M:$M,"*Pass Uncompleted*")</f>
        <v>0</v>
      </c>
      <c r="FI15" s="54" t="str">
        <f t="shared" si="25"/>
        <v>-</v>
      </c>
      <c r="FJ15" s="54" t="str">
        <f t="shared" si="26"/>
        <v>-</v>
      </c>
      <c r="FK15" s="8">
        <f>COUNTIFS('Raw data'!$D:$D,"*Ayodele Akinsanya*", 'Raw data'!$Y:$Y,"*1st*",'Raw data'!$M:$M,"*Pass Received*")</f>
        <v>20</v>
      </c>
      <c r="FL15" s="8">
        <f>COUNTIFS('Raw data'!$D:$D,"*Ayodele Akinsanya*", 'Raw data'!$Y:$Y,"*1st*",'Raw data'!$M:$M,"*Pass Completed*",'Raw data'!$M:$M,"*Pass Received*" )</f>
        <v>17</v>
      </c>
      <c r="FM15" s="8">
        <f>COUNTIFS('Raw data'!$D:$D,"*Ayodele Akinsanya*", 'Raw data'!$Y:$Y,"*1st*",'Raw data'!$M:$M,"*Pass Uncompleted*",'Raw data'!$M:$M,"*Pass Received*" )</f>
        <v>4</v>
      </c>
      <c r="FN15" s="8">
        <f>COUNTIFS('Raw data'!$D:$D,"*Ayodele Akinsanya*", 'Raw data'!$Y:$Y,"*1st*",'Raw data'!$M:$M,"*Kept Possession*",'Raw data'!$M:$M,"*Pass Received*" )</f>
        <v>1</v>
      </c>
      <c r="FO15" s="8">
        <f>COUNTIFS('Raw data'!$D:$D,"*Ayodele Akinsanya*", 'Raw data'!$Y:$Y,"*1st*",'Raw data'!$M:$M,"*Lost Possession*" )</f>
        <v>0</v>
      </c>
      <c r="FP15" s="8">
        <f>COUNTIFS('Raw data'!$D:$D,"*Ayodele Akinsanya*", 'Raw data'!$Y:$Y,"*1st*",'Raw data'!$M:$M,"*Lost Possession*",'Raw data'!$M:$M,"*Lost Final 1/3*")</f>
        <v>0</v>
      </c>
      <c r="FQ15" s="8">
        <f>COUNTIFS('Raw data'!$D:$D,"*Ayodele Akinsanya*", 'Raw data'!$Y:$Y,"*1st*",'Raw data'!$M:$M,"*Lost Possession*",'Raw data'!$M:$M,"*Lost Middle 1/3*")</f>
        <v>0</v>
      </c>
      <c r="FR15" s="8">
        <f>COUNTIFS('Raw data'!$D:$D,"*Ayodele Akinsanya*", 'Raw data'!$Y:$Y,"*1st*",'Raw data'!$M:$M,"*Lost Possession*",'Raw data'!$M:$M,"*Lost Own 1/3*")</f>
        <v>0</v>
      </c>
      <c r="FS15" s="8">
        <f>COUNTIFS('Raw data'!$D:$D,"*Ayodele Akinsanya*", 'Raw data'!$Y:$Y,"*1st*",'Raw data'!$H:$H,"*Touches in the Box*")</f>
        <v>0</v>
      </c>
      <c r="FT15" s="8">
        <f>COUNTIFS('Raw data'!$D:$D,"*Ayodele Akinsanya*", 'Raw data'!$Y:$Y,"*1st*",'Raw data'!$H:$H,"*1v1 Attack*")</f>
        <v>1</v>
      </c>
      <c r="FU15" s="8">
        <f>COUNTIFS('Raw data'!$D:$D,"*Ayodele Akinsanya*", 'Raw data'!$Y:$Y,"*1st*",'Raw data'!$H:$H,"*1v1 Attack*",'Raw data'!$H:$H,"*1v1 Attack*",'Raw data'!$M:$M,"*Kept Possession*")</f>
        <v>1</v>
      </c>
      <c r="FV15" s="8">
        <f>COUNTIFS('Raw data'!$D:$D,"*Ayodele Akinsanya*", 'Raw data'!$Y:$Y,"*1st*",'Raw data'!$H:$H,"*1v1 Attack*",'Raw data'!$H:$H,"*1v1 Attack*",'Raw data'!$M:$M,"*Lost Possession*")</f>
        <v>0</v>
      </c>
      <c r="FW15" s="54">
        <f t="shared" si="27"/>
        <v>1</v>
      </c>
      <c r="FX15" s="54">
        <f t="shared" si="28"/>
        <v>0</v>
      </c>
      <c r="FY15" s="8">
        <f>COUNTIFS('Raw data'!$D:$D,"*Ayodele Akinsanya*", 'Raw data'!$Y:$Y,"*1st*",'Raw data'!$I:$I,"*Cross*")</f>
        <v>0</v>
      </c>
      <c r="FZ15" s="8">
        <f>COUNTIFS('Raw data'!$D:$D,"*Ayodele Akinsanya*", 'Raw data'!$Y:$Y,"*1st*",'Raw data'!$I:$I,"*Cross*",'Raw data'!$M:$M,"*Pass Completed*")</f>
        <v>0</v>
      </c>
      <c r="GA15" s="8">
        <f>COUNTIFS('Raw data'!$D:$D,"*Ayodele Akinsanya*", 'Raw data'!$Y:$Y,"*1st*",'Raw data'!$I:$I,"*Cross*",'Raw data'!$M:$M,"*Pass Uncompleted*")</f>
        <v>0</v>
      </c>
      <c r="GB15" s="54" t="str">
        <f t="shared" si="29"/>
        <v>-</v>
      </c>
      <c r="GC15" s="54" t="str">
        <f t="shared" si="30"/>
        <v>-</v>
      </c>
      <c r="GD15" s="8">
        <f t="shared" si="31"/>
        <v>1</v>
      </c>
      <c r="GE15" s="8">
        <f>COUNTIFS('Raw data'!$D:$D,"*Ayodele Akinsanya*", 'Raw data'!$Y:$Y,"*1st*",'Raw data'!$L:$L,"*On Target*")</f>
        <v>1</v>
      </c>
      <c r="GF15" s="8">
        <f>COUNTIFS('Raw data'!$D:$D,"*Ayodele Akinsanya*", 'Raw data'!$Y:$Y,"*1st*",'Raw data'!$L:$L,"*Off Target*")</f>
        <v>0</v>
      </c>
      <c r="GG15" s="8">
        <f>COUNTIFS('Raw data'!$D:$D,"*Ayodele Akinsanya*", 'Raw data'!$Y:$Y,"*1st*",'Raw data'!$L:$L,"*Blocked*")</f>
        <v>0</v>
      </c>
      <c r="GH15" s="8">
        <f>COUNTIFS('Raw data'!$D:$D,"*Ayodele Akinsanya*", 'Raw data'!$Y:$Y,"*1st*",'Raw data'!$M:$M,"*Goal*")</f>
        <v>1</v>
      </c>
      <c r="GI15" s="8">
        <f>COUNTIFS('Raw data'!$D:$D,"*Ayodele Akinsanya*", 'Raw data'!$Y:$Y,"*1st*",'Raw data'!$M:$M,"*Assist*")</f>
        <v>0</v>
      </c>
      <c r="GJ15" s="8">
        <f>COUNTIFS('Raw data'!$D:$D,"*Ayodele Akinsanya*", 'Raw data'!$Y:$Y,"*1st*",'Raw data'!$H:$H,"*Offensive duel*")</f>
        <v>1</v>
      </c>
      <c r="GK15" s="8">
        <f>COUNTIFS('Raw data'!$D:$D,"*Ayodele Akinsanya*", 'Raw data'!$Y:$Y,"*1st*",'Raw data'!$H:$H,"*Offensive Duel*",'Raw data'!$H:$H,"*Offensive Duel*",'Raw data'!$M:$M,"*Kept Possession*")</f>
        <v>1</v>
      </c>
      <c r="GL15" s="8">
        <f>COUNTIFS('Raw data'!$D:$D,"*Ayodele Akinsanya*", 'Raw data'!$Y:$Y,"*1st*",'Raw data'!$H:$H,"*Offensive Duel*",'Raw data'!$H:$H,"*Offensive Duel*",'Raw data'!$M:$M,"*Lost Possession*")</f>
        <v>0</v>
      </c>
      <c r="GM15" s="54">
        <f t="shared" si="32"/>
        <v>1</v>
      </c>
      <c r="GN15" s="54">
        <f t="shared" si="33"/>
        <v>0</v>
      </c>
      <c r="GO15" s="8">
        <f>COUNTIFS('Raw data'!$D:$D,"*Ayodele Akinsanya*", 'Raw data'!$Y:$Y,"*1st*",'Raw data'!$H:$H,"*Acceleration*")</f>
        <v>0</v>
      </c>
      <c r="GP15" s="8">
        <f>COUNTIFS('Raw data'!$D:$D,"*Ayodele Akinsanya*", 'Raw data'!$Y:$Y,"*1st*",'Raw data'!$H:$H,"*Move into Pocket*")</f>
        <v>0</v>
      </c>
      <c r="GQ15" s="8">
        <f>COUNTIFS('Raw data'!$D:$D,"*Ayodele Akinsanya*", 'Raw data'!$Y:$Y,"*1st*",'Raw data'!$H:$H,"*Wide area*")</f>
        <v>0</v>
      </c>
      <c r="GR15" s="8">
        <f>COUNTIFS('Raw data'!$D:$D,"*Ayodele Akinsanya*", 'Raw data'!$Y:$Y,"*1st*",'Raw data'!$H:$H,"*Back to goal*")</f>
        <v>0</v>
      </c>
      <c r="GS15" s="8">
        <f>COUNTIFS('Raw data'!$D:$D,"*Ayodele Akinsanya*", 'Raw data'!$Y:$Y,"*1st*",'Raw data'!$H:$H,"*Over/Underlaps*")</f>
        <v>0</v>
      </c>
      <c r="GT15" s="8">
        <f>COUNTIFS('Raw data'!$D:$D,"*Ayodele Akinsanya*", 'Raw data'!$Y:$Y,"*1st*",'Raw data'!$H:$H,"*Runs in Behind*")</f>
        <v>0</v>
      </c>
      <c r="GU15" s="8">
        <f>COUNTIFS('Raw data'!$D:$D,"*Ayodele Akinsanya*", 'Raw data'!$Y:$Y,"*1st*",'Raw data'!$H:$H,"*Half-space Runs*")</f>
        <v>0</v>
      </c>
      <c r="GV15" s="8">
        <f t="shared" si="34"/>
        <v>2</v>
      </c>
      <c r="GW15" s="8">
        <f t="shared" si="35"/>
        <v>2</v>
      </c>
      <c r="GX15" s="8">
        <f t="shared" si="36"/>
        <v>0</v>
      </c>
      <c r="GY15" s="54">
        <f t="shared" si="37"/>
        <v>1</v>
      </c>
      <c r="GZ15" s="54">
        <f t="shared" si="38"/>
        <v>0</v>
      </c>
      <c r="HA15" s="8">
        <f>COUNTIFS('Raw data'!$D:$D,"*Ayodele Akinsanya*", 'Raw data'!$Y:$Y,"*1st*",'Raw data'!$K:$K,"*Ground duel*")</f>
        <v>1</v>
      </c>
      <c r="HB15" s="8">
        <f>COUNTIFS('Raw data'!$D:$D,"*Ayodele Akinsanya*", 'Raw data'!$Y:$Y,"*1st*",'Raw data'!$K:$K,"*Ground duel*",'Raw data'!$M:$M,"*Duel Succeeded*")</f>
        <v>1</v>
      </c>
      <c r="HC15" s="8">
        <f>COUNTIFS('Raw data'!$D:$D,"*Ayodele Akinsanya*", 'Raw data'!$Y:$Y,"*1st*",'Raw data'!$K:$K,"*Ground duel*",'Raw data'!$M:$M,"*Duel Unsucceeded*")</f>
        <v>0</v>
      </c>
      <c r="HD15" s="54">
        <f t="shared" si="39"/>
        <v>1</v>
      </c>
      <c r="HE15" s="54">
        <f t="shared" si="40"/>
        <v>0</v>
      </c>
      <c r="HF15" s="8">
        <f>COUNTIFS('Raw data'!$D:$D,"*Ayodele Akinsanya*", 'Raw data'!$Y:$Y,"*1st*",'Raw data'!$K:$K,"*Aerial duel*")</f>
        <v>0</v>
      </c>
      <c r="HG15" s="8">
        <f>COUNTIFS('Raw data'!$D:$D,"*Ayodele Akinsanya*", 'Raw data'!$Y:$Y,"*1st*",'Raw data'!$K:$K,"*Aerial duel*",'Raw data'!$M:$M,"*Duel Succeeded*")</f>
        <v>0</v>
      </c>
      <c r="HH15" s="8">
        <f>COUNTIFS('Raw data'!$D:$D,"*Ayodele Akinsanya*", 'Raw data'!$Y:$Y,"*1st*",'Raw data'!$K:$K,"*Aerial duel*",'Raw data'!$M:$M,"*Duel Unsucceeded*")</f>
        <v>0</v>
      </c>
      <c r="HI15" s="54" t="str">
        <f t="shared" si="41"/>
        <v>-</v>
      </c>
      <c r="HJ15" s="54" t="str">
        <f t="shared" si="42"/>
        <v>-</v>
      </c>
      <c r="HK15" s="8">
        <f>COUNTIFS('Raw data'!$D:$D,"*Ayodele Akinsanya*", 'Raw data'!$Y:$Y,"*1st*",'Raw data'!$K:$K,"*1v1 defense*")</f>
        <v>0</v>
      </c>
      <c r="HL15" s="8">
        <f>COUNTIFS('Raw data'!$D:$D,"*Ayodele Akinsanya*", 'Raw data'!$Y:$Y,"*1st*",'Raw data'!$K:$K,"*1v1 defense*",'Raw data'!$M:$M,"*Duel Succeeded*")</f>
        <v>0</v>
      </c>
      <c r="HM15" s="8">
        <f>COUNTIFS('Raw data'!$D:$D,"*Ayodele Akinsanya*", 'Raw data'!$Y:$Y,"*1st*",'Raw data'!$K:$K,"*1v1 defense*",'Raw data'!$M:$M,"*Duel Unsucceeded*")</f>
        <v>0</v>
      </c>
      <c r="HN15" s="54" t="str">
        <f t="shared" si="43"/>
        <v>-</v>
      </c>
      <c r="HO15" s="54" t="str">
        <f t="shared" si="44"/>
        <v>-</v>
      </c>
      <c r="HP15" s="8">
        <f>COUNTIFS('Raw data'!$D:$D,"*Ayodele Akinsanya*", 'Raw data'!$Y:$Y,"*1st*",'Raw data'!$J:$J,"*Tackles*")</f>
        <v>0</v>
      </c>
      <c r="HQ15" s="8">
        <f>COUNTIFS('Raw data'!$D:$D,"*Ayodele Akinsanya*", 'Raw data'!$Y:$Y,"*1st*",'Raw data'!$J:$J,"*Tackles*", 'Raw data'!$M:$M,"*Duel Succeeded*")</f>
        <v>0</v>
      </c>
      <c r="HR15" s="8">
        <f>COUNTIFS('Raw data'!$D:$D,"*Ayodele Akinsanya*", 'Raw data'!$Y:$Y,"*1st*",'Raw data'!$J:$J,"*Tackles*", 'Raw data'!$M:$M,"*Duel Unsucceeded*")</f>
        <v>0</v>
      </c>
      <c r="HS15" s="54" t="str">
        <f t="shared" si="45"/>
        <v>-</v>
      </c>
      <c r="HT15" s="54" t="str">
        <f t="shared" si="46"/>
        <v>-</v>
      </c>
      <c r="HU15" s="8">
        <f>COUNTIFS('Raw data'!$D:$D,"*Ayodele Akinsanya*", 'Raw data'!$Y:$Y,"*1st*",'Raw data'!$K:$K,"*2nd Balls*")</f>
        <v>0</v>
      </c>
      <c r="HV15" s="8">
        <f>COUNTIFS('Raw data'!$D:$D,"*Ayodele Akinsanya*", 'Raw data'!$Y:$Y,"*1st*",'Raw data'!$K:$K,"*2nd Balls*", 'Raw data'!$M:$M,"*Duel Succeeded*")</f>
        <v>0</v>
      </c>
      <c r="HW15" s="8">
        <f>COUNTIFS('Raw data'!$D:$D,"*Ayodele Akinsanya*", 'Raw data'!$Y:$Y,"*1st*",'Raw data'!$K:$K,"*2nd Balls*", 'Raw data'!$M:$M,"*Duel Unsucceeded*")</f>
        <v>0</v>
      </c>
      <c r="HX15" s="54" t="str">
        <f t="shared" si="47"/>
        <v>-</v>
      </c>
      <c r="HY15" s="54" t="str">
        <f t="shared" si="48"/>
        <v>-</v>
      </c>
      <c r="HZ15" s="8">
        <f>COUNTIFS('Raw data'!$D:$D,"*Ayodele Akinsanya*", 'Raw data'!$Y:$Y,"*1st*",'Raw data'!$J:$J,"*Clearance*")</f>
        <v>0</v>
      </c>
      <c r="IA15" s="8">
        <f>COUNTIFS('Raw data'!$D:$D,"*Ayodele Akinsanya*", 'Raw data'!$Y:$Y,"*1st*",'Raw data'!$J:$J,"*Interception*")</f>
        <v>1</v>
      </c>
      <c r="IB15" s="8">
        <f>COUNTIFS('Raw data'!$D:$D,"*Ayodele Akinsanya*", 'Raw data'!$Y:$Y,"*1st*",'Raw data'!$J:$J,"*Turnover Won*")</f>
        <v>0</v>
      </c>
      <c r="IC15" s="8">
        <f>COUNTIFS('Raw data'!$D:$D,"*Ayodele Akinsanya*", 'Raw data'!$Y:$Y,"*1st*",'Raw data'!$J:$J,"*Recovery*")</f>
        <v>0</v>
      </c>
      <c r="ID15" s="8">
        <f>COUNTIFS('Raw data'!$D:$D,"*Ayodele Akinsanya*", 'Raw data'!$Y:$Y,"*1st*",'Raw data'!$J:$J,"*Blocked Shots*")</f>
        <v>0</v>
      </c>
      <c r="IE15" s="8">
        <f>COUNTIFS('Raw data'!$D:$D,"*Ayodele Akinsanya*", 'Raw data'!$Y:$Y,"*1st*",'Raw data'!$J:$J,"*Man-marking*")</f>
        <v>0</v>
      </c>
      <c r="IF15" s="8">
        <f>COUNTIFS('Raw data'!$D:$D,"*Ayodele Akinsanya*", 'Raw data'!$Y:$Y,"*1st*",'Raw data'!$J:$J,"*Fouls*")</f>
        <v>0</v>
      </c>
      <c r="IG15" s="8">
        <f>COUNTIFS('Raw data'!$D:$D,"*Ayodele Akinsanya*", 'Raw data'!$Y:$Y,"*1st*",'Raw data'!$J:$J,"*Won F*")</f>
        <v>0</v>
      </c>
      <c r="IH15" s="8">
        <f>COUNTIFS('Raw data'!$D:$D,"*Ayodele Akinsanya*", 'Raw data'!$Y:$Y,"*1st*",'Raw data'!$G:$G,"*1v1*")</f>
        <v>0</v>
      </c>
      <c r="II15" s="8">
        <f>COUNTIFS('Raw data'!$D:$D,"*Ayodele Akinsanya*", 'Raw data'!$Y:$Y,"*1st*",'Raw data'!$G:$G,"*On Target*")</f>
        <v>0</v>
      </c>
      <c r="IJ15" s="8">
        <f>COUNTIFS('Raw data'!$D:$D,"*Ayodele Akinsanya*", 'Raw data'!$Y:$Y,"*1st*",'Raw data'!$G:$G,"*Off Target*")</f>
        <v>0</v>
      </c>
      <c r="IK15" s="8">
        <f>COUNTIFS('Raw data'!$D:$D,"*Ayodele Akinsanya*", 'Raw data'!$Y:$Y,"*1st*",'Raw data'!$G:$G,"*Defend the Space*")</f>
        <v>0</v>
      </c>
      <c r="IL15" s="8">
        <f>COUNTIFS('Raw data'!$D:$D,"*Ayodele Akinsanya*", 'Raw data'!$Y:$Y,"*1st*",'Raw data'!$G:$G,"*Conceded*")</f>
        <v>0</v>
      </c>
      <c r="IM15" s="8">
        <f>COUNTIFS('Raw data'!$D:$D,"*Ayodele Akinsanya*", 'Raw data'!$Y:$Y,"*1st*",'Raw data'!$G:$G,"*Save*")</f>
        <v>0</v>
      </c>
      <c r="IN15" s="8">
        <f>COUNTIFS('Raw data'!$D:$D,"*Ayodele Akinsanya*", 'Raw data'!$Y:$Y,"*1st*",'Raw data'!$G:$G,"*Defend the line (Cross)*")</f>
        <v>0</v>
      </c>
      <c r="IO15" s="8">
        <f>COUNTIFS('Raw data'!$D:$D,"*Ayodele Akinsanya*", 'Raw data'!$Y:$Y,"*1st*",'Raw data'!$G:$G,"*Counter Kick*")</f>
        <v>0</v>
      </c>
      <c r="IP15" t="s">
        <v>738</v>
      </c>
    </row>
    <row r="16" spans="1:250">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DW16" t="s">
        <v>463</v>
      </c>
      <c r="DX16" t="s">
        <v>636</v>
      </c>
      <c r="DY16">
        <v>40</v>
      </c>
      <c r="DZ16" t="s">
        <v>452</v>
      </c>
      <c r="EA16">
        <f t="shared" si="12"/>
        <v>13</v>
      </c>
      <c r="EB16" s="8">
        <f t="shared" si="49"/>
        <v>10</v>
      </c>
      <c r="EC16" s="8">
        <f t="shared" si="50"/>
        <v>3</v>
      </c>
      <c r="ED16" s="54">
        <f t="shared" si="13"/>
        <v>0.76923076923076927</v>
      </c>
      <c r="EE16" s="54">
        <f t="shared" si="14"/>
        <v>0.23076923076923078</v>
      </c>
      <c r="EF16">
        <f t="shared" si="51"/>
        <v>6</v>
      </c>
      <c r="EG16">
        <f>COUNTIFS('Raw data'!$D:$D,"*Sam Miljkovic*", 'Raw data'!$Y:$Y,"*1st*",'Raw data'!$I:$I,"*Forward Pass*",'Raw data'!$M:$M,"*Pass completed*")</f>
        <v>3</v>
      </c>
      <c r="EH16">
        <f>COUNTIFS('Raw data'!$D:$D,"*Sam Miljkovic*", 'Raw data'!$Y:$Y,"*1st*",'Raw data'!$I:$I,"*Forward Pass*",'Raw data'!$M:$M,"*Pass Uncompleted*")</f>
        <v>3</v>
      </c>
      <c r="EI16" s="54">
        <f t="shared" si="15"/>
        <v>0.5</v>
      </c>
      <c r="EJ16" s="54">
        <f t="shared" si="16"/>
        <v>0.5</v>
      </c>
      <c r="EK16">
        <f t="shared" si="52"/>
        <v>2</v>
      </c>
      <c r="EL16" s="8">
        <f>COUNTIFS('Raw data'!$D:$D,"*Sam Miljkovic*", 'Raw data'!$Y:$Y,"*1st*",'Raw data'!$I:$I,"*Lateral Pass*",'Raw data'!$M:$M,"*Pass completed*")</f>
        <v>2</v>
      </c>
      <c r="EM16" s="8">
        <f>COUNTIFS('Raw data'!$D:$D,"*Sam Miljkovic*", 'Raw data'!$Y:$Y,"*1st*",'Raw data'!$I:$I,"*Lateral Pass*",'Raw data'!$M:$M,"*Pass Uncompleted*")</f>
        <v>0</v>
      </c>
      <c r="EN16" s="54">
        <f t="shared" si="17"/>
        <v>1</v>
      </c>
      <c r="EO16" s="54">
        <f t="shared" si="18"/>
        <v>0</v>
      </c>
      <c r="EP16">
        <f t="shared" si="53"/>
        <v>5</v>
      </c>
      <c r="EQ16" s="8">
        <f>COUNTIFS('Raw data'!$D:$D,"*Sam Miljkovic*", 'Raw data'!$Y:$Y,"*1st*",'Raw data'!$I:$I,"*Backward Pass*",'Raw data'!$M:$M,"*Pass completed*")</f>
        <v>5</v>
      </c>
      <c r="ER16" s="8">
        <f>COUNTIFS('Raw data'!$D:$D,"*Sam Miljkovic*", 'Raw data'!$Y:$Y,"*1st*",'Raw data'!$I:$I,"*Backward Pass*",'Raw data'!$M:$M,"*Pass Uncompleted*")</f>
        <v>0</v>
      </c>
      <c r="ES16" s="54">
        <f t="shared" si="19"/>
        <v>1</v>
      </c>
      <c r="ET16" s="54">
        <f t="shared" si="20"/>
        <v>0</v>
      </c>
      <c r="EU16" s="8">
        <f>COUNTIFS('Raw data'!$D:$D,"*Sam Miljkovic*", 'Raw data'!$Y:$Y,"*1st*",'Raw data'!$I:$I,"*Long Kick*")</f>
        <v>0</v>
      </c>
      <c r="EV16" s="8">
        <f>COUNTIFS('Raw data'!$D:$D,"*Sam Miljkovic*", 'Raw data'!$Y:$Y,"*1st*",'Raw data'!$I:$I,"*Long Kick*",'Raw data'!$M:$M,"*Pass completed*")</f>
        <v>0</v>
      </c>
      <c r="EW16" s="8">
        <f>COUNTIFS('Raw data'!$D:$D,"*Sam Miljkovic*", 'Raw data'!$Y:$Y,"*1st*",'Raw data'!$I:$I,"*Long Kick*",'Raw data'!$M:$M,"*Pass Uncompleted*")</f>
        <v>0</v>
      </c>
      <c r="EX16" s="54" t="str">
        <f t="shared" si="21"/>
        <v>-</v>
      </c>
      <c r="EY16" s="54" t="str">
        <f t="shared" si="22"/>
        <v>-</v>
      </c>
      <c r="EZ16" s="8">
        <f>COUNTIFS('Raw data'!$D:$D,"*Sam Miljkovic*", 'Raw data'!$Y:$Y,"*1st*",'Raw data'!$I:$I,"*Balls in Behind*")</f>
        <v>1</v>
      </c>
      <c r="FA16" s="8">
        <f>COUNTIFS('Raw data'!$D:$D,"*Sam Miljkovic*", 'Raw data'!$Y:$Y,"*1st*",'Raw data'!$I:$I,"*Balls in Behind*",'Raw data'!$M:$M,"*Pass completed*")</f>
        <v>0</v>
      </c>
      <c r="FB16" s="8">
        <f>COUNTIFS('Raw data'!$D:$D,"*Sam Miljkovic*", 'Raw data'!$Y:$Y,"*1st*",'Raw data'!$I:$I,"*Balls in Behind*",'Raw data'!$M:$M,"*Pass Uncompleted*")</f>
        <v>1</v>
      </c>
      <c r="FC16" s="54">
        <f t="shared" si="23"/>
        <v>0</v>
      </c>
      <c r="FD16" s="54">
        <f t="shared" si="24"/>
        <v>1</v>
      </c>
      <c r="FE16" s="8">
        <f>COUNTIFS('Raw data'!$D:$D,"*Sam Miljkovic*", 'Raw data'!$Y:$Y,"*1st*",'Raw data'!$I:$I,"*Key/Through pass*")</f>
        <v>1</v>
      </c>
      <c r="FF16" s="8">
        <f>COUNTIFS('Raw data'!$D:$D,"*Sam Miljkovic*", 'Raw data'!$Y:$Y,"*1st*",'Raw data'!$I:$I,"*Diagonal pass*")</f>
        <v>0</v>
      </c>
      <c r="FG16" s="8">
        <f>COUNTIFS('Raw data'!$D:$D,"*Sam Miljkovic*", 'Raw data'!$Y:$Y,"*1st*",'Raw data'!$I:$I,"*Diagonal pass*",'Raw data'!$M:$M,"*Pass completed*")</f>
        <v>0</v>
      </c>
      <c r="FH16" s="8">
        <f>COUNTIFS('Raw data'!$D:$D,"*Sam Miljkovic*", 'Raw data'!$Y:$Y,"*1st*",'Raw data'!$I:$I,"*Diagonal pass*",'Raw data'!$M:$M,"*Pass Uncompleted*")</f>
        <v>0</v>
      </c>
      <c r="FI16" s="54" t="str">
        <f t="shared" si="25"/>
        <v>-</v>
      </c>
      <c r="FJ16" s="54" t="str">
        <f t="shared" si="26"/>
        <v>-</v>
      </c>
      <c r="FK16" s="8">
        <f>COUNTIFS('Raw data'!$D:$D,"*Sam Miljkovic*", 'Raw data'!$Y:$Y,"*1st*",'Raw data'!$M:$M,"*Pass Received*")</f>
        <v>8</v>
      </c>
      <c r="FL16" s="8">
        <f>COUNTIFS('Raw data'!$D:$D,"*Sam Miljkovic*", 'Raw data'!$Y:$Y,"*1st*",'Raw data'!$M:$M,"*Pass Completed*",'Raw data'!$M:$M,"*Pass Received*")</f>
        <v>8</v>
      </c>
      <c r="FM16" s="8">
        <f>COUNTIFS('Raw data'!$D:$D,"*Sam Miljkovic*", 'Raw data'!$Y:$Y,"*1st*",'Raw data'!$M:$M,"*Pass Uncompleted*",'Raw data'!$M:$M,"*Pass Received*")</f>
        <v>0</v>
      </c>
      <c r="FN16" s="8">
        <f>COUNTIFS('Raw data'!$D:$D,"*Sam Miljkovic*", 'Raw data'!$Y:$Y,"*1st*",'Raw data'!$M:$M,"*Kept Possession*",'Raw data'!$M:$M,"*Pass Received*")</f>
        <v>0</v>
      </c>
      <c r="FO16" s="8">
        <f>COUNTIFS('Raw data'!$D:$D,"*Sam Miljkovic*", 'Raw data'!$Y:$Y,"*1st*",'Raw data'!$M:$M,"*Lost Possession*")</f>
        <v>0</v>
      </c>
      <c r="FP16" s="8">
        <f>COUNTIFS('Raw data'!$D:$D,"*Sam Miljkovic*", 'Raw data'!$Y:$Y,"*1st*",'Raw data'!$M:$M,"*Lost Possession*",'Raw data'!$M:$M,"*Lost Final 1/3*")</f>
        <v>0</v>
      </c>
      <c r="FQ16" s="8">
        <f>COUNTIFS('Raw data'!$D:$D,"*Sam Miljkovic*", 'Raw data'!$Y:$Y,"*1st*",'Raw data'!$M:$M,"*Lost Possession*",'Raw data'!$M:$M,"*Lost Middle 1/3*")</f>
        <v>0</v>
      </c>
      <c r="FR16" s="8">
        <f>COUNTIFS('Raw data'!$D:$D,"*Sam Miljkovic*", 'Raw data'!$Y:$Y,"*1st*",'Raw data'!$M:$M,"*Lost Possession*",'Raw data'!$M:$M,"*Lost Own 1/3*")</f>
        <v>0</v>
      </c>
      <c r="FS16" s="8">
        <f>COUNTIFS('Raw data'!$D:$D,"*Sam Miljkovic*", 'Raw data'!$Y:$Y,"*1st*",'Raw data'!$H:$H,"*Touches in the Box*")</f>
        <v>1</v>
      </c>
      <c r="FT16" s="8">
        <f>COUNTIFS('Raw data'!$D:$D,"*Sam Miljkovic*", 'Raw data'!$Y:$Y,"*1st*",'Raw data'!$H:$H,"*1v1 Attack*")</f>
        <v>0</v>
      </c>
      <c r="FU16" s="8">
        <f>COUNTIFS('Raw data'!$D:$D,"*Sam Miljkovic*", 'Raw data'!$Y:$Y,"*1st*",'Raw data'!$H:$H,"*1v1 Attack*",'Raw data'!$H:$H,"*1v1 Attack*",'Raw data'!$M:$M,"*Kept Possession*")</f>
        <v>0</v>
      </c>
      <c r="FV16" s="8">
        <f>COUNTIFS('Raw data'!$D:$D,"*Sam Miljkovic*", 'Raw data'!$Y:$Y,"*1st*",'Raw data'!$H:$H,"*1v1 Attack*",'Raw data'!$H:$H,"*1v1 Attack*",'Raw data'!$M:$M,"*Lost Possession*")</f>
        <v>0</v>
      </c>
      <c r="FW16" s="54" t="str">
        <f t="shared" si="27"/>
        <v>-</v>
      </c>
      <c r="FX16" s="54" t="str">
        <f t="shared" si="28"/>
        <v>-</v>
      </c>
      <c r="FY16" s="8">
        <f>COUNTIFS('Raw data'!$D:$D,"*Sam Miljkovic*", 'Raw data'!$Y:$Y,"*1st*",'Raw data'!$I:$I,"*Cross*")</f>
        <v>1</v>
      </c>
      <c r="FZ16" s="8">
        <f>COUNTIFS('Raw data'!$D:$D,"*Sam Miljkovic*", 'Raw data'!$Y:$Y,"*1st*",'Raw data'!$I:$I,"*Cross*",'Raw data'!$M:$M,"*Pass Completed*")</f>
        <v>0</v>
      </c>
      <c r="GA16" s="8">
        <f>COUNTIFS('Raw data'!$D:$D,"*Sam Miljkovic*", 'Raw data'!$Y:$Y,"*1st*",'Raw data'!$I:$I,"*Cross*",'Raw data'!$M:$M,"*Pass Uncompleted*")</f>
        <v>1</v>
      </c>
      <c r="GB16" s="54">
        <f t="shared" si="29"/>
        <v>0</v>
      </c>
      <c r="GC16" s="54">
        <f t="shared" si="30"/>
        <v>1</v>
      </c>
      <c r="GD16" s="8">
        <f t="shared" si="31"/>
        <v>0</v>
      </c>
      <c r="GE16" s="8">
        <f>COUNTIFS('Raw data'!$D:$D,"*Sam Miljkovic*", 'Raw data'!$Y:$Y,"*1st*",'Raw data'!$L:$L,"*On Target*")</f>
        <v>0</v>
      </c>
      <c r="GF16" s="8">
        <f>COUNTIFS('Raw data'!$D:$D,"*Sam Miljkovic*", 'Raw data'!$Y:$Y,"*1st*",'Raw data'!$L:$L,"*Off Target*")</f>
        <v>0</v>
      </c>
      <c r="GG16" s="8">
        <f>COUNTIFS('Raw data'!$D:$D,"*Sam Miljkovic*", 'Raw data'!$Y:$Y,"*1st*",'Raw data'!$L:$L,"*Blocked*")</f>
        <v>0</v>
      </c>
      <c r="GH16" s="8">
        <f>COUNTIFS('Raw data'!$D:$D,"*Sam Miljkovic*", 'Raw data'!$Y:$Y,"*1st*",'Raw data'!$M:$M,"*Goal*")</f>
        <v>0</v>
      </c>
      <c r="GI16" s="8">
        <f>COUNTIFS('Raw data'!$D:$D,"*Sam Miljkovic*", 'Raw data'!$Y:$Y,"*1st*",'Raw data'!$M:$M,"*Assist*")</f>
        <v>0</v>
      </c>
      <c r="GJ16" s="8">
        <f>COUNTIFS('Raw data'!$D:$D,"*Sam Miljkovic*", 'Raw data'!$Y:$Y,"*1st*",'Raw data'!$H:$H,"*Offensive duel*")</f>
        <v>0</v>
      </c>
      <c r="GK16" s="8">
        <f>COUNTIFS('Raw data'!$D:$D,"*Sam Miljkovic*", 'Raw data'!$Y:$Y,"*1st*",'Raw data'!$H:$H,"*Offensive Duel*",'Raw data'!$H:$H,"*Offensive Duel*",'Raw data'!$M:$M,"*Kept Possession*")</f>
        <v>0</v>
      </c>
      <c r="GL16" s="8">
        <f>COUNTIFS('Raw data'!$D:$D,"*Sam Miljkovic*", 'Raw data'!$Y:$Y,"*1st*",'Raw data'!$H:$H,"*Offensive Duel*",'Raw data'!$H:$H,"*Offensive Duel*",'Raw data'!$M:$M,"*Lost Possession*")</f>
        <v>0</v>
      </c>
      <c r="GM16" s="54" t="str">
        <f t="shared" si="32"/>
        <v>-</v>
      </c>
      <c r="GN16" s="54" t="str">
        <f t="shared" si="33"/>
        <v>-</v>
      </c>
      <c r="GO16" s="8">
        <f>COUNTIFS('Raw data'!$D:$D,"*Sam Miljkovic*", 'Raw data'!$Y:$Y,"*1st*",'Raw data'!$H:$H,"*Acceleration*")</f>
        <v>0</v>
      </c>
      <c r="GP16" s="8">
        <f>COUNTIFS('Raw data'!$D:$D,"*Sam Miljkovic*", 'Raw data'!$Y:$Y,"*1st*",'Raw data'!$H:$H,"*Move into Pocket*")</f>
        <v>0</v>
      </c>
      <c r="GQ16" s="8">
        <f>COUNTIFS('Raw data'!$D:$D,"*Sam Miljkovic*", 'Raw data'!$Y:$Y,"*1st*",'Raw data'!$H:$H,"*Wide area*")</f>
        <v>4</v>
      </c>
      <c r="GR16" s="8">
        <f>COUNTIFS('Raw data'!$D:$D,"*Sam Miljkovic*", 'Raw data'!$Y:$Y,"*1st*",'Raw data'!$H:$H,"*Back to goal*")</f>
        <v>0</v>
      </c>
      <c r="GS16" s="8">
        <f>COUNTIFS('Raw data'!$D:$D,"*Sam Miljkovic*", 'Raw data'!$Y:$Y,"*1st*",'Raw data'!$H:$H,"*Over/Underlaps*")</f>
        <v>0</v>
      </c>
      <c r="GT16" s="8">
        <f>COUNTIFS('Raw data'!$D:$D,"*Sam Miljkovic*", 'Raw data'!$Y:$Y,"*1st*",'Raw data'!$H:$H,"*Runs in Behind*")</f>
        <v>0</v>
      </c>
      <c r="GU16" s="8">
        <f>COUNTIFS('Raw data'!$D:$D,"*Sam Miljkovic*", 'Raw data'!$Y:$Y,"*1st*",'Raw data'!$H:$H,"*Half-space Runs*")</f>
        <v>0</v>
      </c>
      <c r="GV16" s="8">
        <f t="shared" si="34"/>
        <v>4</v>
      </c>
      <c r="GW16" s="8">
        <f t="shared" si="35"/>
        <v>3</v>
      </c>
      <c r="GX16" s="8">
        <f t="shared" si="36"/>
        <v>1</v>
      </c>
      <c r="GY16" s="54">
        <f t="shared" si="37"/>
        <v>0.75</v>
      </c>
      <c r="GZ16" s="54">
        <f t="shared" si="38"/>
        <v>0.25</v>
      </c>
      <c r="HA16" s="8">
        <f>COUNTIFS('Raw data'!$D:$D,"*Sam Miljkovic*", 'Raw data'!$Y:$Y,"*1st*",'Raw data'!$K:$K,"*Ground duel*")</f>
        <v>3</v>
      </c>
      <c r="HB16" s="8">
        <f>COUNTIFS('Raw data'!$D:$D,"*Sam Miljkovic*", 'Raw data'!$Y:$Y,"*1st*",'Raw data'!$K:$K,"*Ground duel*",'Raw data'!$M:$M,"*Duel Succeeded*")</f>
        <v>2</v>
      </c>
      <c r="HC16" s="8">
        <f>COUNTIFS('Raw data'!$D:$D,"*Sam Miljkovic*", 'Raw data'!$Y:$Y,"*1st*",'Raw data'!$K:$K,"*Ground duel*",'Raw data'!$M:$M,"*Duel Unsucceeded*")</f>
        <v>1</v>
      </c>
      <c r="HD16" s="54">
        <f t="shared" si="39"/>
        <v>0.66666666666666663</v>
      </c>
      <c r="HE16" s="54">
        <f t="shared" si="40"/>
        <v>0.33333333333333331</v>
      </c>
      <c r="HF16" s="8">
        <f>COUNTIFS('Raw data'!$D:$D,"*Sam Miljkovic*", 'Raw data'!$Y:$Y,"*1st*",'Raw data'!$K:$K,"*Aerial duel*")</f>
        <v>1</v>
      </c>
      <c r="HG16" s="8">
        <f>COUNTIFS('Raw data'!$D:$D,"*Sam Miljkovic*", 'Raw data'!$Y:$Y,"*1st*",'Raw data'!$K:$K,"*Aerial duel*",'Raw data'!$M:$M,"*Duel Succeeded*")</f>
        <v>1</v>
      </c>
      <c r="HH16" s="8">
        <f>COUNTIFS('Raw data'!$D:$D,"*Sam Miljkovic*", 'Raw data'!$Y:$Y,"*1st*",'Raw data'!$K:$K,"*Aerial duel*",'Raw data'!$M:$M,"*Duel Unsucceeded*")</f>
        <v>0</v>
      </c>
      <c r="HI16" s="54">
        <f t="shared" si="41"/>
        <v>1</v>
      </c>
      <c r="HJ16" s="54">
        <f t="shared" si="42"/>
        <v>0</v>
      </c>
      <c r="HK16" s="8">
        <f>COUNTIFS('Raw data'!$D:$D,"*Sam Miljkovic*", 'Raw data'!$Y:$Y,"*1st*",'Raw data'!$K:$K,"*1v1 defense*")</f>
        <v>0</v>
      </c>
      <c r="HL16" s="8">
        <f>COUNTIFS('Raw data'!$D:$D,"*Sam Miljkovic*", 'Raw data'!$Y:$Y,"*1st*",'Raw data'!$K:$K,"*1v1 defense*",'Raw data'!$M:$M,"*Duel Succeeded*")</f>
        <v>0</v>
      </c>
      <c r="HM16" s="8">
        <f>COUNTIFS('Raw data'!$D:$D,"*Sam Miljkovic*", 'Raw data'!$Y:$Y,"*1st*",'Raw data'!$K:$K,"*1v1 defense*",'Raw data'!$M:$M,"*Duel Unsucceeded*")</f>
        <v>0</v>
      </c>
      <c r="HN16" s="54" t="str">
        <f t="shared" si="43"/>
        <v>-</v>
      </c>
      <c r="HO16" s="54" t="str">
        <f t="shared" si="44"/>
        <v>-</v>
      </c>
      <c r="HP16" s="8">
        <f>COUNTIFS('Raw data'!$D:$D,"*Sam Miljkovic*", 'Raw data'!$Y:$Y,"*1st*",'Raw data'!$J:$J,"*Tackles*")</f>
        <v>0</v>
      </c>
      <c r="HQ16" s="8">
        <f>COUNTIFS('Raw data'!$D:$D,"*Sam Miljkovic*", 'Raw data'!$Y:$Y,"*1st*",'Raw data'!$J:$J,"*Tackles*", 'Raw data'!$M:$M,"*Duel Succeeded*")</f>
        <v>0</v>
      </c>
      <c r="HR16" s="8">
        <f>COUNTIFS('Raw data'!$D:$D,"*Sam Miljkovic*", 'Raw data'!$Y:$Y,"*1st*",'Raw data'!$J:$J,"*Tackles*", 'Raw data'!$M:$M,"*Duel Unsucceeded*")</f>
        <v>0</v>
      </c>
      <c r="HS16" s="54" t="str">
        <f t="shared" si="45"/>
        <v>-</v>
      </c>
      <c r="HT16" s="54" t="str">
        <f t="shared" si="46"/>
        <v>-</v>
      </c>
      <c r="HU16" s="8">
        <f>COUNTIFS('Raw data'!$D:$D,"*Sam Miljkovic*", 'Raw data'!$Y:$Y,"*1st*",'Raw data'!$K:$K,"*2nd Balls*")</f>
        <v>0</v>
      </c>
      <c r="HV16" s="8">
        <f>COUNTIFS('Raw data'!$D:$D,"*Sam Miljkovic*", 'Raw data'!$Y:$Y,"*1st*",'Raw data'!$K:$K,"*2nd Balls*", 'Raw data'!$M:$M,"*Duel Succeeded*")</f>
        <v>0</v>
      </c>
      <c r="HW16" s="8">
        <f>COUNTIFS('Raw data'!$D:$D,"*Sam Miljkovic*", 'Raw data'!$Y:$Y,"*1st*",'Raw data'!$K:$K,"*2nd Balls*", 'Raw data'!$M:$M,"*Duel Unsucceeded*")</f>
        <v>0</v>
      </c>
      <c r="HX16" s="54" t="str">
        <f t="shared" si="47"/>
        <v>-</v>
      </c>
      <c r="HY16" s="54" t="str">
        <f t="shared" si="48"/>
        <v>-</v>
      </c>
      <c r="HZ16" s="8">
        <f>COUNTIFS('Raw data'!$D:$D,"*Sam Miljkovic*", 'Raw data'!$Y:$Y,"*1st*",'Raw data'!$J:$J,"*Clearance*")</f>
        <v>0</v>
      </c>
      <c r="IA16" s="8">
        <f>COUNTIFS('Raw data'!$D:$D,"*Sam Miljkovic*", 'Raw data'!$Y:$Y,"*1st*",'Raw data'!$J:$J,"*Interception*")</f>
        <v>3</v>
      </c>
      <c r="IB16" s="8">
        <f>COUNTIFS('Raw data'!$D:$D,"*Sam Miljkovic*", 'Raw data'!$Y:$Y,"*1st*",'Raw data'!$J:$J,"*Turnover Won*")</f>
        <v>4</v>
      </c>
      <c r="IC16" s="8">
        <f>COUNTIFS('Raw data'!$D:$D,"*Sam Miljkovic*", 'Raw data'!$Y:$Y,"*1st*",'Raw data'!$J:$J,"*Recovery*")</f>
        <v>1</v>
      </c>
      <c r="ID16" s="8">
        <f>COUNTIFS('Raw data'!$D:$D,"*Sam Miljkovic*", 'Raw data'!$Y:$Y,"*1st*",'Raw data'!$J:$J,"*Blocked Shots*")</f>
        <v>0</v>
      </c>
      <c r="IE16" s="8">
        <f>COUNTIFS('Raw data'!$D:$D,"*Sam Miljkovic*", 'Raw data'!$Y:$Y,"*1st*",'Raw data'!$J:$J,"*Man-marking*")</f>
        <v>0</v>
      </c>
      <c r="IF16" s="8">
        <f>COUNTIFS('Raw data'!$D:$D,"*Sam Miljkovic*", 'Raw data'!$Y:$Y,"*1st*",'Raw data'!$J:$J,"*Fouls*")</f>
        <v>1</v>
      </c>
      <c r="IG16" s="8">
        <f>COUNTIFS('Raw data'!$D:$D,"*Sam Miljkovic*", 'Raw data'!$Y:$Y,"*1st*",'Raw data'!$J:$J,"*Won F*")</f>
        <v>0</v>
      </c>
      <c r="IH16" s="8">
        <f>COUNTIFS('Raw data'!$D:$D,"*Sam Miljkovic*", 'Raw data'!$Y:$Y,"*1st*",'Raw data'!$G:$G,"*1v1*")</f>
        <v>0</v>
      </c>
      <c r="II16" s="8">
        <f>COUNTIFS('Raw data'!$D:$D,"*Sam Miljkovic*", 'Raw data'!$Y:$Y,"*1st*",'Raw data'!$G:$G,"*On Target*")</f>
        <v>0</v>
      </c>
      <c r="IJ16" s="8">
        <f>COUNTIFS('Raw data'!$D:$D,"*Sam Miljkovic*", 'Raw data'!$Y:$Y,"*1st*",'Raw data'!$G:$G,"*Off Target*")</f>
        <v>0</v>
      </c>
      <c r="IK16" s="8">
        <f>COUNTIFS('Raw data'!$D:$D,"*Sam Miljkovic*", 'Raw data'!$Y:$Y,"*1st*",'Raw data'!$G:$G,"*Defend the Space*")</f>
        <v>0</v>
      </c>
      <c r="IL16" s="8">
        <f>COUNTIFS('Raw data'!$D:$D,"*Sam Miljkovic*", 'Raw data'!$Y:$Y,"*1st*",'Raw data'!$G:$G,"*Conceded*")</f>
        <v>0</v>
      </c>
      <c r="IM16" s="8">
        <f>COUNTIFS('Raw data'!$D:$D,"*Sam Miljkovic*", 'Raw data'!$Y:$Y,"*1st*",'Raw data'!$G:$G,"*Save*")</f>
        <v>0</v>
      </c>
      <c r="IN16" s="8">
        <f>COUNTIFS('Raw data'!$D:$D,"*Sam Miljkovic*", 'Raw data'!$Y:$Y,"*1st*",'Raw data'!$G:$G,"*Defend the line (Cross)*")</f>
        <v>0</v>
      </c>
      <c r="IO16" s="8">
        <f>COUNTIFS('Raw data'!$D:$D,"*Sam Miljkovic*", 'Raw data'!$Y:$Y,"*1st*",'Raw data'!$G:$G,"*Counter Kick*")</f>
        <v>0</v>
      </c>
      <c r="IP16" t="s">
        <v>636</v>
      </c>
    </row>
    <row r="17" spans="2:250">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DW17" t="s">
        <v>463</v>
      </c>
      <c r="DX17" t="s">
        <v>626</v>
      </c>
      <c r="DY17">
        <v>40</v>
      </c>
      <c r="DZ17" t="s">
        <v>538</v>
      </c>
      <c r="EA17">
        <f t="shared" si="12"/>
        <v>10</v>
      </c>
      <c r="EB17" s="8">
        <f t="shared" si="49"/>
        <v>7</v>
      </c>
      <c r="EC17" s="8">
        <f t="shared" si="50"/>
        <v>3</v>
      </c>
      <c r="ED17" s="54">
        <f t="shared" si="13"/>
        <v>0.7</v>
      </c>
      <c r="EE17" s="54">
        <f t="shared" si="14"/>
        <v>0.3</v>
      </c>
      <c r="EF17">
        <f t="shared" si="51"/>
        <v>5</v>
      </c>
      <c r="EG17">
        <f>COUNTIFS('Raw data'!$D:$D,"*Romeo Hamilton*", 'Raw data'!$Y:$Y,"*1st*",'Raw data'!$I:$I,"*Forward Pass*",'Raw data'!$M:$M,"*Pass completed*")</f>
        <v>2</v>
      </c>
      <c r="EH17">
        <f>COUNTIFS('Raw data'!$D:$D,"*Romeo Hamilton*", 'Raw data'!$Y:$Y,"*1st*",'Raw data'!$I:$I,"*Forward Pass*",'Raw data'!$M:$M,"*Pass Uncompleted*")</f>
        <v>3</v>
      </c>
      <c r="EI17" s="54">
        <f t="shared" si="15"/>
        <v>0.4</v>
      </c>
      <c r="EJ17" s="54">
        <f t="shared" si="16"/>
        <v>0.6</v>
      </c>
      <c r="EK17">
        <f t="shared" si="52"/>
        <v>1</v>
      </c>
      <c r="EL17" s="8">
        <f>COUNTIFS('Raw data'!$D:$D,"*Romeo Hamilton*", 'Raw data'!$Y:$Y,"*1st*",'Raw data'!$I:$I,"*Lateral Pass*",'Raw data'!$M:$M,"*Pass completed*")</f>
        <v>1</v>
      </c>
      <c r="EM17" s="8">
        <f>COUNTIFS('Raw data'!$D:$D,"*Romeo Hamilton*", 'Raw data'!$Y:$Y,"*1st*",'Raw data'!$I:$I,"*Lateral Pass*",'Raw data'!$M:$M,"*Pass Uncompleted*")</f>
        <v>0</v>
      </c>
      <c r="EN17" s="54">
        <f t="shared" si="17"/>
        <v>1</v>
      </c>
      <c r="EO17" s="54">
        <f t="shared" si="18"/>
        <v>0</v>
      </c>
      <c r="EP17">
        <f t="shared" si="53"/>
        <v>4</v>
      </c>
      <c r="EQ17" s="8">
        <f>COUNTIFS('Raw data'!$D:$D,"*Romeo Hamilton*", 'Raw data'!$Y:$Y,"*1st*",'Raw data'!$I:$I,"*Backward Pass*",'Raw data'!$M:$M,"*Pass completed*")</f>
        <v>4</v>
      </c>
      <c r="ER17" s="8">
        <f>COUNTIFS('Raw data'!$D:$D,"*Romeo Hamilton*", 'Raw data'!$Y:$Y,"*1st*",'Raw data'!$I:$I,"*Backward Pass*",'Raw data'!$M:$M,"*Pass Uncompleted*")</f>
        <v>0</v>
      </c>
      <c r="ES17" s="54">
        <f t="shared" si="19"/>
        <v>1</v>
      </c>
      <c r="ET17" s="54">
        <f t="shared" si="20"/>
        <v>0</v>
      </c>
      <c r="EU17" s="8">
        <f>COUNTIFS('Raw data'!$D:$D,"*Romeo Hamilton*", 'Raw data'!$Y:$Y,"*1st*",'Raw data'!$I:$I,"*Long Kick*")</f>
        <v>1</v>
      </c>
      <c r="EV17" s="8">
        <f>COUNTIFS('Raw data'!$D:$D,"*Romeo Hamilton*", 'Raw data'!$Y:$Y,"*1st*",'Raw data'!$I:$I,"*Long Kick*",'Raw data'!$M:$M,"*Pass completed*")</f>
        <v>0</v>
      </c>
      <c r="EW17" s="8">
        <f>COUNTIFS('Raw data'!$D:$D,"*Romeo Hamilton*", 'Raw data'!$Y:$Y,"*1st*",'Raw data'!$I:$I,"*Long Kick*",'Raw data'!$M:$M,"*Pass Uncompleted*")</f>
        <v>1</v>
      </c>
      <c r="EX17" s="54">
        <f t="shared" si="21"/>
        <v>0</v>
      </c>
      <c r="EY17" s="54">
        <f t="shared" si="22"/>
        <v>1</v>
      </c>
      <c r="EZ17" s="8">
        <f>COUNTIFS('Raw data'!$D:$D,"*Romeo Hamilton*", 'Raw data'!$Y:$Y,"*1st*",'Raw data'!$I:$I,"*Balls in Behind*")</f>
        <v>1</v>
      </c>
      <c r="FA17" s="8">
        <f>COUNTIFS('Raw data'!$D:$D,"*Romeo Hamilton*", 'Raw data'!$Y:$Y,"*1st*",'Raw data'!$I:$I,"*Balls in Behind*",'Raw data'!$M:$M,"*Pass completed*")</f>
        <v>1</v>
      </c>
      <c r="FB17" s="8">
        <f>COUNTIFS('Raw data'!$D:$D,"*Romeo Hamilton*", 'Raw data'!$Y:$Y,"*1st*",'Raw data'!$I:$I,"*Balls in Behind*",'Raw data'!$M:$M,"*Pass Uncompleted*")</f>
        <v>0</v>
      </c>
      <c r="FC17" s="54">
        <f t="shared" si="23"/>
        <v>1</v>
      </c>
      <c r="FD17" s="54">
        <f t="shared" si="24"/>
        <v>0</v>
      </c>
      <c r="FE17" s="8">
        <f>COUNTIFS('Raw data'!$D:$D,"*Romeo Hamilton*", 'Raw data'!$Y:$Y,"*1st*",'Raw data'!$I:$I,"*Key/Through pass*")</f>
        <v>0</v>
      </c>
      <c r="FF17" s="8">
        <f>COUNTIFS('Raw data'!$D:$D,"*Romeo Hamilton*", 'Raw data'!$Y:$Y,"*1st*",'Raw data'!$I:$I,"*Diagonal pass*")</f>
        <v>0</v>
      </c>
      <c r="FG17" s="8">
        <f>COUNTIFS('Raw data'!$D:$D,"*Romeo Hamilton*", 'Raw data'!$Y:$Y,"*1st*",'Raw data'!$I:$I,"*Diagonal pass*",'Raw data'!$M:$M,"*Pass completed*")</f>
        <v>0</v>
      </c>
      <c r="FH17" s="8">
        <f>COUNTIFS('Raw data'!$D:$D,"*Romeo Hamilton*", 'Raw data'!$Y:$Y,"*1st*",'Raw data'!$I:$I,"*Diagonal pass*",'Raw data'!$M:$M,"*Pass Uncompleted*")</f>
        <v>0</v>
      </c>
      <c r="FI17" s="54" t="str">
        <f t="shared" si="25"/>
        <v>-</v>
      </c>
      <c r="FJ17" s="54" t="str">
        <f t="shared" si="26"/>
        <v>-</v>
      </c>
      <c r="FK17" s="8">
        <f>COUNTIFS('Raw data'!$D:$D,"*Romeo Hamilton*", 'Raw data'!$Y:$Y,"*1st*",'Raw data'!$M:$M,"*Pass Received*")</f>
        <v>9</v>
      </c>
      <c r="FL17" s="8">
        <f>COUNTIFS('Raw data'!$D:$D,"*Romeo Hamilton*", 'Raw data'!$Y:$Y,"*1st*",'Raw data'!$M:$M,"*Pass Completed*",'Raw data'!$M:$M,"*Pass Received*")</f>
        <v>7</v>
      </c>
      <c r="FM17" s="8">
        <f>COUNTIFS('Raw data'!$D:$D,"*Romeo Hamilton*", 'Raw data'!$Y:$Y,"*1st*",'Raw data'!$M:$M,"*Pass Uncompleted*",'Raw data'!$M:$M,"*Pass Received*")</f>
        <v>2</v>
      </c>
      <c r="FN17" s="8">
        <f>COUNTIFS('Raw data'!$D:$D,"*Romeo Hamilton*", 'Raw data'!$Y:$Y,"*1st*",'Raw data'!$M:$M,"*Kept Possession*",'Raw data'!$M:$M,"*Pass Received*")</f>
        <v>1</v>
      </c>
      <c r="FO17" s="8">
        <f>COUNTIFS('Raw data'!$D:$D,"*Romeo Hamilton*", 'Raw data'!$Y:$Y,"*1st*",'Raw data'!$M:$M,"*Lost Possession*")</f>
        <v>2</v>
      </c>
      <c r="FP17" s="8">
        <f>COUNTIFS('Raw data'!$D:$D,"*Romeo Hamilton*", 'Raw data'!$Y:$Y,"*1st*",'Raw data'!$M:$M,"*Lost Possession*",'Raw data'!$M:$M,"*Lost Final 1/3*")</f>
        <v>2</v>
      </c>
      <c r="FQ17" s="8">
        <f>COUNTIFS('Raw data'!$D:$D,"*Romeo Hamilton*", 'Raw data'!$Y:$Y,"*1st*",'Raw data'!$M:$M,"*Lost Possession*",'Raw data'!$M:$M,"*Lost Middle 1/3*")</f>
        <v>0</v>
      </c>
      <c r="FR17" s="8">
        <f>COUNTIFS('Raw data'!$D:$D,"*Romeo Hamilton*", 'Raw data'!$Y:$Y,"*1st*",'Raw data'!$M:$M,"*Lost Possession*",'Raw data'!$M:$M,"*Lost Own 1/3*")</f>
        <v>0</v>
      </c>
      <c r="FS17" s="8">
        <f>COUNTIFS('Raw data'!$D:$D,"*Romeo Hamilton*", 'Raw data'!$Y:$Y,"*1st*",'Raw data'!$H:$H,"*Touches in the Box*")</f>
        <v>0</v>
      </c>
      <c r="FT17" s="8">
        <f>COUNTIFS('Raw data'!$D:$D,"*Romeo Hamilton*", 'Raw data'!$Y:$Y,"*1st*",'Raw data'!$H:$H,"*1v1 Attack*")</f>
        <v>1</v>
      </c>
      <c r="FU17" s="8">
        <f>COUNTIFS('Raw data'!$D:$D,"*Romeo Hamilton*", 'Raw data'!$Y:$Y,"*1st*",'Raw data'!$H:$H,"*1v1 Attack*",'Raw data'!$H:$H,"*1v1 Attack*",'Raw data'!$M:$M,"*Kept Possession*")</f>
        <v>1</v>
      </c>
      <c r="FV17" s="8">
        <f>COUNTIFS('Raw data'!$D:$D,"*Romeo Hamilton*", 'Raw data'!$Y:$Y,"*1st*",'Raw data'!$H:$H,"*1v1 Attack*",'Raw data'!$H:$H,"*1v1 Attack*",'Raw data'!$M:$M,"*Lost Possession*")</f>
        <v>0</v>
      </c>
      <c r="FW17" s="54">
        <f t="shared" si="27"/>
        <v>1</v>
      </c>
      <c r="FX17" s="54">
        <f t="shared" si="28"/>
        <v>0</v>
      </c>
      <c r="FY17" s="8">
        <f>COUNTIFS('Raw data'!$D:$D,"*Romeo Hamilton*", 'Raw data'!$Y:$Y,"*1st*",'Raw data'!$I:$I,"*Cross*")</f>
        <v>1</v>
      </c>
      <c r="FZ17" s="8">
        <f>COUNTIFS('Raw data'!$D:$D,"*Romeo Hamilton*", 'Raw data'!$Y:$Y,"*1st*",'Raw data'!$I:$I,"*Cross*",'Raw data'!$M:$M,"*Pass Completed*")</f>
        <v>1</v>
      </c>
      <c r="GA17" s="8">
        <f>COUNTIFS('Raw data'!$D:$D,"*Romeo Hamilton*", 'Raw data'!$Y:$Y,"*1st*",'Raw data'!$I:$I,"*Cross*",'Raw data'!$M:$M,"*Pass Uncompleted*")</f>
        <v>0</v>
      </c>
      <c r="GB17" s="54">
        <f t="shared" si="29"/>
        <v>1</v>
      </c>
      <c r="GC17" s="54">
        <f t="shared" si="30"/>
        <v>0</v>
      </c>
      <c r="GD17" s="8">
        <f t="shared" si="31"/>
        <v>0</v>
      </c>
      <c r="GE17" s="8">
        <f>COUNTIFS('Raw data'!$D:$D,"*Romeo Hamilton*", 'Raw data'!$Y:$Y,"*1st*",'Raw data'!$L:$L,"*On Target*")</f>
        <v>0</v>
      </c>
      <c r="GF17" s="8">
        <f>COUNTIFS('Raw data'!$D:$D,"*Romeo Hamilton*", 'Raw data'!$Y:$Y,"*1st*",'Raw data'!$L:$L,"*Off Target*")</f>
        <v>0</v>
      </c>
      <c r="GG17" s="8">
        <f>COUNTIFS('Raw data'!$D:$D,"*Romeo Hamilton*", 'Raw data'!$Y:$Y,"*1st*",'Raw data'!$L:$L,"*Blocked*")</f>
        <v>0</v>
      </c>
      <c r="GH17" s="8">
        <f>COUNTIFS('Raw data'!$D:$D,"*Romeo Hamilton*", 'Raw data'!$Y:$Y,"*1st*",'Raw data'!$M:$M,"*Goal*")</f>
        <v>0</v>
      </c>
      <c r="GI17" s="8">
        <f>COUNTIFS('Raw data'!$D:$D,"*Romeo Hamilton*", 'Raw data'!$Y:$Y,"*1st*",'Raw data'!$M:$M,"*Assist*")</f>
        <v>0</v>
      </c>
      <c r="GJ17" s="8">
        <f>COUNTIFS('Raw data'!$D:$D,"*Romeo Hamilton*", 'Raw data'!$Y:$Y,"*1st*",'Raw data'!$H:$H,"*Offensive duel*")</f>
        <v>1</v>
      </c>
      <c r="GK17" s="8">
        <f>COUNTIFS('Raw data'!$D:$D,"*Romeo Hamilton*", 'Raw data'!$Y:$Y,"*1st*",'Raw data'!$H:$H,"*Offensive Duel*",'Raw data'!$H:$H,"*Offensive Duel*",'Raw data'!$M:$M,"*Kept Possession*")</f>
        <v>1</v>
      </c>
      <c r="GL17" s="8">
        <f>COUNTIFS('Raw data'!$D:$D,"*Romeo Hamilton*", 'Raw data'!$Y:$Y,"*1st*",'Raw data'!$H:$H,"*Offensive Duel*",'Raw data'!$H:$H,"*Offensive Duel*",'Raw data'!$M:$M,"*Lost Possession*")</f>
        <v>0</v>
      </c>
      <c r="GM17" s="54">
        <f t="shared" si="32"/>
        <v>1</v>
      </c>
      <c r="GN17" s="54">
        <f t="shared" si="33"/>
        <v>0</v>
      </c>
      <c r="GO17" s="8">
        <f>COUNTIFS('Raw data'!$D:$D,"*Romeo Hamilton*", 'Raw data'!$Y:$Y,"*1st*",'Raw data'!$H:$H,"*Acceleration*")</f>
        <v>0</v>
      </c>
      <c r="GP17" s="8">
        <f>COUNTIFS('Raw data'!$D:$D,"*Romeo Hamilton*", 'Raw data'!$Y:$Y,"*1st*",'Raw data'!$H:$H,"*Move into Pocket*")</f>
        <v>0</v>
      </c>
      <c r="GQ17" s="8">
        <f>COUNTIFS('Raw data'!$D:$D,"*Romeo Hamilton*", 'Raw data'!$Y:$Y,"*1st*",'Raw data'!$H:$H,"*Wide area*")</f>
        <v>8</v>
      </c>
      <c r="GR17" s="8">
        <f>COUNTIFS('Raw data'!$D:$D,"*Romeo Hamilton*", 'Raw data'!$Y:$Y,"*1st*",'Raw data'!$H:$H,"*Back to goal*")</f>
        <v>0</v>
      </c>
      <c r="GS17" s="8">
        <f>COUNTIFS('Raw data'!$D:$D,"*Romeo Hamilton*", 'Raw data'!$Y:$Y,"*1st*",'Raw data'!$H:$H,"*Over/Underlaps*")</f>
        <v>0</v>
      </c>
      <c r="GT17" s="8">
        <f>COUNTIFS('Raw data'!$D:$D,"*Romeo Hamilton*", 'Raw data'!$Y:$Y,"*1st*",'Raw data'!$H:$H,"*Runs in Behind*")</f>
        <v>0</v>
      </c>
      <c r="GU17" s="8">
        <f>COUNTIFS('Raw data'!$D:$D,"*Romeo Hamilton*", 'Raw data'!$Y:$Y,"*1st*",'Raw data'!$H:$H,"*Half-space Runs*")</f>
        <v>0</v>
      </c>
      <c r="GV17" s="8">
        <f t="shared" si="34"/>
        <v>4</v>
      </c>
      <c r="GW17" s="8">
        <f t="shared" si="35"/>
        <v>3</v>
      </c>
      <c r="GX17" s="8">
        <f t="shared" si="36"/>
        <v>1</v>
      </c>
      <c r="GY17" s="54">
        <f t="shared" si="37"/>
        <v>0.75</v>
      </c>
      <c r="GZ17" s="54">
        <f t="shared" si="38"/>
        <v>0.25</v>
      </c>
      <c r="HA17" s="8">
        <f>COUNTIFS('Raw data'!$D:$D,"*Romeo Hamilton*", 'Raw data'!$Y:$Y,"*1st*",'Raw data'!$K:$K,"*Ground duel*")</f>
        <v>2</v>
      </c>
      <c r="HB17" s="8">
        <f>COUNTIFS('Raw data'!$D:$D,"*Romeo Hamilton*", 'Raw data'!$Y:$Y,"*1st*",'Raw data'!$K:$K,"*Ground duel*",'Raw data'!$M:$M,"*Duel Succeeded*")</f>
        <v>2</v>
      </c>
      <c r="HC17" s="8">
        <f>COUNTIFS('Raw data'!$D:$D,"*Romeo Hamilton*", 'Raw data'!$Y:$Y,"*1st*",'Raw data'!$K:$K,"*Ground duel*",'Raw data'!$M:$M,"*Duel Unsucceeded*")</f>
        <v>0</v>
      </c>
      <c r="HD17" s="54">
        <f t="shared" si="39"/>
        <v>1</v>
      </c>
      <c r="HE17" s="54">
        <f t="shared" si="40"/>
        <v>0</v>
      </c>
      <c r="HF17" s="8">
        <f>COUNTIFS('Raw data'!$D:$D,"*Romeo Hamilton*", 'Raw data'!$Y:$Y,"*1st*",'Raw data'!$K:$K,"*Aerial duel*")</f>
        <v>1</v>
      </c>
      <c r="HG17" s="8">
        <f>COUNTIFS('Raw data'!$D:$D,"*Romeo Hamilton*", 'Raw data'!$Y:$Y,"*1st*",'Raw data'!$K:$K,"*Aerial duel*",'Raw data'!$M:$M,"*Duel Succeeded*")</f>
        <v>0</v>
      </c>
      <c r="HH17" s="8">
        <f>COUNTIFS('Raw data'!$D:$D,"*Romeo Hamilton*", 'Raw data'!$Y:$Y,"*1st*",'Raw data'!$K:$K,"*Aerial duel*",'Raw data'!$M:$M,"*Duel Unsucceeded*")</f>
        <v>1</v>
      </c>
      <c r="HI17" s="54" t="str">
        <f t="shared" si="41"/>
        <v>-</v>
      </c>
      <c r="HJ17" s="54" t="str">
        <f t="shared" si="42"/>
        <v>-</v>
      </c>
      <c r="HK17" s="8">
        <f>COUNTIFS('Raw data'!$D:$D,"*Romeo Hamilton*", 'Raw data'!$Y:$Y,"*1st*",'Raw data'!$K:$K,"*1v1 defense*")</f>
        <v>0</v>
      </c>
      <c r="HL17" s="8">
        <f>COUNTIFS('Raw data'!$D:$D,"*Romeo Hamilton*", 'Raw data'!$Y:$Y,"*1st*",'Raw data'!$K:$K,"*1v1 defense*",'Raw data'!$M:$M,"*Duel Succeeded*")</f>
        <v>0</v>
      </c>
      <c r="HM17" s="8">
        <f>COUNTIFS('Raw data'!$D:$D,"*Romeo Hamilton*", 'Raw data'!$Y:$Y,"*1st*",'Raw data'!$K:$K,"*1v1 defense*",'Raw data'!$M:$M,"*Duel Unsucceeded*")</f>
        <v>0</v>
      </c>
      <c r="HN17" s="54" t="str">
        <f t="shared" si="43"/>
        <v>-</v>
      </c>
      <c r="HO17" s="54" t="str">
        <f t="shared" si="44"/>
        <v>-</v>
      </c>
      <c r="HP17" s="8">
        <f>COUNTIFS('Raw data'!$D:$D,"*Romeo Hamilton*", 'Raw data'!$Y:$Y,"*1st*",'Raw data'!$J:$J,"*Tackles*")</f>
        <v>0</v>
      </c>
      <c r="HQ17" s="8">
        <f>COUNTIFS('Raw data'!$D:$D,"*Romeo Hamilton*", 'Raw data'!$Y:$Y,"*1st*",'Raw data'!$J:$J,"*Tackles*", 'Raw data'!$M:$M,"*Duel Succeeded*")</f>
        <v>0</v>
      </c>
      <c r="HR17" s="8">
        <f>COUNTIFS('Raw data'!$D:$D,"*Romeo Hamilton*", 'Raw data'!$Y:$Y,"*1st*",'Raw data'!$J:$J,"*Tackles*", 'Raw data'!$M:$M,"*Duel Unsucceeded*")</f>
        <v>0</v>
      </c>
      <c r="HS17" s="54" t="str">
        <f t="shared" si="45"/>
        <v>-</v>
      </c>
      <c r="HT17" s="54" t="str">
        <f t="shared" si="46"/>
        <v>-</v>
      </c>
      <c r="HU17" s="8">
        <f>COUNTIFS('Raw data'!$D:$D,"*Romeo Hamilton*", 'Raw data'!$Y:$Y,"*1st*",'Raw data'!$K:$K,"*2nd Balls*")</f>
        <v>1</v>
      </c>
      <c r="HV17" s="8">
        <f>COUNTIFS('Raw data'!$D:$D,"*Romeo Hamilton*", 'Raw data'!$Y:$Y,"*1st*",'Raw data'!$K:$K,"*2nd Balls*", 'Raw data'!$M:$M,"*Duel Succeeded*")</f>
        <v>0</v>
      </c>
      <c r="HW17" s="8">
        <f>COUNTIFS('Raw data'!$D:$D,"*Romeo Hamilton*", 'Raw data'!$Y:$Y,"*1st*",'Raw data'!$K:$K,"*2nd Balls*", 'Raw data'!$M:$M,"*Duel Unsucceeded*")</f>
        <v>1</v>
      </c>
      <c r="HX17" s="54">
        <f t="shared" si="47"/>
        <v>0</v>
      </c>
      <c r="HY17" s="54">
        <f t="shared" si="48"/>
        <v>1</v>
      </c>
      <c r="HZ17" s="8">
        <f>COUNTIFS('Raw data'!$D:$D,"*Romeo Hamilton*", 'Raw data'!$Y:$Y,"*1st*",'Raw data'!$J:$J,"*Clearance*")</f>
        <v>0</v>
      </c>
      <c r="IA17" s="8">
        <f>COUNTIFS('Raw data'!$D:$D,"*Romeo Hamilton*", 'Raw data'!$Y:$Y,"*1st*",'Raw data'!$J:$J,"*Interception*")</f>
        <v>0</v>
      </c>
      <c r="IB17" s="8">
        <f>COUNTIFS('Raw data'!$D:$D,"*Romeo Hamilton*", 'Raw data'!$Y:$Y,"*1st*",'Raw data'!$J:$J,"*Turnover Won*")</f>
        <v>1</v>
      </c>
      <c r="IC17" s="8">
        <f>COUNTIFS('Raw data'!$D:$D,"*Romeo Hamilton*", 'Raw data'!$Y:$Y,"*1st*",'Raw data'!$J:$J,"*Recovery*")</f>
        <v>1</v>
      </c>
      <c r="ID17" s="8">
        <f>COUNTIFS('Raw data'!$D:$D,"*Romeo Hamilton*", 'Raw data'!$Y:$Y,"*1st*",'Raw data'!$J:$J,"*Blocked Shots*")</f>
        <v>0</v>
      </c>
      <c r="IE17" s="8">
        <f>COUNTIFS('Raw data'!$D:$D,"*Romeo Hamilton*", 'Raw data'!$Y:$Y,"*1st*",'Raw data'!$J:$J,"*Man-marking*")</f>
        <v>0</v>
      </c>
      <c r="IF17" s="8">
        <f>COUNTIFS('Raw data'!$D:$D,"*Romeo Hamilton*", 'Raw data'!$Y:$Y,"*1st*",'Raw data'!$J:$J,"*Fouls*")</f>
        <v>0</v>
      </c>
      <c r="IG17" s="8">
        <f>COUNTIFS('Raw data'!$D:$D,"*Romeo Hamilton*", 'Raw data'!$Y:$Y,"*1st*",'Raw data'!$J:$J,"*Won F*")</f>
        <v>0</v>
      </c>
      <c r="IH17" s="8">
        <f>COUNTIFS('Raw data'!$D:$D,"*Romeo Hamilton*", 'Raw data'!$Y:$Y,"*1st*",'Raw data'!$G:$G,"*1v1*")</f>
        <v>0</v>
      </c>
      <c r="II17" s="8">
        <f>COUNTIFS('Raw data'!$D:$D,"*Romeo Hamilton*", 'Raw data'!$Y:$Y,"*1st*",'Raw data'!$G:$G,"*On Target*")</f>
        <v>0</v>
      </c>
      <c r="IJ17" s="8">
        <f>COUNTIFS('Raw data'!$D:$D,"*Romeo Hamilton*", 'Raw data'!$Y:$Y,"*1st*",'Raw data'!$G:$G,"*Off Target*")</f>
        <v>0</v>
      </c>
      <c r="IK17" s="8">
        <f>COUNTIFS('Raw data'!$D:$D,"*Romeo Hamilton*", 'Raw data'!$Y:$Y,"*1st*",'Raw data'!$G:$G,"*Defend the Space*")</f>
        <v>0</v>
      </c>
      <c r="IL17" s="8">
        <f>COUNTIFS('Raw data'!$D:$D,"*Romeo Hamilton*", 'Raw data'!$Y:$Y,"*1st*",'Raw data'!$G:$G,"*Conceded*")</f>
        <v>0</v>
      </c>
      <c r="IM17" s="8">
        <f>COUNTIFS('Raw data'!$D:$D,"*Romeo Hamilton*", 'Raw data'!$Y:$Y,"*1st*",'Raw data'!$G:$G,"*Save*")</f>
        <v>0</v>
      </c>
      <c r="IN17" s="8">
        <f>COUNTIFS('Raw data'!$D:$D,"*Romeo Hamilton*", 'Raw data'!$Y:$Y,"*1st*",'Raw data'!$G:$G,"*Defend the line (Cross)*")</f>
        <v>0</v>
      </c>
      <c r="IO17" s="8">
        <f>COUNTIFS('Raw data'!$D:$D,"*Romeo Hamilton*", 'Raw data'!$Y:$Y,"*1st*",'Raw data'!$G:$G,"*Counter Kick*")</f>
        <v>0</v>
      </c>
      <c r="IP17" t="s">
        <v>626</v>
      </c>
    </row>
    <row r="18" spans="2:250">
      <c r="B18" s="7"/>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DW18" t="s">
        <v>463</v>
      </c>
      <c r="DX18" t="s">
        <v>632</v>
      </c>
      <c r="DY18">
        <v>40</v>
      </c>
      <c r="DZ18" t="s">
        <v>539</v>
      </c>
      <c r="EA18">
        <f t="shared" si="12"/>
        <v>21</v>
      </c>
      <c r="EB18" s="8">
        <f t="shared" si="49"/>
        <v>18</v>
      </c>
      <c r="EC18" s="8">
        <f t="shared" si="50"/>
        <v>3</v>
      </c>
      <c r="ED18" s="54">
        <f t="shared" si="13"/>
        <v>0.8571428571428571</v>
      </c>
      <c r="EE18" s="54">
        <f t="shared" si="14"/>
        <v>0.14285714285714285</v>
      </c>
      <c r="EF18">
        <f t="shared" si="51"/>
        <v>9</v>
      </c>
      <c r="EG18">
        <f>COUNTIFS('Raw data'!$D:$D,"*Kevin Jalo-Gomes*", 'Raw data'!$Y:$Y,"*1st*",'Raw data'!$I:$I,"*Forward Pass*",'Raw data'!$M:$M,"*Pass completed*")</f>
        <v>6</v>
      </c>
      <c r="EH18">
        <f>COUNTIFS('Raw data'!$D:$D,"*Kevin Jalo-Gomes*", 'Raw data'!$Y:$Y,"*1st*",'Raw data'!$I:$I,"*Forward Pass*",'Raw data'!$M:$M,"*Pass Uncompleted*")</f>
        <v>3</v>
      </c>
      <c r="EI18" s="54">
        <f t="shared" si="15"/>
        <v>0.66666666666666663</v>
      </c>
      <c r="EJ18" s="54">
        <f t="shared" si="16"/>
        <v>0.33333333333333331</v>
      </c>
      <c r="EK18">
        <f t="shared" si="52"/>
        <v>9</v>
      </c>
      <c r="EL18" s="8">
        <f>COUNTIFS('Raw data'!$D:$D,"*Kevin Jalo-Gomes*", 'Raw data'!$Y:$Y,"*1st*",'Raw data'!$I:$I,"*Lateral Pass*",'Raw data'!$M:$M,"*Pass completed*")</f>
        <v>9</v>
      </c>
      <c r="EM18" s="8">
        <f>COUNTIFS('Raw data'!$D:$D,"*Kevin Jalo-Gomes*", 'Raw data'!$Y:$Y,"*1st*",'Raw data'!$I:$I,"*Lateral Pass*",'Raw data'!$M:$M,"*Pass Uncompleted*")</f>
        <v>0</v>
      </c>
      <c r="EN18" s="54">
        <f t="shared" si="17"/>
        <v>1</v>
      </c>
      <c r="EO18" s="54">
        <f t="shared" si="18"/>
        <v>0</v>
      </c>
      <c r="EP18">
        <f t="shared" si="53"/>
        <v>3</v>
      </c>
      <c r="EQ18" s="8">
        <f>COUNTIFS('Raw data'!$D:$D,"*Kevin Jalo-Gomes*", 'Raw data'!$Y:$Y,"*1st*",'Raw data'!$I:$I,"*Backward Pass*",'Raw data'!$M:$M,"*Pass completed*")</f>
        <v>3</v>
      </c>
      <c r="ER18" s="8">
        <f>COUNTIFS('Raw data'!$D:$D,"*Kevin Jalo-Gomes*", 'Raw data'!$Y:$Y,"*1st*",'Raw data'!$I:$I,"*Backward Pass*",'Raw data'!$M:$M,"*Pass Uncompleted*")</f>
        <v>0</v>
      </c>
      <c r="ES18" s="54">
        <f t="shared" si="19"/>
        <v>1</v>
      </c>
      <c r="ET18" s="54">
        <f t="shared" si="20"/>
        <v>0</v>
      </c>
      <c r="EU18" s="8">
        <f>COUNTIFS('Raw data'!$D:$D,"*Kevin Jalo-Gomes*", 'Raw data'!$Y:$Y,"*1st*",'Raw data'!$I:$I,"*Long Kick*")</f>
        <v>0</v>
      </c>
      <c r="EV18" s="8">
        <f>COUNTIFS('Raw data'!$D:$D,"*Kevin Jalo-Gomes*", 'Raw data'!$Y:$Y,"*1st*",'Raw data'!$I:$I,"*Long Kick*",'Raw data'!$M:$M,"*Pass completed*")</f>
        <v>0</v>
      </c>
      <c r="EW18" s="8">
        <f>COUNTIFS('Raw data'!$D:$D,"*Kevin Jalo-Gomes*", 'Raw data'!$Y:$Y,"*1st*",'Raw data'!$I:$I,"*Long Kick*",'Raw data'!$M:$M,"*Pass Uncompleted*")</f>
        <v>0</v>
      </c>
      <c r="EX18" s="54" t="str">
        <f t="shared" si="21"/>
        <v>-</v>
      </c>
      <c r="EY18" s="54" t="str">
        <f t="shared" si="22"/>
        <v>-</v>
      </c>
      <c r="EZ18" s="8">
        <f>COUNTIFS('Raw data'!$D:$D,"*Kevin Jalo-Gomes*", 'Raw data'!$Y:$Y,"*1st*",'Raw data'!$I:$I,"*Balls in Behind*")</f>
        <v>0</v>
      </c>
      <c r="FA18" s="8">
        <f>COUNTIFS('Raw data'!$D:$D,"*Kevin Jalo-Gomes*", 'Raw data'!$Y:$Y,"*1st*",'Raw data'!$I:$I,"*Balls in Behind*",'Raw data'!$M:$M,"*Pass completed*")</f>
        <v>0</v>
      </c>
      <c r="FB18" s="8">
        <f>COUNTIFS('Raw data'!$D:$D,"*Kevin Jalo-Gomes*", 'Raw data'!$Y:$Y,"*1st*",'Raw data'!$I:$I,"*Balls in Behind*",'Raw data'!$M:$M,"*Pass Uncompleted*")</f>
        <v>0</v>
      </c>
      <c r="FC18" s="54" t="str">
        <f t="shared" si="23"/>
        <v>-</v>
      </c>
      <c r="FD18" s="54" t="str">
        <f t="shared" si="24"/>
        <v>-</v>
      </c>
      <c r="FE18" s="8">
        <f>COUNTIFS('Raw data'!$D:$D,"*Kevin Jalo-Gomes*", 'Raw data'!$Y:$Y,"*1st*",'Raw data'!$I:$I,"*Key/Through pass*")</f>
        <v>0</v>
      </c>
      <c r="FF18" s="8">
        <f>COUNTIFS('Raw data'!$D:$D,"*Kevin Jalo-Gomes*", 'Raw data'!$Y:$Y,"*1st*",'Raw data'!$I:$I,"*Diagonal pass*")</f>
        <v>0</v>
      </c>
      <c r="FG18" s="8">
        <f>COUNTIFS('Raw data'!$D:$D,"*Kevin Jalo-Gomes*", 'Raw data'!$Y:$Y,"*1st*",'Raw data'!$I:$I,"*Diagonal pass*",'Raw data'!$M:$M,"*Pass completed*")</f>
        <v>0</v>
      </c>
      <c r="FH18" s="8">
        <f>COUNTIFS('Raw data'!$D:$D,"*Kevin Jalo-Gomes*", 'Raw data'!$Y:$Y,"*1st*",'Raw data'!$I:$I,"*Diagonal pass*",'Raw data'!$M:$M,"*Pass Uncompleted*")</f>
        <v>0</v>
      </c>
      <c r="FI18" s="54" t="str">
        <f t="shared" si="25"/>
        <v>-</v>
      </c>
      <c r="FJ18" s="54" t="str">
        <f t="shared" si="26"/>
        <v>-</v>
      </c>
      <c r="FK18" s="8">
        <f>COUNTIFS('Raw data'!$D:$D,"*Kevin Jalo-Gomes*", 'Raw data'!$Y:$Y,"*1st*",'Raw data'!$M:$M,"*Pass Received*")</f>
        <v>12</v>
      </c>
      <c r="FL18" s="8">
        <f>COUNTIFS('Raw data'!$D:$D,"*Kevin Jalo-Gomes*", 'Raw data'!$Y:$Y,"*1st*",'Raw data'!$M:$M,"*Pass Completed*",'Raw data'!$M:$M,"*Pass Received*")</f>
        <v>11</v>
      </c>
      <c r="FM18" s="8">
        <f>COUNTIFS('Raw data'!$D:$D,"*Kevin Jalo-Gomes*", 'Raw data'!$Y:$Y,"*1st*",'Raw data'!$M:$M,"*Pass Uncompleted*",'Raw data'!$M:$M,"*Pass Received*")</f>
        <v>1</v>
      </c>
      <c r="FN18" s="8">
        <f>COUNTIFS('Raw data'!$D:$D,"*Kevin Jalo-Gomes*", 'Raw data'!$Y:$Y,"*1st*",'Raw data'!$M:$M,"*Kept Possession*",'Raw data'!$M:$M,"*Pass Received*")</f>
        <v>0</v>
      </c>
      <c r="FO18" s="8">
        <f>COUNTIFS('Raw data'!$D:$D,"*Kevin Jalo-Gomes*", 'Raw data'!$Y:$Y,"*1st*",'Raw data'!$M:$M,"*Lost Possession*")</f>
        <v>0</v>
      </c>
      <c r="FP18" s="8">
        <f>COUNTIFS('Raw data'!$D:$D,"*Kevin Jalo-Gomes*", 'Raw data'!$Y:$Y,"*1st*",'Raw data'!$M:$M,"*Lost Possession*",'Raw data'!$M:$M,"*Lost Final 1/3*")</f>
        <v>0</v>
      </c>
      <c r="FQ18" s="8">
        <f>COUNTIFS('Raw data'!$D:$D,"*Kevin Jalo-Gomes*", 'Raw data'!$Y:$Y,"*1st*",'Raw data'!$M:$M,"*Lost Possession*",'Raw data'!$M:$M,"*Lost Middle 1/3*")</f>
        <v>0</v>
      </c>
      <c r="FR18" s="8">
        <f>COUNTIFS('Raw data'!$D:$D,"*Kevin Jalo-Gomes*", 'Raw data'!$Y:$Y,"*1st*",'Raw data'!$M:$M,"*Lost Possession*",'Raw data'!$M:$M,"*Lost Own 1/3*")</f>
        <v>0</v>
      </c>
      <c r="FS18" s="8">
        <f>COUNTIFS('Raw data'!$D:$D,"*Kevin Jalo-Gomes*", 'Raw data'!$Y:$Y,"*1st*",'Raw data'!$H:$H,"*Touches in the Box*")</f>
        <v>0</v>
      </c>
      <c r="FT18" s="8">
        <f>COUNTIFS('Raw data'!$D:$D,"*Kevin Jalo-Gomes*", 'Raw data'!$Y:$Y,"*1st*",'Raw data'!$H:$H,"*1v1 Attack*")</f>
        <v>1</v>
      </c>
      <c r="FU18" s="8">
        <f>COUNTIFS('Raw data'!$D:$D,"*Kevin Jalo-Gomes*", 'Raw data'!$Y:$Y,"*1st*",'Raw data'!$H:$H,"*1v1 Attack*",'Raw data'!$H:$H,"*1v1 Attack*",'Raw data'!$M:$M,"*Kept Possession*")</f>
        <v>1</v>
      </c>
      <c r="FV18" s="8">
        <f>COUNTIFS('Raw data'!$D:$D,"*Kevin Jalo-Gomes*", 'Raw data'!$Y:$Y,"*1st*",'Raw data'!$H:$H,"*1v1 Attack*",'Raw data'!$H:$H,"*1v1 Attack*",'Raw data'!$M:$M,"*Lost Possession*")</f>
        <v>0</v>
      </c>
      <c r="FW18" s="54">
        <f t="shared" si="27"/>
        <v>1</v>
      </c>
      <c r="FX18" s="54">
        <f t="shared" si="28"/>
        <v>0</v>
      </c>
      <c r="FY18" s="8">
        <f>COUNTIFS('Raw data'!$D:$D,"*Kevin Jalo-Gomes*", 'Raw data'!$Y:$Y,"*1st*",'Raw data'!$I:$I,"*Cross*")</f>
        <v>0</v>
      </c>
      <c r="FZ18" s="8">
        <f>COUNTIFS('Raw data'!$D:$D,"*Kevin Jalo-Gomes*", 'Raw data'!$Y:$Y,"*1st*",'Raw data'!$I:$I,"*Cross*",'Raw data'!$M:$M,"*Pass Completed*")</f>
        <v>0</v>
      </c>
      <c r="GA18" s="8">
        <f>COUNTIFS('Raw data'!$D:$D,"*Kevin Jalo-Gomes*", 'Raw data'!$Y:$Y,"*1st*",'Raw data'!$I:$I,"*Cross*",'Raw data'!$M:$M,"*Pass Uncompleted*")</f>
        <v>0</v>
      </c>
      <c r="GB18" s="54" t="str">
        <f t="shared" si="29"/>
        <v>-</v>
      </c>
      <c r="GC18" s="54" t="str">
        <f t="shared" si="30"/>
        <v>-</v>
      </c>
      <c r="GD18" s="8">
        <f t="shared" si="31"/>
        <v>0</v>
      </c>
      <c r="GE18" s="8">
        <f>COUNTIFS('Raw data'!$D:$D,"*Kevin Jalo-Gomes*", 'Raw data'!$Y:$Y,"*1st*",'Raw data'!$L:$L,"*On Target*")</f>
        <v>0</v>
      </c>
      <c r="GF18" s="8">
        <f>COUNTIFS('Raw data'!$D:$D,"*Kevin Jalo-Gomes*", 'Raw data'!$Y:$Y,"*1st*",'Raw data'!$L:$L,"*Off Target*")</f>
        <v>0</v>
      </c>
      <c r="GG18" s="8">
        <f>COUNTIFS('Raw data'!$D:$D,"*Kevin Jalo-Gomes*", 'Raw data'!$Y:$Y,"*1st*",'Raw data'!$L:$L,"*Blocked*")</f>
        <v>0</v>
      </c>
      <c r="GH18" s="8">
        <f>COUNTIFS('Raw data'!$D:$D,"*Kevin Jalo-Gomes*", 'Raw data'!$Y:$Y,"*1st*",'Raw data'!$M:$M,"*Goal*")</f>
        <v>0</v>
      </c>
      <c r="GI18" s="8">
        <f>COUNTIFS('Raw data'!$D:$D,"*Kevin Jalo-Gomes*", 'Raw data'!$Y:$Y,"*1st*",'Raw data'!$M:$M,"*Assist*")</f>
        <v>0</v>
      </c>
      <c r="GJ18" s="8">
        <f>COUNTIFS('Raw data'!$D:$D,"*Kevin Jalo-Gomes*", 'Raw data'!$Y:$Y,"*1st*",'Raw data'!$H:$H,"*Offensive duel*")</f>
        <v>0</v>
      </c>
      <c r="GK18" s="8">
        <f>COUNTIFS('Raw data'!$D:$D,"*Kevin Jalo-Gomes*", 'Raw data'!$Y:$Y,"*1st*",'Raw data'!$H:$H,"*Offensive Duel*",'Raw data'!$H:$H,"*Offensive Duel*",'Raw data'!$M:$M,"*Kept Possession*")</f>
        <v>0</v>
      </c>
      <c r="GL18" s="8">
        <f>COUNTIFS('Raw data'!$D:$D,"*Kevin Jalo-Gomes*", 'Raw data'!$Y:$Y,"*1st*",'Raw data'!$H:$H,"*Offensive Duel*",'Raw data'!$H:$H,"*Offensive Duel*",'Raw data'!$M:$M,"*Lost Possession*")</f>
        <v>0</v>
      </c>
      <c r="GM18" s="54" t="str">
        <f t="shared" si="32"/>
        <v>-</v>
      </c>
      <c r="GN18" s="54" t="str">
        <f t="shared" si="33"/>
        <v>-</v>
      </c>
      <c r="GO18" s="8">
        <f>COUNTIFS('Raw data'!$D:$D,"*Kevin Jalo-Gomes*", 'Raw data'!$Y:$Y,"*1st*",'Raw data'!$H:$H,"*Acceleration*")</f>
        <v>0</v>
      </c>
      <c r="GP18" s="8">
        <f>COUNTIFS('Raw data'!$D:$D,"*Kevin Jalo-Gomes*", 'Raw data'!$Y:$Y,"*1st*",'Raw data'!$H:$H,"*Move into Pocket*")</f>
        <v>5</v>
      </c>
      <c r="GQ18" s="8">
        <f>COUNTIFS('Raw data'!$D:$D,"*Kevin Jalo-Gomes*", 'Raw data'!$Y:$Y,"*1st*",'Raw data'!$H:$H,"*Wide area*")</f>
        <v>0</v>
      </c>
      <c r="GR18" s="8">
        <f>COUNTIFS('Raw data'!$D:$D,"*Kevin Jalo-Gomes*", 'Raw data'!$Y:$Y,"*1st*",'Raw data'!$H:$H,"*Back to goal*")</f>
        <v>0</v>
      </c>
      <c r="GS18" s="8">
        <f>COUNTIFS('Raw data'!$D:$D,"*Kevin Jalo-Gomes*", 'Raw data'!$Y:$Y,"*1st*",'Raw data'!$H:$H,"*Over/Underlaps*")</f>
        <v>0</v>
      </c>
      <c r="GT18" s="8">
        <f>COUNTIFS('Raw data'!$D:$D,"*Kevin Jalo-Gomes*", 'Raw data'!$Y:$Y,"*1st*",'Raw data'!$H:$H,"*Runs in Behind*")</f>
        <v>0</v>
      </c>
      <c r="GU18" s="8">
        <f>COUNTIFS('Raw data'!$D:$D,"*Kevin Jalo-Gomes*", 'Raw data'!$Y:$Y,"*1st*",'Raw data'!$H:$H,"*Half-space Runs*")</f>
        <v>0</v>
      </c>
      <c r="GV18" s="8">
        <f t="shared" si="34"/>
        <v>3</v>
      </c>
      <c r="GW18" s="8">
        <f t="shared" si="35"/>
        <v>1</v>
      </c>
      <c r="GX18" s="8">
        <f t="shared" si="36"/>
        <v>2</v>
      </c>
      <c r="GY18" s="54">
        <f t="shared" si="37"/>
        <v>0.33333333333333331</v>
      </c>
      <c r="GZ18" s="54">
        <f t="shared" si="38"/>
        <v>0.66666666666666663</v>
      </c>
      <c r="HA18" s="8">
        <f>COUNTIFS('Raw data'!$D:$D,"*Kevin Jalo-Gomes*", 'Raw data'!$Y:$Y,"*1st*",'Raw data'!$K:$K,"*Ground duel*")</f>
        <v>3</v>
      </c>
      <c r="HB18" s="8">
        <f>COUNTIFS('Raw data'!$D:$D,"*Kevin Jalo-Gomes*", 'Raw data'!$Y:$Y,"*1st*",'Raw data'!$K:$K,"*Ground duel*",'Raw data'!$M:$M,"*Duel Succeeded*")</f>
        <v>1</v>
      </c>
      <c r="HC18" s="8">
        <f>COUNTIFS('Raw data'!$D:$D,"*Kevin Jalo-Gomes*", 'Raw data'!$Y:$Y,"*1st*",'Raw data'!$K:$K,"*Ground duel*",'Raw data'!$M:$M,"*Duel Unsucceeded*")</f>
        <v>2</v>
      </c>
      <c r="HD18" s="54">
        <f t="shared" si="39"/>
        <v>0.33333333333333331</v>
      </c>
      <c r="HE18" s="54">
        <f t="shared" si="40"/>
        <v>0.66666666666666663</v>
      </c>
      <c r="HF18" s="8">
        <f>COUNTIFS('Raw data'!$D:$D,"*Kevin Jalo-Gomes*", 'Raw data'!$Y:$Y,"*1st*",'Raw data'!$K:$K,"*Aerial duel*")</f>
        <v>0</v>
      </c>
      <c r="HG18" s="8">
        <f>COUNTIFS('Raw data'!$D:$D,"*Kevin Jalo-Gomes*", 'Raw data'!$Y:$Y,"*1st*",'Raw data'!$K:$K,"*Aerial duel*",'Raw data'!$M:$M,"*Duel Succeeded*")</f>
        <v>0</v>
      </c>
      <c r="HH18" s="8">
        <f>COUNTIFS('Raw data'!$D:$D,"*Kevin Jalo-Gomes*", 'Raw data'!$Y:$Y,"*1st*",'Raw data'!$K:$K,"*Aerial duel*",'Raw data'!$M:$M,"*Duel Unsucceeded*")</f>
        <v>0</v>
      </c>
      <c r="HI18" s="54" t="str">
        <f t="shared" si="41"/>
        <v>-</v>
      </c>
      <c r="HJ18" s="54" t="str">
        <f t="shared" si="42"/>
        <v>-</v>
      </c>
      <c r="HK18" s="8">
        <f>COUNTIFS('Raw data'!$D:$D,"*Kevin Jalo-Gomes*", 'Raw data'!$Y:$Y,"*1st*",'Raw data'!$K:$K,"*1v1 defense*")</f>
        <v>0</v>
      </c>
      <c r="HL18" s="8">
        <f>COUNTIFS('Raw data'!$D:$D,"*Kevin Jalo-Gomes*", 'Raw data'!$Y:$Y,"*1st*",'Raw data'!$K:$K,"*1v1 defense*",'Raw data'!$M:$M,"*Duel Succeeded*")</f>
        <v>0</v>
      </c>
      <c r="HM18" s="8">
        <f>COUNTIFS('Raw data'!$D:$D,"*Kevin Jalo-Gomes*", 'Raw data'!$Y:$Y,"*1st*",'Raw data'!$K:$K,"*1v1 defense*",'Raw data'!$M:$M,"*Duel Unsucceeded*")</f>
        <v>0</v>
      </c>
      <c r="HN18" s="54" t="str">
        <f t="shared" si="43"/>
        <v>-</v>
      </c>
      <c r="HO18" s="54" t="str">
        <f t="shared" si="44"/>
        <v>-</v>
      </c>
      <c r="HP18" s="8">
        <f>COUNTIFS('Raw data'!$D:$D,"*Kevin Jalo-Gomes*", 'Raw data'!$Y:$Y,"*1st*",'Raw data'!$J:$J,"*Tackles*")</f>
        <v>1</v>
      </c>
      <c r="HQ18" s="8">
        <f>COUNTIFS('Raw data'!$D:$D,"*Kevin Jalo-Gomes*", 'Raw data'!$Y:$Y,"*1st*",'Raw data'!$J:$J,"*Tackles*", 'Raw data'!$M:$M,"*Duel Succeeded*")</f>
        <v>1</v>
      </c>
      <c r="HR18" s="8">
        <f>COUNTIFS('Raw data'!$D:$D,"*Kevin Jalo-Gomes*", 'Raw data'!$Y:$Y,"*1st*",'Raw data'!$J:$J,"*Tackles*", 'Raw data'!$M:$M,"*Duel Unsucceeded*")</f>
        <v>0</v>
      </c>
      <c r="HS18" s="54">
        <f t="shared" si="45"/>
        <v>1</v>
      </c>
      <c r="HT18" s="54">
        <f t="shared" si="46"/>
        <v>0</v>
      </c>
      <c r="HU18" s="8">
        <f>COUNTIFS('Raw data'!$D:$D,"*Kevin Jalo-Gomes*", 'Raw data'!$Y:$Y,"*1st*",'Raw data'!$K:$K,"*2nd Balls*")</f>
        <v>1</v>
      </c>
      <c r="HV18" s="8">
        <f>COUNTIFS('Raw data'!$D:$D,"*Kevin Jalo-Gomes*", 'Raw data'!$Y:$Y,"*1st*",'Raw data'!$K:$K,"*2nd Balls*", 'Raw data'!$M:$M,"*Duel Succeeded*")</f>
        <v>0</v>
      </c>
      <c r="HW18" s="8">
        <f>COUNTIFS('Raw data'!$D:$D,"*Kevin Jalo-Gomes*", 'Raw data'!$Y:$Y,"*1st*",'Raw data'!$K:$K,"*2nd Balls*", 'Raw data'!$M:$M,"*Duel Unsucceeded*")</f>
        <v>1</v>
      </c>
      <c r="HX18" s="54">
        <f t="shared" si="47"/>
        <v>0</v>
      </c>
      <c r="HY18" s="54">
        <f t="shared" si="48"/>
        <v>1</v>
      </c>
      <c r="HZ18" s="8">
        <f>COUNTIFS('Raw data'!$D:$D,"*Kevin Jalo-Gomes*", 'Raw data'!$Y:$Y,"*1st*",'Raw data'!$J:$J,"*Clearance*")</f>
        <v>0</v>
      </c>
      <c r="IA18" s="8">
        <f>COUNTIFS('Raw data'!$D:$D,"*Kevin Jalo-Gomes*", 'Raw data'!$Y:$Y,"*1st*",'Raw data'!$J:$J,"*Interception*")</f>
        <v>6</v>
      </c>
      <c r="IB18" s="8">
        <f>COUNTIFS('Raw data'!$D:$D,"*Kevin Jalo-Gomes*", 'Raw data'!$Y:$Y,"*1st*",'Raw data'!$J:$J,"*Turnover Won*")</f>
        <v>8</v>
      </c>
      <c r="IC18" s="8">
        <f>COUNTIFS('Raw data'!$D:$D,"*Kevin Jalo-Gomes*", 'Raw data'!$Y:$Y,"*1st*",'Raw data'!$J:$J,"*Recovery*")</f>
        <v>0</v>
      </c>
      <c r="ID18" s="8">
        <f>COUNTIFS('Raw data'!$D:$D,"*Kevin Jalo-Gomes*", 'Raw data'!$Y:$Y,"*1st*",'Raw data'!$J:$J,"*Blocked Shots*")</f>
        <v>0</v>
      </c>
      <c r="IE18" s="8">
        <f>COUNTIFS('Raw data'!$D:$D,"*Kevin Jalo-Gomes*", 'Raw data'!$Y:$Y,"*1st*",'Raw data'!$J:$J,"*Man-marking*")</f>
        <v>0</v>
      </c>
      <c r="IF18" s="8">
        <f>COUNTIFS('Raw data'!$D:$D,"*Kevin Jalo-Gomes*", 'Raw data'!$Y:$Y,"*1st*",'Raw data'!$J:$J,"*Fouls*")</f>
        <v>1</v>
      </c>
      <c r="IG18" s="8">
        <f>COUNTIFS('Raw data'!$D:$D,"*Kevin Jalo-Gomes*", 'Raw data'!$Y:$Y,"*1st*",'Raw data'!$J:$J,"*Won F*")</f>
        <v>0</v>
      </c>
      <c r="IH18" s="8">
        <f>COUNTIFS('Raw data'!$D:$D,"*Kevin Jalo-Gomes*", 'Raw data'!$Y:$Y,"*1st*",'Raw data'!$G:$G,"*1v1*")</f>
        <v>0</v>
      </c>
      <c r="II18" s="8">
        <f>COUNTIFS('Raw data'!$D:$D,"*Kevin Jalo-Gomes*", 'Raw data'!$Y:$Y,"*1st*",'Raw data'!$G:$G,"*On Target*")</f>
        <v>0</v>
      </c>
      <c r="IJ18" s="8">
        <f>COUNTIFS('Raw data'!$D:$D,"*Kevin Jalo-Gomes*", 'Raw data'!$Y:$Y,"*1st*",'Raw data'!$G:$G,"*Off Target*")</f>
        <v>0</v>
      </c>
      <c r="IK18" s="8">
        <f>COUNTIFS('Raw data'!$D:$D,"*Kevin Jalo-Gomes*", 'Raw data'!$Y:$Y,"*1st*",'Raw data'!$G:$G,"*Defend the Space*")</f>
        <v>0</v>
      </c>
      <c r="IL18" s="8">
        <f>COUNTIFS('Raw data'!$D:$D,"*Kevin Jalo-Gomes*", 'Raw data'!$Y:$Y,"*1st*",'Raw data'!$G:$G,"*Conceded*")</f>
        <v>0</v>
      </c>
      <c r="IM18" s="8">
        <f>COUNTIFS('Raw data'!$D:$D,"*Kevin Jalo-Gomes*", 'Raw data'!$Y:$Y,"*1st*",'Raw data'!$G:$G,"*Save*")</f>
        <v>0</v>
      </c>
      <c r="IN18" s="8">
        <f>COUNTIFS('Raw data'!$D:$D,"*Kevin Jalo-Gomes*", 'Raw data'!$Y:$Y,"*1st*",'Raw data'!$G:$G,"*Defend the line (Cross)*")</f>
        <v>0</v>
      </c>
      <c r="IO18" s="8">
        <f>COUNTIFS('Raw data'!$D:$D,"*Kevin Jalo-Gomes*", 'Raw data'!$Y:$Y,"*1st*",'Raw data'!$G:$G,"*Counter Kick*")</f>
        <v>0</v>
      </c>
      <c r="IP18" t="s">
        <v>632</v>
      </c>
    </row>
    <row r="19" spans="2:250">
      <c r="B19" s="7"/>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DW19" t="s">
        <v>463</v>
      </c>
      <c r="DX19" t="s">
        <v>645</v>
      </c>
      <c r="DY19">
        <v>40</v>
      </c>
      <c r="DZ19" t="s">
        <v>539</v>
      </c>
      <c r="EA19">
        <f t="shared" si="12"/>
        <v>11</v>
      </c>
      <c r="EB19" s="8">
        <f t="shared" si="49"/>
        <v>9</v>
      </c>
      <c r="EC19" s="8">
        <f t="shared" si="50"/>
        <v>2</v>
      </c>
      <c r="ED19" s="54">
        <f t="shared" si="13"/>
        <v>0.81818181818181823</v>
      </c>
      <c r="EE19" s="54">
        <f t="shared" si="14"/>
        <v>0.18181818181818182</v>
      </c>
      <c r="EF19">
        <f t="shared" si="51"/>
        <v>5</v>
      </c>
      <c r="EG19">
        <f>COUNTIFS('Raw data'!$D:$D,"*Ethan Lake*", 'Raw data'!$Y:$Y,"*1st*",'Raw data'!$I:$I,"*Forward Pass*",'Raw data'!$M:$M,"*Pass completed*")</f>
        <v>4</v>
      </c>
      <c r="EH19">
        <f>COUNTIFS('Raw data'!$D:$D,"*Ethan Lake*", 'Raw data'!$Y:$Y,"*1st*",'Raw data'!$I:$I,"*Forward Pass*",'Raw data'!$M:$M,"*Pass Uncompleted*")</f>
        <v>1</v>
      </c>
      <c r="EI19" s="54">
        <f t="shared" si="15"/>
        <v>0.8</v>
      </c>
      <c r="EJ19" s="54">
        <f t="shared" si="16"/>
        <v>0.2</v>
      </c>
      <c r="EK19">
        <f t="shared" si="52"/>
        <v>2</v>
      </c>
      <c r="EL19" s="8">
        <f>COUNTIFS('Raw data'!$D:$D,"*Ethan Lake*", 'Raw data'!$Y:$Y,"*1st*",'Raw data'!$I:$I,"*Lateral Pass*",'Raw data'!$M:$M,"*Pass completed*")</f>
        <v>1</v>
      </c>
      <c r="EM19" s="8">
        <f>COUNTIFS('Raw data'!$D:$D,"*Ethan Lake*", 'Raw data'!$Y:$Y,"*1st*",'Raw data'!$I:$I,"*Lateral Pass*",'Raw data'!$M:$M,"*Pass Uncompleted*")</f>
        <v>1</v>
      </c>
      <c r="EN19" s="54">
        <f t="shared" si="17"/>
        <v>0.5</v>
      </c>
      <c r="EO19" s="54">
        <f t="shared" si="18"/>
        <v>0.5</v>
      </c>
      <c r="EP19">
        <f t="shared" si="53"/>
        <v>4</v>
      </c>
      <c r="EQ19" s="8">
        <f>COUNTIFS('Raw data'!$D:$D,"*Ethan Lake*", 'Raw data'!$Y:$Y,"*1st*",'Raw data'!$I:$I,"*Backward Pass*",'Raw data'!$M:$M,"*Pass completed*")</f>
        <v>4</v>
      </c>
      <c r="ER19" s="8">
        <f>COUNTIFS('Raw data'!$D:$D,"*Ethan Lake*", 'Raw data'!$Y:$Y,"*1st*",'Raw data'!$I:$I,"*Backward Pass*",'Raw data'!$M:$M,"*Pass Uncompleted*")</f>
        <v>0</v>
      </c>
      <c r="ES19" s="54">
        <f t="shared" si="19"/>
        <v>1</v>
      </c>
      <c r="ET19" s="54">
        <f t="shared" si="20"/>
        <v>0</v>
      </c>
      <c r="EU19" s="8">
        <f>COUNTIFS('Raw data'!$D:$D,"*Ethan Lake*", 'Raw data'!$Y:$Y,"*1st*",'Raw data'!$I:$I,"*Long Kick*")</f>
        <v>1</v>
      </c>
      <c r="EV19" s="8">
        <f>COUNTIFS('Raw data'!$D:$D,"*Ethan Lake*", 'Raw data'!$Y:$Y,"*1st*",'Raw data'!$I:$I,"*Long Kick*",'Raw data'!$M:$M,"*Pass completed*")</f>
        <v>0</v>
      </c>
      <c r="EW19" s="8">
        <f>COUNTIFS('Raw data'!$D:$D,"*Ethan Lake*", 'Raw data'!$Y:$Y,"*1st*",'Raw data'!$I:$I,"*Long Kick*",'Raw data'!$M:$M,"*Pass Uncompleted*")</f>
        <v>1</v>
      </c>
      <c r="EX19" s="54">
        <f t="shared" si="21"/>
        <v>0</v>
      </c>
      <c r="EY19" s="54">
        <f t="shared" si="22"/>
        <v>1</v>
      </c>
      <c r="EZ19" s="8">
        <f>COUNTIFS('Raw data'!$D:$D,"*Ethan Lake*", 'Raw data'!$Y:$Y,"*1st*",'Raw data'!$I:$I,"*Balls in Behind*")</f>
        <v>1</v>
      </c>
      <c r="FA19" s="8">
        <f>COUNTIFS('Raw data'!$D:$D,"*Ethan Lake*", 'Raw data'!$Y:$Y,"*1st*",'Raw data'!$I:$I,"*Balls in Behind*",'Raw data'!$M:$M,"*Pass completed*")</f>
        <v>0</v>
      </c>
      <c r="FB19" s="8">
        <f>COUNTIFS('Raw data'!$D:$D,"*Ethan Lake*", 'Raw data'!$Y:$Y,"*1st*",'Raw data'!$I:$I,"*Balls in Behind*",'Raw data'!$M:$M,"*Pass Uncompleted*")</f>
        <v>1</v>
      </c>
      <c r="FC19" s="54">
        <f t="shared" si="23"/>
        <v>0</v>
      </c>
      <c r="FD19" s="54">
        <f t="shared" si="24"/>
        <v>1</v>
      </c>
      <c r="FE19" s="8">
        <f>COUNTIFS('Raw data'!$D:$D,"*Ethan Lake*", 'Raw data'!$Y:$Y,"*1st*",'Raw data'!$I:$I,"*Key/Through pass*")</f>
        <v>0</v>
      </c>
      <c r="FF19" s="8">
        <f>COUNTIFS('Raw data'!$D:$D,"*Ethan Lake*", 'Raw data'!$Y:$Y,"*1st*",'Raw data'!$I:$I,"*Diagonal pass*")</f>
        <v>0</v>
      </c>
      <c r="FG19" s="8">
        <f>COUNTIFS('Raw data'!$D:$D,"*Ethan Lake*", 'Raw data'!$Y:$Y,"*1st*",'Raw data'!$I:$I,"*Diagonal pass*",'Raw data'!$M:$M,"*Pass completed*")</f>
        <v>0</v>
      </c>
      <c r="FH19" s="8">
        <f>COUNTIFS('Raw data'!$D:$D,"*Ethan Lake*", 'Raw data'!$Y:$Y,"*1st*",'Raw data'!$I:$I,"*Diagonal pass*",'Raw data'!$M:$M,"*Pass Uncompleted*")</f>
        <v>0</v>
      </c>
      <c r="FI19" s="54" t="str">
        <f t="shared" si="25"/>
        <v>-</v>
      </c>
      <c r="FJ19" s="54" t="str">
        <f t="shared" si="26"/>
        <v>-</v>
      </c>
      <c r="FK19" s="8">
        <f>COUNTIFS('Raw data'!$D:$D,"*Ethan Lake*", 'Raw data'!$Y:$Y,"*1st*",'Raw data'!$M:$M,"*Pass Received*")</f>
        <v>12</v>
      </c>
      <c r="FL19" s="8">
        <f>COUNTIFS('Raw data'!$D:$D,"*Ethan Lake*", 'Raw data'!$Y:$Y,"*1st*",'Raw data'!$M:$M,"*Pass Completed*",'Raw data'!$M:$M,"*Pass Received*")</f>
        <v>5</v>
      </c>
      <c r="FM19" s="8">
        <f>COUNTIFS('Raw data'!$D:$D,"*Ethan Lake*", 'Raw data'!$Y:$Y,"*1st*",'Raw data'!$M:$M,"*Pass Uncompleted*",'Raw data'!$M:$M,"*Pass Received*")</f>
        <v>2</v>
      </c>
      <c r="FN19" s="8">
        <f>COUNTIFS('Raw data'!$D:$D,"*Ethan Lake*", 'Raw data'!$Y:$Y,"*1st*",'Raw data'!$M:$M,"*Kept Possession*",'Raw data'!$M:$M,"*Pass Received*")</f>
        <v>1</v>
      </c>
      <c r="FO19" s="8">
        <f>COUNTIFS('Raw data'!$D:$D,"*Ethan Lake*", 'Raw data'!$Y:$Y,"*1st*",'Raw data'!$M:$M,"*Lost Possession*")</f>
        <v>2</v>
      </c>
      <c r="FP19" s="8">
        <f>COUNTIFS('Raw data'!$D:$D,"*Ethan Lake*", 'Raw data'!$Y:$Y,"*1st*",'Raw data'!$M:$M,"*Lost Possession*",'Raw data'!$M:$M,"*Lost Final 1/3*")</f>
        <v>2</v>
      </c>
      <c r="FQ19" s="8">
        <f>COUNTIFS('Raw data'!$D:$D,"*Ethan Lake*", 'Raw data'!$Y:$Y,"*1st*",'Raw data'!$M:$M,"*Lost Possession*",'Raw data'!$M:$M,"*Lost Middle 1/3*")</f>
        <v>0</v>
      </c>
      <c r="FR19" s="8">
        <f>COUNTIFS('Raw data'!$D:$D,"*Ethan Lake*", 'Raw data'!$Y:$Y,"*1st*",'Raw data'!$M:$M,"*Lost Possession*",'Raw data'!$M:$M,"*Lost Own 1/3*")</f>
        <v>0</v>
      </c>
      <c r="FS19" s="8">
        <f>COUNTIFS('Raw data'!$D:$D,"*Ethan Lake*", 'Raw data'!$Y:$Y,"*1st*",'Raw data'!$H:$H,"*Touches in the Box*")</f>
        <v>1</v>
      </c>
      <c r="FT19" s="8">
        <f>COUNTIFS('Raw data'!$D:$D,"*Ethan Lake*", 'Raw data'!$Y:$Y,"*1st*",'Raw data'!$H:$H,"*1v1 Attack*")</f>
        <v>3</v>
      </c>
      <c r="FU19" s="8">
        <f>COUNTIFS('Raw data'!$D:$D,"*Ethan Lake*", 'Raw data'!$Y:$Y,"*1st*",'Raw data'!$H:$H,"*1v1 Attack*",'Raw data'!$H:$H,"*1v1 Attack*",'Raw data'!$M:$M,"*Kept Possession*")</f>
        <v>2</v>
      </c>
      <c r="FV19" s="8">
        <f>COUNTIFS('Raw data'!$D:$D,"*Ethan Lake*", 'Raw data'!$Y:$Y,"*1st*",'Raw data'!$H:$H,"*1v1 Attack*",'Raw data'!$H:$H,"*1v1 Attack*",'Raw data'!$M:$M,"*Lost Possession*")</f>
        <v>1</v>
      </c>
      <c r="FW19" s="54">
        <f t="shared" si="27"/>
        <v>0.66666666666666663</v>
      </c>
      <c r="FX19" s="54">
        <f t="shared" si="28"/>
        <v>0.33333333333333331</v>
      </c>
      <c r="FY19" s="8">
        <f>COUNTIFS('Raw data'!$D:$D,"*Ethan Lake*", 'Raw data'!$Y:$Y,"*1st*",'Raw data'!$I:$I,"*Cross*")</f>
        <v>0</v>
      </c>
      <c r="FZ19" s="8">
        <f>COUNTIFS('Raw data'!$D:$D,"*Ethan Lake*", 'Raw data'!$Y:$Y,"*1st*",'Raw data'!$I:$I,"*Cross*",'Raw data'!$M:$M,"*Pass Completed*")</f>
        <v>0</v>
      </c>
      <c r="GA19" s="8">
        <f>COUNTIFS('Raw data'!$D:$D,"*Ethan Lake*", 'Raw data'!$Y:$Y,"*1st*",'Raw data'!$I:$I,"*Cross*",'Raw data'!$M:$M,"*Pass Uncompleted*")</f>
        <v>0</v>
      </c>
      <c r="GB19" s="54" t="str">
        <f t="shared" si="29"/>
        <v>-</v>
      </c>
      <c r="GC19" s="54" t="str">
        <f t="shared" si="30"/>
        <v>-</v>
      </c>
      <c r="GD19" s="8">
        <f t="shared" si="31"/>
        <v>2</v>
      </c>
      <c r="GE19" s="8">
        <f>COUNTIFS('Raw data'!$D:$D,"*Ethan Lake*", 'Raw data'!$Y:$Y,"*1st*",'Raw data'!$L:$L,"*On Target*")</f>
        <v>2</v>
      </c>
      <c r="GF19" s="8">
        <f>COUNTIFS('Raw data'!$D:$D,"*Ethan Lake*", 'Raw data'!$Y:$Y,"*1st*",'Raw data'!$L:$L,"*Off Target*")</f>
        <v>0</v>
      </c>
      <c r="GG19" s="8">
        <f>COUNTIFS('Raw data'!$D:$D,"*Ethan Lake*", 'Raw data'!$Y:$Y,"*1st*",'Raw data'!$L:$L,"*Blocked*")</f>
        <v>0</v>
      </c>
      <c r="GH19" s="8">
        <f>COUNTIFS('Raw data'!$D:$D,"*Ethan Lake*", 'Raw data'!$Y:$Y,"*1st*",'Raw data'!$M:$M,"*Goal*")</f>
        <v>1</v>
      </c>
      <c r="GI19" s="8">
        <f>COUNTIFS('Raw data'!$D:$D,"*Ethan Lake*", 'Raw data'!$Y:$Y,"*1st*",'Raw data'!$M:$M,"*Assist*")</f>
        <v>0</v>
      </c>
      <c r="GJ19" s="8">
        <f>COUNTIFS('Raw data'!$D:$D,"*Ethan Lake*", 'Raw data'!$Y:$Y,"*1st*",'Raw data'!$H:$H,"*Offensive duel*")</f>
        <v>0</v>
      </c>
      <c r="GK19" s="8">
        <f>COUNTIFS('Raw data'!$D:$D,"*Ethan Lake*", 'Raw data'!$Y:$Y,"*1st*",'Raw data'!$H:$H,"*Offensive Duel*",'Raw data'!$H:$H,"*Offensive Duel*",'Raw data'!$M:$M,"*Kept Possession*")</f>
        <v>0</v>
      </c>
      <c r="GL19" s="8">
        <f>COUNTIFS('Raw data'!$D:$D,"*Ethan Lake*", 'Raw data'!$Y:$Y,"*1st*",'Raw data'!$H:$H,"*Offensive Duel*",'Raw data'!$H:$H,"*Offensive Duel*",'Raw data'!$M:$M,"*Lost Possession*")</f>
        <v>0</v>
      </c>
      <c r="GM19" s="54" t="str">
        <f t="shared" si="32"/>
        <v>-</v>
      </c>
      <c r="GN19" s="54" t="str">
        <f t="shared" si="33"/>
        <v>-</v>
      </c>
      <c r="GO19" s="8">
        <f>COUNTIFS('Raw data'!$D:$D,"*Ethan Lake*", 'Raw data'!$Y:$Y,"*1st*",'Raw data'!$H:$H,"*Acceleration*")</f>
        <v>0</v>
      </c>
      <c r="GP19" s="8">
        <f>COUNTIFS('Raw data'!$D:$D,"*Ethan Lake*", 'Raw data'!$Y:$Y,"*1st*",'Raw data'!$H:$H,"*Move into Pocket*")</f>
        <v>1</v>
      </c>
      <c r="GQ19" s="8">
        <f>COUNTIFS('Raw data'!$D:$D,"*Ethan Lake*", 'Raw data'!$Y:$Y,"*1st*",'Raw data'!$H:$H,"*Wide area*")</f>
        <v>1</v>
      </c>
      <c r="GR19" s="8">
        <f>COUNTIFS('Raw data'!$D:$D,"*Ethan Lake*", 'Raw data'!$Y:$Y,"*1st*",'Raw data'!$H:$H,"*Back to goal*")</f>
        <v>0</v>
      </c>
      <c r="GS19" s="8">
        <f>COUNTIFS('Raw data'!$D:$D,"*Ethan Lake*", 'Raw data'!$Y:$Y,"*1st*",'Raw data'!$H:$H,"*Over/Underlaps*")</f>
        <v>0</v>
      </c>
      <c r="GT19" s="8">
        <f>COUNTIFS('Raw data'!$D:$D,"*Ethan Lake*", 'Raw data'!$Y:$Y,"*1st*",'Raw data'!$H:$H,"*Runs in Behind*")</f>
        <v>1</v>
      </c>
      <c r="GU19" s="8">
        <f>COUNTIFS('Raw data'!$D:$D,"*Ethan Lake*", 'Raw data'!$Y:$Y,"*1st*",'Raw data'!$H:$H,"*Half-space Runs*")</f>
        <v>0</v>
      </c>
      <c r="GV19" s="8">
        <f t="shared" si="34"/>
        <v>1</v>
      </c>
      <c r="GW19" s="8">
        <f t="shared" si="35"/>
        <v>0</v>
      </c>
      <c r="GX19" s="8">
        <f t="shared" si="36"/>
        <v>1</v>
      </c>
      <c r="GY19" s="54">
        <f t="shared" si="37"/>
        <v>0</v>
      </c>
      <c r="GZ19" s="54">
        <f t="shared" si="38"/>
        <v>1</v>
      </c>
      <c r="HA19" s="8">
        <f>COUNTIFS('Raw data'!$D:$D,"*Ethan Lake*", 'Raw data'!$Y:$Y,"*1st*",'Raw data'!$K:$K,"*Ground duel*")</f>
        <v>1</v>
      </c>
      <c r="HB19" s="8">
        <f>COUNTIFS('Raw data'!$D:$D,"*Ethan Lake*", 'Raw data'!$Y:$Y,"*1st*",'Raw data'!$K:$K,"*Ground duel*",'Raw data'!$M:$M,"*Duel Succeeded*")</f>
        <v>0</v>
      </c>
      <c r="HC19" s="8">
        <f>COUNTIFS('Raw data'!$D:$D,"*Ethan Lake*", 'Raw data'!$Y:$Y,"*1st*",'Raw data'!$K:$K,"*Ground duel*",'Raw data'!$M:$M,"*Duel Unsucceeded*")</f>
        <v>1</v>
      </c>
      <c r="HD19" s="54">
        <f t="shared" si="39"/>
        <v>0</v>
      </c>
      <c r="HE19" s="54">
        <f t="shared" si="40"/>
        <v>1</v>
      </c>
      <c r="HF19" s="8">
        <f>COUNTIFS('Raw data'!$D:$D,"*Ethan Lake*", 'Raw data'!$Y:$Y,"*1st*",'Raw data'!$K:$K,"*Aerial duel*")</f>
        <v>0</v>
      </c>
      <c r="HG19" s="8">
        <f>COUNTIFS('Raw data'!$D:$D,"*Ethan Lake*", 'Raw data'!$Y:$Y,"*1st*",'Raw data'!$K:$K,"*Aerial duel*",'Raw data'!$M:$M,"*Duel Succeeded*")</f>
        <v>0</v>
      </c>
      <c r="HH19" s="8">
        <f>COUNTIFS('Raw data'!$D:$D,"*Ethan Lake*", 'Raw data'!$Y:$Y,"*1st*",'Raw data'!$K:$K,"*Aerial duel*",'Raw data'!$M:$M,"*Duel Unsucceeded*")</f>
        <v>0</v>
      </c>
      <c r="HI19" s="54" t="str">
        <f t="shared" si="41"/>
        <v>-</v>
      </c>
      <c r="HJ19" s="54" t="str">
        <f t="shared" si="42"/>
        <v>-</v>
      </c>
      <c r="HK19" s="8">
        <f>COUNTIFS('Raw data'!$D:$D,"*Ethan Lake*", 'Raw data'!$Y:$Y,"*1st*",'Raw data'!$K:$K,"*1v1 defense*")</f>
        <v>0</v>
      </c>
      <c r="HL19" s="8">
        <f>COUNTIFS('Raw data'!$D:$D,"*Ethan Lake*", 'Raw data'!$Y:$Y,"*1st*",'Raw data'!$K:$K,"*1v1 defense*",'Raw data'!$M:$M,"*Duel Succeeded*")</f>
        <v>0</v>
      </c>
      <c r="HM19" s="8">
        <f>COUNTIFS('Raw data'!$D:$D,"*Ethan Lake*", 'Raw data'!$Y:$Y,"*1st*",'Raw data'!$K:$K,"*1v1 defense*",'Raw data'!$M:$M,"*Duel Unsucceeded*")</f>
        <v>0</v>
      </c>
      <c r="HN19" s="54" t="str">
        <f t="shared" si="43"/>
        <v>-</v>
      </c>
      <c r="HO19" s="54" t="str">
        <f t="shared" si="44"/>
        <v>-</v>
      </c>
      <c r="HP19" s="8">
        <f>COUNTIFS('Raw data'!$D:$D,"*Ethan Lake*", 'Raw data'!$Y:$Y,"*1st*",'Raw data'!$J:$J,"*Tackles*")</f>
        <v>0</v>
      </c>
      <c r="HQ19" s="8">
        <f>COUNTIFS('Raw data'!$D:$D,"*Ethan Lake*", 'Raw data'!$Y:$Y,"*1st*",'Raw data'!$J:$J,"*Tackles*", 'Raw data'!$M:$M,"*Duel Succeeded*")</f>
        <v>0</v>
      </c>
      <c r="HR19" s="8">
        <f>COUNTIFS('Raw data'!$D:$D,"*Ethan Lake*", 'Raw data'!$Y:$Y,"*1st*",'Raw data'!$J:$J,"*Tackles*", 'Raw data'!$M:$M,"*Duel Unsucceeded*")</f>
        <v>0</v>
      </c>
      <c r="HS19" s="54" t="str">
        <f t="shared" si="45"/>
        <v>-</v>
      </c>
      <c r="HT19" s="54" t="str">
        <f t="shared" si="46"/>
        <v>-</v>
      </c>
      <c r="HU19" s="8">
        <f>COUNTIFS('Raw data'!$D:$D,"*Ethan Lake*", 'Raw data'!$Y:$Y,"*1st*",'Raw data'!$K:$K,"*2nd Balls*")</f>
        <v>0</v>
      </c>
      <c r="HV19" s="8">
        <f>COUNTIFS('Raw data'!$D:$D,"*Ethan Lake*", 'Raw data'!$Y:$Y,"*1st*",'Raw data'!$K:$K,"*2nd Balls*", 'Raw data'!$M:$M,"*Duel Succeeded*")</f>
        <v>0</v>
      </c>
      <c r="HW19" s="8">
        <f>COUNTIFS('Raw data'!$D:$D,"*Ethan Lake*", 'Raw data'!$Y:$Y,"*1st*",'Raw data'!$K:$K,"*2nd Balls*", 'Raw data'!$M:$M,"*Duel Unsucceeded*")</f>
        <v>0</v>
      </c>
      <c r="HX19" s="54" t="str">
        <f t="shared" si="47"/>
        <v>-</v>
      </c>
      <c r="HY19" s="54" t="str">
        <f t="shared" si="48"/>
        <v>-</v>
      </c>
      <c r="HZ19" s="8">
        <f>COUNTIFS('Raw data'!$D:$D,"*Ethan Lake*", 'Raw data'!$Y:$Y,"*1st*",'Raw data'!$J:$J,"*Clearance*")</f>
        <v>0</v>
      </c>
      <c r="IA19" s="8">
        <f>COUNTIFS('Raw data'!$D:$D,"*Ethan Lake*", 'Raw data'!$Y:$Y,"*1st*",'Raw data'!$J:$J,"*Interception*")</f>
        <v>2</v>
      </c>
      <c r="IB19" s="8">
        <f>COUNTIFS('Raw data'!$D:$D,"*Ethan Lake*", 'Raw data'!$Y:$Y,"*1st*",'Raw data'!$J:$J,"*Turnover Won*")</f>
        <v>5</v>
      </c>
      <c r="IC19" s="8">
        <f>COUNTIFS('Raw data'!$D:$D,"*Ethan Lake*", 'Raw data'!$Y:$Y,"*1st*",'Raw data'!$J:$J,"*Recovery*")</f>
        <v>0</v>
      </c>
      <c r="ID19" s="8">
        <f>COUNTIFS('Raw data'!$D:$D,"*Ethan Lake*", 'Raw data'!$Y:$Y,"*1st*",'Raw data'!$J:$J,"*Blocked Shots*")</f>
        <v>0</v>
      </c>
      <c r="IE19" s="8">
        <f>COUNTIFS('Raw data'!$D:$D,"*Ethan Lake*", 'Raw data'!$Y:$Y,"*1st*",'Raw data'!$J:$J,"*Man-marking*")</f>
        <v>0</v>
      </c>
      <c r="IF19" s="8">
        <f>COUNTIFS('Raw data'!$D:$D,"*Ethan Lake*", 'Raw data'!$Y:$Y,"*1st*",'Raw data'!$J:$J,"*Fouls*")</f>
        <v>0</v>
      </c>
      <c r="IG19" s="8">
        <f>COUNTIFS('Raw data'!$D:$D,"*Ethan Lake*", 'Raw data'!$Y:$Y,"*1st*",'Raw data'!$J:$J,"*Won F*")</f>
        <v>0</v>
      </c>
      <c r="IH19" s="8">
        <f>COUNTIFS('Raw data'!$D:$D,"*Ethan Lake*", 'Raw data'!$Y:$Y,"*1st*",'Raw data'!$G:$G,"*1v1*")</f>
        <v>0</v>
      </c>
      <c r="II19" s="8">
        <f>COUNTIFS('Raw data'!$D:$D,"*Ethan Lake*", 'Raw data'!$Y:$Y,"*1st*",'Raw data'!$G:$G,"*On Target*")</f>
        <v>0</v>
      </c>
      <c r="IJ19" s="8">
        <f>COUNTIFS('Raw data'!$D:$D,"*Ethan Lake*", 'Raw data'!$Y:$Y,"*1st*",'Raw data'!$G:$G,"*Off Target*")</f>
        <v>0</v>
      </c>
      <c r="IK19" s="8">
        <f>COUNTIFS('Raw data'!$D:$D,"*Ethan Lake*", 'Raw data'!$Y:$Y,"*1st*",'Raw data'!$G:$G,"*Defend the Space*")</f>
        <v>0</v>
      </c>
      <c r="IL19" s="8">
        <f>COUNTIFS('Raw data'!$D:$D,"*Ethan Lake*", 'Raw data'!$Y:$Y,"*1st*",'Raw data'!$G:$G,"*Conceded*")</f>
        <v>0</v>
      </c>
      <c r="IM19" s="8">
        <f>COUNTIFS('Raw data'!$D:$D,"*Ethan Lake*", 'Raw data'!$Y:$Y,"*1st*",'Raw data'!$G:$G,"*Save*")</f>
        <v>0</v>
      </c>
      <c r="IN19" s="8">
        <f>COUNTIFS('Raw data'!$D:$D,"*Ethan Lake*", 'Raw data'!$Y:$Y,"*1st*",'Raw data'!$G:$G,"*Defend the line (Cross)*")</f>
        <v>0</v>
      </c>
      <c r="IO19" s="8">
        <f>COUNTIFS('Raw data'!$D:$D,"*Ethan Lake*", 'Raw data'!$Y:$Y,"*1st*",'Raw data'!$G:$G,"*Counter Kick*")</f>
        <v>0</v>
      </c>
      <c r="IP19" t="s">
        <v>645</v>
      </c>
    </row>
    <row r="20" spans="2:250">
      <c r="B20" s="7"/>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DW20" t="s">
        <v>463</v>
      </c>
      <c r="DX20" t="s">
        <v>653</v>
      </c>
      <c r="DY20">
        <v>40</v>
      </c>
      <c r="DZ20" t="s">
        <v>539</v>
      </c>
      <c r="EA20">
        <f t="shared" si="12"/>
        <v>4</v>
      </c>
      <c r="EB20" s="8">
        <f t="shared" si="49"/>
        <v>4</v>
      </c>
      <c r="EC20" s="8">
        <f t="shared" si="50"/>
        <v>0</v>
      </c>
      <c r="ED20" s="54">
        <f t="shared" si="13"/>
        <v>1</v>
      </c>
      <c r="EE20" s="54">
        <f t="shared" si="14"/>
        <v>0</v>
      </c>
      <c r="EF20">
        <f t="shared" si="51"/>
        <v>2</v>
      </c>
      <c r="EG20">
        <f>COUNTIFS('Raw data'!$D:$D,"*Jayden To*", 'Raw data'!$Y:$Y,"*1st*",'Raw data'!$I:$I,"*Forward Pass*",'Raw data'!$M:$M,"*Pass completed*")</f>
        <v>2</v>
      </c>
      <c r="EH20">
        <f>COUNTIFS('Raw data'!$D:$D,"*Jayden To*", 'Raw data'!$Y:$Y,"*1st*",'Raw data'!$I:$I,"*Forward Pass*",'Raw data'!$M:$M,"*Pass Uncompleted*")</f>
        <v>0</v>
      </c>
      <c r="EI20" s="54">
        <f t="shared" si="15"/>
        <v>1</v>
      </c>
      <c r="EJ20" s="54">
        <f t="shared" si="16"/>
        <v>0</v>
      </c>
      <c r="EK20">
        <f t="shared" si="52"/>
        <v>1</v>
      </c>
      <c r="EL20" s="8">
        <f>COUNTIFS('Raw data'!$D:$D,"*Jayden To*", 'Raw data'!$Y:$Y,"*1st*",'Raw data'!$I:$I,"*Lateral Pass*",'Raw data'!$M:$M,"*Pass completed*")</f>
        <v>1</v>
      </c>
      <c r="EM20" s="8">
        <f>COUNTIFS('Raw data'!$D:$D,"*Jayden To*", 'Raw data'!$Y:$Y,"*1st*",'Raw data'!$I:$I,"*Lateral Pass*",'Raw data'!$M:$M,"*Pass Uncompleted*")</f>
        <v>0</v>
      </c>
      <c r="EN20" s="54">
        <f t="shared" si="17"/>
        <v>1</v>
      </c>
      <c r="EO20" s="54">
        <f t="shared" si="18"/>
        <v>0</v>
      </c>
      <c r="EP20">
        <f t="shared" si="53"/>
        <v>1</v>
      </c>
      <c r="EQ20" s="8">
        <f>COUNTIFS('Raw data'!$D:$D,"*Jayden To*", 'Raw data'!$Y:$Y,"*1st*",'Raw data'!$I:$I,"*Backward Pass*",'Raw data'!$M:$M,"*Pass completed*")</f>
        <v>1</v>
      </c>
      <c r="ER20" s="8">
        <f>COUNTIFS('Raw data'!$D:$D,"*Jayden To*", 'Raw data'!$Y:$Y,"*1st*",'Raw data'!$I:$I,"*Backward Pass*",'Raw data'!$M:$M,"*Pass Uncompleted*")</f>
        <v>0</v>
      </c>
      <c r="ES20" s="54">
        <f t="shared" si="19"/>
        <v>1</v>
      </c>
      <c r="ET20" s="54">
        <f t="shared" si="20"/>
        <v>0</v>
      </c>
      <c r="EU20" s="8">
        <f>COUNTIFS('Raw data'!$D:$D,"*Jayden To*", 'Raw data'!$Y:$Y,"*1st*",'Raw data'!$I:$I,"*Long Kick*")</f>
        <v>0</v>
      </c>
      <c r="EV20" s="8">
        <f>COUNTIFS('Raw data'!$D:$D,"*Jayden To*", 'Raw data'!$Y:$Y,"*1st*",'Raw data'!$I:$I,"*Long Kick*",'Raw data'!$M:$M,"*Pass completed*")</f>
        <v>0</v>
      </c>
      <c r="EW20" s="8">
        <f>COUNTIFS('Raw data'!$D:$D,"*Jayden To*", 'Raw data'!$Y:$Y,"*1st*",'Raw data'!$I:$I,"*Long Kick*",'Raw data'!$M:$M,"*Pass Uncompleted*")</f>
        <v>0</v>
      </c>
      <c r="EX20" s="54" t="str">
        <f t="shared" si="21"/>
        <v>-</v>
      </c>
      <c r="EY20" s="54" t="str">
        <f t="shared" si="22"/>
        <v>-</v>
      </c>
      <c r="EZ20" s="8">
        <f>COUNTIFS('Raw data'!$D:$D,"*Jayden To*", 'Raw data'!$Y:$Y,"*1st*",'Raw data'!$I:$I,"*Balls in Behind*")</f>
        <v>1</v>
      </c>
      <c r="FA20" s="8">
        <f>COUNTIFS('Raw data'!$D:$D,"*Jayden To*", 'Raw data'!$Y:$Y,"*1st*",'Raw data'!$I:$I,"*Balls in Behind*",'Raw data'!$M:$M,"*Pass completed*")</f>
        <v>1</v>
      </c>
      <c r="FB20" s="8">
        <f>COUNTIFS('Raw data'!$D:$D,"*Jayden To*", 'Raw data'!$Y:$Y,"*1st*",'Raw data'!$I:$I,"*Balls in Behind*",'Raw data'!$M:$M,"*Pass Uncompleted*")</f>
        <v>0</v>
      </c>
      <c r="FC20" s="54">
        <f t="shared" si="23"/>
        <v>1</v>
      </c>
      <c r="FD20" s="54">
        <f t="shared" si="24"/>
        <v>0</v>
      </c>
      <c r="FE20" s="8">
        <f>COUNTIFS('Raw data'!$D:$D,"*Jayden To*", 'Raw data'!$Y:$Y,"*1st*",'Raw data'!$I:$I,"*Key/Through pass*")</f>
        <v>1</v>
      </c>
      <c r="FF20" s="8">
        <f>COUNTIFS('Raw data'!$D:$D,"*Jayden To*", 'Raw data'!$Y:$Y,"*1st*",'Raw data'!$I:$I,"*Diagonal pass*")</f>
        <v>0</v>
      </c>
      <c r="FG20" s="8">
        <f>COUNTIFS('Raw data'!$D:$D,"*Jayden To*", 'Raw data'!$Y:$Y,"*1st*",'Raw data'!$I:$I,"*Diagonal pass*",'Raw data'!$M:$M,"*Pass completed*")</f>
        <v>0</v>
      </c>
      <c r="FH20" s="8">
        <f>COUNTIFS('Raw data'!$D:$D,"*Jayden To*", 'Raw data'!$Y:$Y,"*1st*",'Raw data'!$I:$I,"*Diagonal pass*",'Raw data'!$M:$M,"*Pass Uncompleted*")</f>
        <v>0</v>
      </c>
      <c r="FI20" s="54" t="str">
        <f t="shared" si="25"/>
        <v>-</v>
      </c>
      <c r="FJ20" s="54" t="str">
        <f t="shared" si="26"/>
        <v>-</v>
      </c>
      <c r="FK20" s="8">
        <f>COUNTIFS('Raw data'!$D:$D,"*Jayden To*", 'Raw data'!$Y:$Y,"*1st*",'Raw data'!$M:$M,"*Pass Received*")</f>
        <v>4</v>
      </c>
      <c r="FL20" s="8">
        <f>COUNTIFS('Raw data'!$D:$D,"*Jayden To*", 'Raw data'!$Y:$Y,"*1st*",'Raw data'!$M:$M,"*Pass Completed*",'Raw data'!$M:$M,"*Pass Received*")</f>
        <v>4</v>
      </c>
      <c r="FM20" s="8">
        <f>COUNTIFS('Raw data'!$D:$D,"*Jayden To*", 'Raw data'!$Y:$Y,"*1st*",'Raw data'!$M:$M,"*Pass Uncompleted*",'Raw data'!$M:$M,"*Pass Received*")</f>
        <v>0</v>
      </c>
      <c r="FN20" s="8">
        <f>COUNTIFS('Raw data'!$D:$D,"*Jayden To*", 'Raw data'!$Y:$Y,"*1st*",'Raw data'!$M:$M,"*Kept Possession*",'Raw data'!$M:$M,"*Pass Received*")</f>
        <v>1</v>
      </c>
      <c r="FO20" s="8">
        <f>COUNTIFS('Raw data'!$D:$D,"*Jayden To*", 'Raw data'!$Y:$Y,"*1st*",'Raw data'!$M:$M,"*Lost Possession*")</f>
        <v>1</v>
      </c>
      <c r="FP20" s="8">
        <f>COUNTIFS('Raw data'!$D:$D,"*Jayden To*", 'Raw data'!$Y:$Y,"*1st*",'Raw data'!$M:$M,"*Lost Possession*",'Raw data'!$M:$M,"*Lost Final 1/3*")</f>
        <v>1</v>
      </c>
      <c r="FQ20" s="8">
        <f>COUNTIFS('Raw data'!$D:$D,"*Jayden To*", 'Raw data'!$Y:$Y,"*1st*",'Raw data'!$M:$M,"*Lost Possession*",'Raw data'!$M:$M,"*Lost Middle 1/3*")</f>
        <v>0</v>
      </c>
      <c r="FR20" s="8">
        <f>COUNTIFS('Raw data'!$D:$D,"*Jayden To*", 'Raw data'!$Y:$Y,"*1st*",'Raw data'!$M:$M,"*Lost Possession*",'Raw data'!$M:$M,"*Lost Own 1/3*")</f>
        <v>0</v>
      </c>
      <c r="FS20" s="8">
        <f>COUNTIFS('Raw data'!$D:$D,"*Jayden To*", 'Raw data'!$Y:$Y,"*1st*",'Raw data'!$H:$H,"*Touches in the Box*")</f>
        <v>0</v>
      </c>
      <c r="FT20" s="8">
        <f>COUNTIFS('Raw data'!$D:$D,"*Jayden To*", 'Raw data'!$Y:$Y,"*1st*",'Raw data'!$H:$H,"*1v1 Attack*")</f>
        <v>0</v>
      </c>
      <c r="FU20" s="8">
        <f>COUNTIFS('Raw data'!$D:$D,"*Jayden To*", 'Raw data'!$Y:$Y,"*1st*",'Raw data'!$H:$H,"*1v1 Attack*",'Raw data'!$H:$H,"*1v1 Attack*",'Raw data'!$M:$M,"*Kept Possession*")</f>
        <v>0</v>
      </c>
      <c r="FV20" s="8">
        <f>COUNTIFS('Raw data'!$D:$D,"*Jayden To*", 'Raw data'!$Y:$Y,"*1st*",'Raw data'!$H:$H,"*1v1 Attack*",'Raw data'!$H:$H,"*1v1 Attack*",'Raw data'!$M:$M,"*Lost Possession*")</f>
        <v>0</v>
      </c>
      <c r="FW20" s="54" t="str">
        <f t="shared" si="27"/>
        <v>-</v>
      </c>
      <c r="FX20" s="54" t="str">
        <f t="shared" si="28"/>
        <v>-</v>
      </c>
      <c r="FY20" s="8">
        <f>COUNTIFS('Raw data'!$D:$D,"*Jayden To*", 'Raw data'!$Y:$Y,"*1st*",'Raw data'!$I:$I,"*Cross*")</f>
        <v>0</v>
      </c>
      <c r="FZ20" s="8">
        <f>COUNTIFS('Raw data'!$D:$D,"*Jayden To*", 'Raw data'!$Y:$Y,"*1st*",'Raw data'!$I:$I,"*Cross*",'Raw data'!$M:$M,"*Pass Completed*")</f>
        <v>0</v>
      </c>
      <c r="GA20" s="8">
        <f>COUNTIFS('Raw data'!$D:$D,"*Jayden To*", 'Raw data'!$Y:$Y,"*1st*",'Raw data'!$I:$I,"*Cross*",'Raw data'!$M:$M,"*Pass Uncompleted*")</f>
        <v>0</v>
      </c>
      <c r="GB20" s="54" t="str">
        <f t="shared" si="29"/>
        <v>-</v>
      </c>
      <c r="GC20" s="54" t="str">
        <f t="shared" si="30"/>
        <v>-</v>
      </c>
      <c r="GD20" s="8">
        <f t="shared" si="31"/>
        <v>0</v>
      </c>
      <c r="GE20" s="8">
        <f>COUNTIFS('Raw data'!$D:$D,"*Jayden To*", 'Raw data'!$Y:$Y,"*1st*",'Raw data'!$L:$L,"*On Target*")</f>
        <v>0</v>
      </c>
      <c r="GF20" s="8">
        <f>COUNTIFS('Raw data'!$D:$D,"*Jayden To*", 'Raw data'!$Y:$Y,"*1st*",'Raw data'!$L:$L,"*Off Target*")</f>
        <v>0</v>
      </c>
      <c r="GG20" s="8">
        <f>COUNTIFS('Raw data'!$D:$D,"*Jayden To*", 'Raw data'!$Y:$Y,"*1st*",'Raw data'!$L:$L,"*Blocked*")</f>
        <v>0</v>
      </c>
      <c r="GH20" s="8">
        <f>COUNTIFS('Raw data'!$D:$D,"*Jayden To*", 'Raw data'!$Y:$Y,"*1st*",'Raw data'!$M:$M,"*Goal*")</f>
        <v>0</v>
      </c>
      <c r="GI20" s="8">
        <f>COUNTIFS('Raw data'!$D:$D,"*Jayden To*", 'Raw data'!$Y:$Y,"*1st*",'Raw data'!$M:$M,"*Assist*")</f>
        <v>0</v>
      </c>
      <c r="GJ20" s="8">
        <f>COUNTIFS('Raw data'!$D:$D,"*Jayden To*", 'Raw data'!$Y:$Y,"*1st*",'Raw data'!$H:$H,"*Offensive duel*")</f>
        <v>1</v>
      </c>
      <c r="GK20" s="8">
        <f>COUNTIFS('Raw data'!$D:$D,"*Jayden To*", 'Raw data'!$Y:$Y,"*1st*",'Raw data'!$H:$H,"*Offensive Duel*",'Raw data'!$H:$H,"*Offensive Duel*",'Raw data'!$M:$M,"*Kept Possession*")</f>
        <v>1</v>
      </c>
      <c r="GL20" s="8">
        <f>COUNTIFS('Raw data'!$D:$D,"*Jayden To*", 'Raw data'!$Y:$Y,"*1st*",'Raw data'!$H:$H,"*Offensive Duel*",'Raw data'!$H:$H,"*Offensive Duel*",'Raw data'!$M:$M,"*Lost Possession*")</f>
        <v>0</v>
      </c>
      <c r="GM20" s="54">
        <f t="shared" si="32"/>
        <v>1</v>
      </c>
      <c r="GN20" s="54">
        <f t="shared" si="33"/>
        <v>0</v>
      </c>
      <c r="GO20" s="8">
        <f>COUNTIFS('Raw data'!$D:$D,"*Jayden To*", 'Raw data'!$Y:$Y,"*1st*",'Raw data'!$H:$H,"*Acceleration*")</f>
        <v>0</v>
      </c>
      <c r="GP20" s="8">
        <f>COUNTIFS('Raw data'!$D:$D,"*Jayden To*", 'Raw data'!$Y:$Y,"*1st*",'Raw data'!$H:$H,"*Move into Pocket*")</f>
        <v>2</v>
      </c>
      <c r="GQ20" s="8">
        <f>COUNTIFS('Raw data'!$D:$D,"*Jayden To*", 'Raw data'!$Y:$Y,"*1st*",'Raw data'!$H:$H,"*Wide area*")</f>
        <v>0</v>
      </c>
      <c r="GR20" s="8">
        <f>COUNTIFS('Raw data'!$D:$D,"*Jayden To*", 'Raw data'!$Y:$Y,"*1st*",'Raw data'!$H:$H,"*Back to goal*")</f>
        <v>0</v>
      </c>
      <c r="GS20" s="8">
        <f>COUNTIFS('Raw data'!$D:$D,"*Jayden To*", 'Raw data'!$Y:$Y,"*1st*",'Raw data'!$H:$H,"*Over/Underlaps*")</f>
        <v>0</v>
      </c>
      <c r="GT20" s="8">
        <f>COUNTIFS('Raw data'!$D:$D,"*Jayden To*", 'Raw data'!$Y:$Y,"*1st*",'Raw data'!$H:$H,"*Runs in Behind*")</f>
        <v>0</v>
      </c>
      <c r="GU20" s="8">
        <f>COUNTIFS('Raw data'!$D:$D,"*Jayden To*", 'Raw data'!$Y:$Y,"*1st*",'Raw data'!$H:$H,"*Half-space Runs*")</f>
        <v>1</v>
      </c>
      <c r="GV20" s="8">
        <f t="shared" si="34"/>
        <v>2</v>
      </c>
      <c r="GW20" s="8">
        <f t="shared" si="35"/>
        <v>2</v>
      </c>
      <c r="GX20" s="8">
        <f t="shared" si="36"/>
        <v>0</v>
      </c>
      <c r="GY20" s="54">
        <f t="shared" si="37"/>
        <v>1</v>
      </c>
      <c r="GZ20" s="54">
        <f t="shared" si="38"/>
        <v>0</v>
      </c>
      <c r="HA20" s="8">
        <f>COUNTIFS('Raw data'!$D:$D,"*Jayden To*", 'Raw data'!$Y:$Y,"*1st*",'Raw data'!$K:$K,"*Ground duel*")</f>
        <v>1</v>
      </c>
      <c r="HB20" s="8">
        <f>COUNTIFS('Raw data'!$D:$D,"*Jayden To*", 'Raw data'!$Y:$Y,"*1st*",'Raw data'!$K:$K,"*Ground duel*",'Raw data'!$M:$M,"*Duel Succeeded*")</f>
        <v>1</v>
      </c>
      <c r="HC20" s="8">
        <f>COUNTIFS('Raw data'!$D:$D,"*Jayden To*", 'Raw data'!$Y:$Y,"*1st*",'Raw data'!$K:$K,"*Ground duel*",'Raw data'!$M:$M,"*Duel Unsucceeded*")</f>
        <v>0</v>
      </c>
      <c r="HD20" s="54">
        <f t="shared" si="39"/>
        <v>1</v>
      </c>
      <c r="HE20" s="54">
        <f t="shared" si="40"/>
        <v>0</v>
      </c>
      <c r="HF20" s="8">
        <f>COUNTIFS('Raw data'!$D:$D,"*Jayden To*", 'Raw data'!$Y:$Y,"*1st*",'Raw data'!$K:$K,"*Aerial duel*")</f>
        <v>0</v>
      </c>
      <c r="HG20" s="8">
        <f>COUNTIFS('Raw data'!$D:$D,"*Jayden To*", 'Raw data'!$Y:$Y,"*1st*",'Raw data'!$K:$K,"*Aerial duel*",'Raw data'!$M:$M,"*Duel Succeeded*")</f>
        <v>0</v>
      </c>
      <c r="HH20" s="8">
        <f>COUNTIFS('Raw data'!$D:$D,"*Jayden To*", 'Raw data'!$Y:$Y,"*1st*",'Raw data'!$K:$K,"*Aerial duel*",'Raw data'!$M:$M,"*Duel Unsucceeded*")</f>
        <v>0</v>
      </c>
      <c r="HI20" s="54" t="str">
        <f t="shared" si="41"/>
        <v>-</v>
      </c>
      <c r="HJ20" s="54" t="str">
        <f t="shared" si="42"/>
        <v>-</v>
      </c>
      <c r="HK20" s="8">
        <f>COUNTIFS('Raw data'!$D:$D,"*Jayden To*", 'Raw data'!$Y:$Y,"*1st*",'Raw data'!$K:$K,"*1v1 defense*")</f>
        <v>0</v>
      </c>
      <c r="HL20" s="8">
        <f>COUNTIFS('Raw data'!$D:$D,"*Jayden To*", 'Raw data'!$Y:$Y,"*1st*",'Raw data'!$K:$K,"*1v1 defense*",'Raw data'!$M:$M,"*Duel Succeeded*")</f>
        <v>0</v>
      </c>
      <c r="HM20" s="8">
        <f>COUNTIFS('Raw data'!$D:$D,"*Jayden To*", 'Raw data'!$Y:$Y,"*1st*",'Raw data'!$K:$K,"*1v1 defense*",'Raw data'!$M:$M,"*Duel Unsucceeded*")</f>
        <v>0</v>
      </c>
      <c r="HN20" s="54" t="str">
        <f t="shared" si="43"/>
        <v>-</v>
      </c>
      <c r="HO20" s="54" t="str">
        <f t="shared" si="44"/>
        <v>-</v>
      </c>
      <c r="HP20" s="8">
        <f>COUNTIFS('Raw data'!$D:$D,"*Jayden To*", 'Raw data'!$Y:$Y,"*1st*",'Raw data'!$J:$J,"*Tackles*")</f>
        <v>0</v>
      </c>
      <c r="HQ20" s="8">
        <f>COUNTIFS('Raw data'!$D:$D,"*Jayden To*", 'Raw data'!$Y:$Y,"*1st*",'Raw data'!$J:$J,"*Tackles*", 'Raw data'!$M:$M,"*Duel Succeeded*")</f>
        <v>0</v>
      </c>
      <c r="HR20" s="8">
        <f>COUNTIFS('Raw data'!$D:$D,"*Jayden To*", 'Raw data'!$Y:$Y,"*1st*",'Raw data'!$J:$J,"*Tackles*", 'Raw data'!$M:$M,"*Duel Unsucceeded*")</f>
        <v>0</v>
      </c>
      <c r="HS20" s="54" t="str">
        <f t="shared" si="45"/>
        <v>-</v>
      </c>
      <c r="HT20" s="54" t="str">
        <f t="shared" si="46"/>
        <v>-</v>
      </c>
      <c r="HU20" s="8">
        <f>COUNTIFS('Raw data'!$D:$D,"*Jayden To*", 'Raw data'!$Y:$Y,"*1st*",'Raw data'!$K:$K,"*2nd Balls*")</f>
        <v>1</v>
      </c>
      <c r="HV20" s="8">
        <f>COUNTIFS('Raw data'!$D:$D,"*Jayden To*", 'Raw data'!$Y:$Y,"*1st*",'Raw data'!$K:$K,"*2nd Balls*", 'Raw data'!$M:$M,"*Duel Succeeded*")</f>
        <v>0</v>
      </c>
      <c r="HW20" s="8">
        <f>COUNTIFS('Raw data'!$D:$D,"*Jayden To*", 'Raw data'!$Y:$Y,"*1st*",'Raw data'!$K:$K,"*2nd Balls*", 'Raw data'!$M:$M,"*Duel Unsucceeded*")</f>
        <v>1</v>
      </c>
      <c r="HX20" s="54">
        <f t="shared" si="47"/>
        <v>0</v>
      </c>
      <c r="HY20" s="54">
        <f t="shared" si="48"/>
        <v>1</v>
      </c>
      <c r="HZ20" s="8">
        <f>COUNTIFS('Raw data'!$D:$D,"*Jayden To*", 'Raw data'!$Y:$Y,"*1st*",'Raw data'!$J:$J,"*Clearance*")</f>
        <v>0</v>
      </c>
      <c r="IA20" s="8">
        <f>COUNTIFS('Raw data'!$D:$D,"*Jayden To*", 'Raw data'!$Y:$Y,"*1st*",'Raw data'!$J:$J,"*Interception*")</f>
        <v>3</v>
      </c>
      <c r="IB20" s="8">
        <f>COUNTIFS('Raw data'!$D:$D,"*Jayden To*", 'Raw data'!$Y:$Y,"*1st*",'Raw data'!$J:$J,"*Turnover Won*")</f>
        <v>3</v>
      </c>
      <c r="IC20" s="8">
        <f>COUNTIFS('Raw data'!$D:$D,"*Jayden To*", 'Raw data'!$Y:$Y,"*1st*",'Raw data'!$J:$J,"*Recovery*")</f>
        <v>0</v>
      </c>
      <c r="ID20" s="8">
        <f>COUNTIFS('Raw data'!$D:$D,"*Jayden To*", 'Raw data'!$Y:$Y,"*1st*",'Raw data'!$J:$J,"*Blocked Shots*")</f>
        <v>0</v>
      </c>
      <c r="IE20" s="8">
        <f>COUNTIFS('Raw data'!$D:$D,"*Jayden To*", 'Raw data'!$Y:$Y,"*1st*",'Raw data'!$J:$J,"*Man-marking*")</f>
        <v>0</v>
      </c>
      <c r="IF20" s="8">
        <f>COUNTIFS('Raw data'!$D:$D,"*Jayden To*", 'Raw data'!$Y:$Y,"*1st*",'Raw data'!$J:$J,"*Fouls*")</f>
        <v>0</v>
      </c>
      <c r="IG20" s="8">
        <f>COUNTIFS('Raw data'!$D:$D,"*Jayden To*", 'Raw data'!$Y:$Y,"*1st*",'Raw data'!$J:$J,"*Won F*")</f>
        <v>0</v>
      </c>
      <c r="IH20" s="8">
        <f>COUNTIFS('Raw data'!$D:$D,"*Jayden To*", 'Raw data'!$Y:$Y,"*1st*",'Raw data'!$G:$G,"*1v1*")</f>
        <v>0</v>
      </c>
      <c r="II20" s="8">
        <f>COUNTIFS('Raw data'!$D:$D,"*Jayden To*", 'Raw data'!$Y:$Y,"*1st*",'Raw data'!$G:$G,"*On Target*")</f>
        <v>0</v>
      </c>
      <c r="IJ20" s="8">
        <f>COUNTIFS('Raw data'!$D:$D,"*Jayden To*", 'Raw data'!$Y:$Y,"*1st*",'Raw data'!$G:$G,"*Off Target*")</f>
        <v>0</v>
      </c>
      <c r="IK20" s="8">
        <f>COUNTIFS('Raw data'!$D:$D,"*Jayden To*", 'Raw data'!$Y:$Y,"*1st*",'Raw data'!$G:$G,"*Defend the Space*")</f>
        <v>0</v>
      </c>
      <c r="IL20" s="8">
        <f>COUNTIFS('Raw data'!$D:$D,"*Jayden To*", 'Raw data'!$Y:$Y,"*1st*",'Raw data'!$G:$G,"*Conceded*")</f>
        <v>0</v>
      </c>
      <c r="IM20" s="8">
        <f>COUNTIFS('Raw data'!$D:$D,"*Jayden To*", 'Raw data'!$Y:$Y,"*1st*",'Raw data'!$G:$G,"*Save*")</f>
        <v>0</v>
      </c>
      <c r="IN20" s="8">
        <f>COUNTIFS('Raw data'!$D:$D,"*Jayden To*", 'Raw data'!$Y:$Y,"*1st*",'Raw data'!$G:$G,"*Defend the line (Cross)*")</f>
        <v>0</v>
      </c>
      <c r="IO20" s="8">
        <f>COUNTIFS('Raw data'!$D:$D,"*Jayden To*", 'Raw data'!$Y:$Y,"*1st*",'Raw data'!$G:$G,"*Counter Kick*")</f>
        <v>0</v>
      </c>
      <c r="IP20" t="s">
        <v>653</v>
      </c>
    </row>
    <row r="21" spans="2:250">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DW21" t="s">
        <v>463</v>
      </c>
      <c r="DX21" t="s">
        <v>654</v>
      </c>
      <c r="DY21">
        <v>40</v>
      </c>
      <c r="DZ21" t="s">
        <v>541</v>
      </c>
      <c r="EA21">
        <f t="shared" si="12"/>
        <v>5</v>
      </c>
      <c r="EB21" s="8">
        <f t="shared" si="49"/>
        <v>4</v>
      </c>
      <c r="EC21" s="8">
        <f t="shared" si="50"/>
        <v>1</v>
      </c>
      <c r="ED21" s="54">
        <f t="shared" si="13"/>
        <v>0.8</v>
      </c>
      <c r="EE21" s="54">
        <f t="shared" si="14"/>
        <v>0.2</v>
      </c>
      <c r="EF21">
        <f t="shared" si="51"/>
        <v>2</v>
      </c>
      <c r="EG21">
        <f>COUNTIFS('Raw data'!$D:$D,"*Usim Ijere*", 'Raw data'!$Y:$Y,"*1st*",'Raw data'!$I:$I,"*Forward Pass*",'Raw data'!$M:$M,"*Pass completed*")</f>
        <v>1</v>
      </c>
      <c r="EH21">
        <f>COUNTIFS('Raw data'!$D:$D,"*Usim Ijere*", 'Raw data'!$Y:$Y,"*1st*",'Raw data'!$I:$I,"*Forward Pass*",'Raw data'!$M:$M,"*Pass Uncompleted*")</f>
        <v>1</v>
      </c>
      <c r="EI21" s="54">
        <f t="shared" si="15"/>
        <v>0.5</v>
      </c>
      <c r="EJ21" s="54">
        <f t="shared" si="16"/>
        <v>0.5</v>
      </c>
      <c r="EK21">
        <f t="shared" si="52"/>
        <v>1</v>
      </c>
      <c r="EL21" s="8">
        <f>COUNTIFS('Raw data'!$D:$D,"*Usim Ijere*", 'Raw data'!$Y:$Y,"*1st*",'Raw data'!$I:$I,"*Lateral Pass*",'Raw data'!$M:$M,"*Pass completed*")</f>
        <v>1</v>
      </c>
      <c r="EM21" s="8">
        <f>COUNTIFS('Raw data'!$D:$D,"*Usim Ijere*", 'Raw data'!$Y:$Y,"*1st*",'Raw data'!$I:$I,"*Lateral Pass*",'Raw data'!$M:$M,"*Pass Uncompleted*")</f>
        <v>0</v>
      </c>
      <c r="EN21" s="54">
        <f t="shared" si="17"/>
        <v>1</v>
      </c>
      <c r="EO21" s="54">
        <f t="shared" si="18"/>
        <v>0</v>
      </c>
      <c r="EP21">
        <f t="shared" si="53"/>
        <v>2</v>
      </c>
      <c r="EQ21" s="8">
        <f>COUNTIFS('Raw data'!$D:$D,"*Usim Ijere*", 'Raw data'!$Y:$Y,"*1st*",'Raw data'!$I:$I,"*Backward Pass*",'Raw data'!$M:$M,"*Pass completed*")</f>
        <v>2</v>
      </c>
      <c r="ER21" s="8">
        <f>COUNTIFS('Raw data'!$D:$D,"*Usim Ijere*", 'Raw data'!$Y:$Y,"*1st*",'Raw data'!$I:$I,"*Backward Pass*",'Raw data'!$M:$M,"*Pass Uncompleted*")</f>
        <v>0</v>
      </c>
      <c r="ES21" s="54">
        <f t="shared" si="19"/>
        <v>1</v>
      </c>
      <c r="ET21" s="54">
        <f t="shared" si="20"/>
        <v>0</v>
      </c>
      <c r="EU21" s="8">
        <f>COUNTIFS('Raw data'!$D:$D,"*Usim Ijere*", 'Raw data'!$Y:$Y,"*1st*",'Raw data'!$I:$I,"*Long Kick*")</f>
        <v>1</v>
      </c>
      <c r="EV21" s="8">
        <f>COUNTIFS('Raw data'!$D:$D,"*Usim Ijere*", 'Raw data'!$Y:$Y,"*1st*",'Raw data'!$I:$I,"*Long Kick*",'Raw data'!$M:$M,"*Pass completed*")</f>
        <v>0</v>
      </c>
      <c r="EW21" s="8">
        <f>COUNTIFS('Raw data'!$D:$D,"*Usim Ijere*", 'Raw data'!$Y:$Y,"*1st*",'Raw data'!$I:$I,"*Long Kick*",'Raw data'!$M:$M,"*Pass Uncompleted*")</f>
        <v>1</v>
      </c>
      <c r="EX21" s="54">
        <f t="shared" si="21"/>
        <v>0</v>
      </c>
      <c r="EY21" s="54">
        <f t="shared" si="22"/>
        <v>1</v>
      </c>
      <c r="EZ21" s="8">
        <f>COUNTIFS('Raw data'!$D:$D,"*Usim Ijere*", 'Raw data'!$Y:$Y,"*1st*",'Raw data'!$I:$I,"*Balls in Behind*")</f>
        <v>1</v>
      </c>
      <c r="FA21" s="8">
        <f>COUNTIFS('Raw data'!$D:$D,"*Usim Ijere*", 'Raw data'!$Y:$Y,"*1st*",'Raw data'!$I:$I,"*Balls in Behind*",'Raw data'!$M:$M,"*Pass completed*")</f>
        <v>0</v>
      </c>
      <c r="FB21" s="8">
        <f>COUNTIFS('Raw data'!$D:$D,"*Usim Ijere*", 'Raw data'!$Y:$Y,"*1st*",'Raw data'!$I:$I,"*Balls in Behind*",'Raw data'!$M:$M,"*Pass Uncompleted*")</f>
        <v>1</v>
      </c>
      <c r="FC21" s="54">
        <f t="shared" si="23"/>
        <v>0</v>
      </c>
      <c r="FD21" s="54">
        <f t="shared" si="24"/>
        <v>1</v>
      </c>
      <c r="FE21" s="8">
        <f>COUNTIFS('Raw data'!$D:$D,"*Usim Ijere*", 'Raw data'!$Y:$Y,"*1st*",'Raw data'!$I:$I,"*Key/Through pass*")</f>
        <v>0</v>
      </c>
      <c r="FF21" s="8">
        <f>COUNTIFS('Raw data'!$D:$D,"*Usim Ijere*", 'Raw data'!$Y:$Y,"*1st*",'Raw data'!$I:$I,"*Diagonal pass*")</f>
        <v>0</v>
      </c>
      <c r="FG21" s="8">
        <f>COUNTIFS('Raw data'!$D:$D,"*Usim Ijere*", 'Raw data'!$Y:$Y,"*1st*",'Raw data'!$I:$I,"*Diagonal pass*",'Raw data'!$M:$M,"*Pass completed*")</f>
        <v>0</v>
      </c>
      <c r="FH21" s="8">
        <f>COUNTIFS('Raw data'!$D:$D,"*Usim Ijere*", 'Raw data'!$Y:$Y,"*1st*",'Raw data'!$I:$I,"*Diagonal pass*",'Raw data'!$M:$M,"*Pass Uncompleted*")</f>
        <v>0</v>
      </c>
      <c r="FI21" s="54" t="str">
        <f t="shared" si="25"/>
        <v>-</v>
      </c>
      <c r="FJ21" s="54" t="str">
        <f t="shared" si="26"/>
        <v>-</v>
      </c>
      <c r="FK21" s="8">
        <f>COUNTIFS('Raw data'!$D:$D,"*Usim Ijere*", 'Raw data'!$Y:$Y,"*1st*",'Raw data'!$M:$M,"*Pass Received*")</f>
        <v>9</v>
      </c>
      <c r="FL21" s="8">
        <f>COUNTIFS('Raw data'!$D:$D,"*Usim Ijere*", 'Raw data'!$Y:$Y,"*1st*",'Raw data'!$M:$M,"*Pass Completed*",'Raw data'!$M:$M,"*Pass Received*")</f>
        <v>4</v>
      </c>
      <c r="FM21" s="8">
        <f>COUNTIFS('Raw data'!$D:$D,"*Usim Ijere*", 'Raw data'!$Y:$Y,"*1st*",'Raw data'!$M:$M,"*Pass Uncompleted*",'Raw data'!$M:$M,"*Pass Received*")</f>
        <v>1</v>
      </c>
      <c r="FN21" s="8">
        <f>COUNTIFS('Raw data'!$D:$D,"*Usim Ijere*", 'Raw data'!$Y:$Y,"*1st*",'Raw data'!$M:$M,"*Kept Possession*",'Raw data'!$M:$M,"*Pass Received*")</f>
        <v>1</v>
      </c>
      <c r="FO21" s="8">
        <f>COUNTIFS('Raw data'!$D:$D,"*Usim Ijere*", 'Raw data'!$Y:$Y,"*1st*",'Raw data'!$M:$M,"*Lost Possession*")</f>
        <v>1</v>
      </c>
      <c r="FP21" s="8">
        <f>COUNTIFS('Raw data'!$D:$D,"*Usim Ijere*", 'Raw data'!$Y:$Y,"*1st*",'Raw data'!$M:$M,"*Lost Possession*",'Raw data'!$M:$M,"*Lost Final 1/3*")</f>
        <v>1</v>
      </c>
      <c r="FQ21" s="8">
        <f>COUNTIFS('Raw data'!$D:$D,"*Usim Ijere*", 'Raw data'!$Y:$Y,"*1st*",'Raw data'!$M:$M,"*Lost Possession*",'Raw data'!$M:$M,"*Lost Middle 1/3*")</f>
        <v>0</v>
      </c>
      <c r="FR21" s="8">
        <f>COUNTIFS('Raw data'!$D:$D,"*Usim Ijere*", 'Raw data'!$Y:$Y,"*1st*",'Raw data'!$M:$M,"*Lost Possession*",'Raw data'!$M:$M,"*Lost Own 1/3*")</f>
        <v>0</v>
      </c>
      <c r="FS21" s="8">
        <f>COUNTIFS('Raw data'!$D:$D,"*Usim Ijere*", 'Raw data'!$Y:$Y,"*1st*",'Raw data'!$H:$H,"*Touches in the Box*")</f>
        <v>2</v>
      </c>
      <c r="FT21" s="8">
        <f>COUNTIFS('Raw data'!$D:$D,"*Usim Ijere*", 'Raw data'!$Y:$Y,"*1st*",'Raw data'!$H:$H,"*1v1 Attack*")</f>
        <v>3</v>
      </c>
      <c r="FU21" s="8">
        <f>COUNTIFS('Raw data'!$D:$D,"*Usim Ijere*", 'Raw data'!$Y:$Y,"*1st*",'Raw data'!$H:$H,"*1v1 Attack*",'Raw data'!$H:$H,"*1v1 Attack*",'Raw data'!$M:$M,"*Kept Possession*")</f>
        <v>2</v>
      </c>
      <c r="FV21" s="8">
        <f>COUNTIFS('Raw data'!$D:$D,"*Usim Ijere*", 'Raw data'!$Y:$Y,"*1st*",'Raw data'!$H:$H,"*1v1 Attack*",'Raw data'!$H:$H,"*1v1 Attack*",'Raw data'!$M:$M,"*Lost Possession*")</f>
        <v>1</v>
      </c>
      <c r="FW21" s="54">
        <f t="shared" si="27"/>
        <v>0.66666666666666663</v>
      </c>
      <c r="FX21" s="54">
        <f t="shared" si="28"/>
        <v>0.33333333333333331</v>
      </c>
      <c r="FY21" s="8">
        <f>COUNTIFS('Raw data'!$D:$D,"*Usim Ijere*", 'Raw data'!$Y:$Y,"*1st*",'Raw data'!$I:$I,"*Cross*")</f>
        <v>2</v>
      </c>
      <c r="FZ21" s="8">
        <f>COUNTIFS('Raw data'!$D:$D,"*Usim Ijere*", 'Raw data'!$Y:$Y,"*1st*",'Raw data'!$I:$I,"*Cross*",'Raw data'!$M:$M,"*Pass Completed*")</f>
        <v>1</v>
      </c>
      <c r="GA21" s="8">
        <f>COUNTIFS('Raw data'!$D:$D,"*Usim Ijere*", 'Raw data'!$Y:$Y,"*1st*",'Raw data'!$I:$I,"*Cross*",'Raw data'!$M:$M,"*Pass Uncompleted*")</f>
        <v>1</v>
      </c>
      <c r="GB21" s="54">
        <f t="shared" si="29"/>
        <v>0.5</v>
      </c>
      <c r="GC21" s="54">
        <f t="shared" si="30"/>
        <v>0.5</v>
      </c>
      <c r="GD21" s="8">
        <f t="shared" si="31"/>
        <v>4</v>
      </c>
      <c r="GE21" s="8">
        <f>COUNTIFS('Raw data'!$D:$D,"*Usim Ijere*", 'Raw data'!$Y:$Y,"*1st*",'Raw data'!$L:$L,"*On Target*")</f>
        <v>3</v>
      </c>
      <c r="GF21" s="8">
        <f>COUNTIFS('Raw data'!$D:$D,"*Usim Ijere*", 'Raw data'!$Y:$Y,"*1st*",'Raw data'!$L:$L,"*Off Target*")</f>
        <v>1</v>
      </c>
      <c r="GG21" s="8">
        <f>COUNTIFS('Raw data'!$D:$D,"*Usim Ijere*", 'Raw data'!$Y:$Y,"*1st*",'Raw data'!$L:$L,"*Blocked*")</f>
        <v>0</v>
      </c>
      <c r="GH21" s="8">
        <f>COUNTIFS('Raw data'!$D:$D,"*Usim Ijere*", 'Raw data'!$Y:$Y,"*1st*",'Raw data'!$M:$M,"*Goal*")</f>
        <v>0</v>
      </c>
      <c r="GI21" s="8">
        <f>COUNTIFS('Raw data'!$D:$D,"*Usim Ijere*", 'Raw data'!$Y:$Y,"*1st*",'Raw data'!$M:$M,"*Assist*")</f>
        <v>1</v>
      </c>
      <c r="GJ21" s="8">
        <f>COUNTIFS('Raw data'!$D:$D,"*Usim Ijere*", 'Raw data'!$Y:$Y,"*1st*",'Raw data'!$H:$H,"*Offensive duel*")</f>
        <v>0</v>
      </c>
      <c r="GK21" s="8">
        <f>COUNTIFS('Raw data'!$D:$D,"*Usim Ijere*", 'Raw data'!$Y:$Y,"*1st*",'Raw data'!$H:$H,"*Offensive Duel*",'Raw data'!$H:$H,"*Offensive Duel*",'Raw data'!$M:$M,"*Kept Possession*")</f>
        <v>0</v>
      </c>
      <c r="GL21" s="8">
        <f>COUNTIFS('Raw data'!$D:$D,"*Usim Ijere*", 'Raw data'!$Y:$Y,"*1st*",'Raw data'!$H:$H,"*Offensive Duel*",'Raw data'!$H:$H,"*Offensive Duel*",'Raw data'!$M:$M,"*Lost Possession*")</f>
        <v>0</v>
      </c>
      <c r="GM21" s="54" t="str">
        <f t="shared" si="32"/>
        <v>-</v>
      </c>
      <c r="GN21" s="54" t="str">
        <f t="shared" si="33"/>
        <v>-</v>
      </c>
      <c r="GO21" s="8">
        <f>COUNTIFS('Raw data'!$D:$D,"*Usim Ijere*", 'Raw data'!$Y:$Y,"*1st*",'Raw data'!$H:$H,"*Acceleration*")</f>
        <v>0</v>
      </c>
      <c r="GP21" s="8">
        <f>COUNTIFS('Raw data'!$D:$D,"*Usim Ijere*", 'Raw data'!$Y:$Y,"*1st*",'Raw data'!$H:$H,"*Move into Pocket*")</f>
        <v>0</v>
      </c>
      <c r="GQ21" s="8">
        <f>COUNTIFS('Raw data'!$D:$D,"*Usim Ijere*", 'Raw data'!$Y:$Y,"*1st*",'Raw data'!$H:$H,"*Wide area*")</f>
        <v>2</v>
      </c>
      <c r="GR21" s="8">
        <f>COUNTIFS('Raw data'!$D:$D,"*Usim Ijere*", 'Raw data'!$Y:$Y,"*1st*",'Raw data'!$H:$H,"*Back to goal*")</f>
        <v>0</v>
      </c>
      <c r="GS21" s="8">
        <f>COUNTIFS('Raw data'!$D:$D,"*Usim Ijere*", 'Raw data'!$Y:$Y,"*1st*",'Raw data'!$H:$H,"*Over/Underlaps*")</f>
        <v>0</v>
      </c>
      <c r="GT21" s="8">
        <f>COUNTIFS('Raw data'!$D:$D,"*Usim Ijere*", 'Raw data'!$Y:$Y,"*1st*",'Raw data'!$H:$H,"*Runs in Behind*")</f>
        <v>4</v>
      </c>
      <c r="GU21" s="8">
        <f>COUNTIFS('Raw data'!$D:$D,"*Usim Ijere*", 'Raw data'!$Y:$Y,"*1st*",'Raw data'!$H:$H,"*Half-space Runs*")</f>
        <v>0</v>
      </c>
      <c r="GV21" s="8">
        <f t="shared" si="34"/>
        <v>0</v>
      </c>
      <c r="GW21" s="8">
        <f t="shared" si="35"/>
        <v>0</v>
      </c>
      <c r="GX21" s="8">
        <f t="shared" si="36"/>
        <v>0</v>
      </c>
      <c r="GY21" s="54" t="str">
        <f t="shared" si="37"/>
        <v>-</v>
      </c>
      <c r="GZ21" s="54" t="str">
        <f t="shared" si="38"/>
        <v>-</v>
      </c>
      <c r="HA21" s="8">
        <f>COUNTIFS('Raw data'!$D:$D,"*Usim Ijere*", 'Raw data'!$Y:$Y,"*1st*",'Raw data'!$K:$K,"*Ground duel*")</f>
        <v>0</v>
      </c>
      <c r="HB21" s="8">
        <f>COUNTIFS('Raw data'!$D:$D,"*Usim Ijere*", 'Raw data'!$Y:$Y,"*1st*",'Raw data'!$K:$K,"*Ground duel*",'Raw data'!$M:$M,"*Duel Succeeded*")</f>
        <v>0</v>
      </c>
      <c r="HC21" s="8">
        <f>COUNTIFS('Raw data'!$D:$D,"*Usim Ijere*", 'Raw data'!$Y:$Y,"*1st*",'Raw data'!$K:$K,"*Ground duel*",'Raw data'!$M:$M,"*Duel Unsucceeded*")</f>
        <v>0</v>
      </c>
      <c r="HD21" s="54" t="str">
        <f t="shared" si="39"/>
        <v>-</v>
      </c>
      <c r="HE21" s="54" t="str">
        <f t="shared" si="40"/>
        <v>-</v>
      </c>
      <c r="HF21" s="8">
        <f>COUNTIFS('Raw data'!$D:$D,"*Usim Ijere*", 'Raw data'!$Y:$Y,"*1st*",'Raw data'!$K:$K,"*Aerial duel*")</f>
        <v>0</v>
      </c>
      <c r="HG21" s="8">
        <f>COUNTIFS('Raw data'!$D:$D,"*Usim Ijere*", 'Raw data'!$Y:$Y,"*1st*",'Raw data'!$K:$K,"*Aerial duel*",'Raw data'!$M:$M,"*Duel Succeeded*")</f>
        <v>0</v>
      </c>
      <c r="HH21" s="8">
        <f>COUNTIFS('Raw data'!$D:$D,"*Usim Ijere*", 'Raw data'!$Y:$Y,"*1st*",'Raw data'!$K:$K,"*Aerial duel*",'Raw data'!$M:$M,"*Duel Unsucceeded*")</f>
        <v>0</v>
      </c>
      <c r="HI21" s="54" t="str">
        <f t="shared" si="41"/>
        <v>-</v>
      </c>
      <c r="HJ21" s="54" t="str">
        <f t="shared" si="42"/>
        <v>-</v>
      </c>
      <c r="HK21" s="8">
        <f>COUNTIFS('Raw data'!$D:$D,"*Usim Ijere*", 'Raw data'!$Y:$Y,"*1st*",'Raw data'!$K:$K,"*1v1 defense*")</f>
        <v>0</v>
      </c>
      <c r="HL21" s="8">
        <f>COUNTIFS('Raw data'!$D:$D,"*Usim Ijere*", 'Raw data'!$Y:$Y,"*1st*",'Raw data'!$K:$K,"*1v1 defense*",'Raw data'!$M:$M,"*Duel Succeeded*")</f>
        <v>0</v>
      </c>
      <c r="HM21" s="8">
        <f>COUNTIFS('Raw data'!$D:$D,"*Usim Ijere*", 'Raw data'!$Y:$Y,"*1st*",'Raw data'!$K:$K,"*1v1 defense*",'Raw data'!$M:$M,"*Duel Unsucceeded*")</f>
        <v>0</v>
      </c>
      <c r="HN21" s="54" t="str">
        <f t="shared" si="43"/>
        <v>-</v>
      </c>
      <c r="HO21" s="54" t="str">
        <f t="shared" si="44"/>
        <v>-</v>
      </c>
      <c r="HP21" s="8">
        <f>COUNTIFS('Raw data'!$D:$D,"*Usim Ijere*", 'Raw data'!$Y:$Y,"*1st*",'Raw data'!$J:$J,"*Tackles*")</f>
        <v>0</v>
      </c>
      <c r="HQ21" s="8">
        <f>COUNTIFS('Raw data'!$D:$D,"*Usim Ijere*", 'Raw data'!$Y:$Y,"*1st*",'Raw data'!$J:$J,"*Tackles*", 'Raw data'!$M:$M,"*Duel Succeeded*")</f>
        <v>0</v>
      </c>
      <c r="HR21" s="8">
        <f>COUNTIFS('Raw data'!$D:$D,"*Usim Ijere*", 'Raw data'!$Y:$Y,"*1st*",'Raw data'!$J:$J,"*Tackles*", 'Raw data'!$M:$M,"*Duel Unsucceeded*")</f>
        <v>0</v>
      </c>
      <c r="HS21" s="54" t="str">
        <f t="shared" si="45"/>
        <v>-</v>
      </c>
      <c r="HT21" s="54" t="str">
        <f t="shared" si="46"/>
        <v>-</v>
      </c>
      <c r="HU21" s="8">
        <f>COUNTIFS('Raw data'!$D:$D,"*Usim Ijere*", 'Raw data'!$Y:$Y,"*1st*",'Raw data'!$K:$K,"*2nd Balls*")</f>
        <v>0</v>
      </c>
      <c r="HV21" s="8">
        <f>COUNTIFS('Raw data'!$D:$D,"*Usim Ijere*", 'Raw data'!$Y:$Y,"*1st*",'Raw data'!$K:$K,"*2nd Balls*", 'Raw data'!$M:$M,"*Duel Succeeded*")</f>
        <v>0</v>
      </c>
      <c r="HW21" s="8">
        <f>COUNTIFS('Raw data'!$D:$D,"*Usim Ijere*", 'Raw data'!$Y:$Y,"*1st*",'Raw data'!$K:$K,"*2nd Balls*", 'Raw data'!$M:$M,"*Duel Unsucceeded*")</f>
        <v>0</v>
      </c>
      <c r="HX21" s="54" t="str">
        <f t="shared" si="47"/>
        <v>-</v>
      </c>
      <c r="HY21" s="54" t="str">
        <f t="shared" si="48"/>
        <v>-</v>
      </c>
      <c r="HZ21" s="8">
        <f>COUNTIFS('Raw data'!$D:$D,"*Usim Ijere*", 'Raw data'!$Y:$Y,"*1st*",'Raw data'!$J:$J,"*Clearance*")</f>
        <v>0</v>
      </c>
      <c r="IA21" s="8">
        <f>COUNTIFS('Raw data'!$D:$D,"*Usim Ijere*", 'Raw data'!$Y:$Y,"*1st*",'Raw data'!$J:$J,"*Interception*")</f>
        <v>0</v>
      </c>
      <c r="IB21" s="8">
        <f>COUNTIFS('Raw data'!$D:$D,"*Usim Ijere*", 'Raw data'!$Y:$Y,"*1st*",'Raw data'!$J:$J,"*Turnover Won*")</f>
        <v>1</v>
      </c>
      <c r="IC21" s="8">
        <f>COUNTIFS('Raw data'!$D:$D,"*Usim Ijere*", 'Raw data'!$Y:$Y,"*1st*",'Raw data'!$J:$J,"*Recovery*")</f>
        <v>0</v>
      </c>
      <c r="ID21" s="8">
        <f>COUNTIFS('Raw data'!$D:$D,"*Usim Ijere*", 'Raw data'!$Y:$Y,"*1st*",'Raw data'!$J:$J,"*Blocked Shots*")</f>
        <v>0</v>
      </c>
      <c r="IE21" s="8">
        <f>COUNTIFS('Raw data'!$D:$D,"*Usim Ijere*", 'Raw data'!$Y:$Y,"*1st*",'Raw data'!$J:$J,"*Man-marking*")</f>
        <v>0</v>
      </c>
      <c r="IF21" s="8">
        <f>COUNTIFS('Raw data'!$D:$D,"*Usim Ijere*", 'Raw data'!$Y:$Y,"*1st*",'Raw data'!$J:$J,"*Fouls*")</f>
        <v>2</v>
      </c>
      <c r="IG21" s="8">
        <f>COUNTIFS('Raw data'!$D:$D,"*Usim Ijere*", 'Raw data'!$Y:$Y,"*1st*",'Raw data'!$J:$J,"*Won F*")</f>
        <v>1</v>
      </c>
      <c r="IH21" s="8">
        <f>COUNTIFS('Raw data'!$D:$D,"*Usim Ijere*", 'Raw data'!$Y:$Y,"*1st*",'Raw data'!$G:$G,"*1v1*")</f>
        <v>0</v>
      </c>
      <c r="II21" s="8">
        <f>COUNTIFS('Raw data'!$D:$D,"*Usim Ijere*", 'Raw data'!$Y:$Y,"*1st*",'Raw data'!$G:$G,"*On Target*")</f>
        <v>0</v>
      </c>
      <c r="IJ21" s="8">
        <f>COUNTIFS('Raw data'!$D:$D,"*Usim Ijere*", 'Raw data'!$Y:$Y,"*1st*",'Raw data'!$G:$G,"*Off Target*")</f>
        <v>0</v>
      </c>
      <c r="IK21" s="8">
        <f>COUNTIFS('Raw data'!$D:$D,"*Usim Ijere*", 'Raw data'!$Y:$Y,"*1st*",'Raw data'!$G:$G,"*Defend the Space*")</f>
        <v>0</v>
      </c>
      <c r="IL21" s="8">
        <f>COUNTIFS('Raw data'!$D:$D,"*Usim Ijere*", 'Raw data'!$Y:$Y,"*1st*",'Raw data'!$G:$G,"*Conceded*")</f>
        <v>0</v>
      </c>
      <c r="IM21" s="8">
        <f>COUNTIFS('Raw data'!$D:$D,"*Usim Ijere*", 'Raw data'!$Y:$Y,"*1st*",'Raw data'!$G:$G,"*Save*")</f>
        <v>0</v>
      </c>
      <c r="IN21" s="8">
        <f>COUNTIFS('Raw data'!$D:$D,"*Usim Ijere*", 'Raw data'!$Y:$Y,"*1st*",'Raw data'!$G:$G,"*Defend the line (Cross)*")</f>
        <v>0</v>
      </c>
      <c r="IO21" s="8">
        <f>COUNTIFS('Raw data'!$D:$D,"*Usim Ijere*", 'Raw data'!$Y:$Y,"*1st*",'Raw data'!$G:$G,"*Counter Kick*")</f>
        <v>0</v>
      </c>
      <c r="IP21" t="s">
        <v>654</v>
      </c>
    </row>
    <row r="22" spans="2:250">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DW22" t="s">
        <v>463</v>
      </c>
      <c r="DX22" t="s">
        <v>622</v>
      </c>
      <c r="DY22">
        <v>40</v>
      </c>
      <c r="DZ22" t="s">
        <v>540</v>
      </c>
      <c r="EA22">
        <f t="shared" si="12"/>
        <v>6</v>
      </c>
      <c r="EB22" s="8">
        <f t="shared" si="49"/>
        <v>4</v>
      </c>
      <c r="EC22" s="8">
        <f t="shared" si="50"/>
        <v>2</v>
      </c>
      <c r="ED22" s="54">
        <f t="shared" si="13"/>
        <v>0.66666666666666663</v>
      </c>
      <c r="EE22" s="54">
        <f t="shared" si="14"/>
        <v>0.33333333333333331</v>
      </c>
      <c r="EF22">
        <f t="shared" si="51"/>
        <v>1</v>
      </c>
      <c r="EG22">
        <f>COUNTIFS('Raw data'!$D:$D,"*Cordell Morgan-Antonio*", 'Raw data'!$Y:$Y,"*1st*",'Raw data'!$I:$I,"*Forward Pass*",'Raw data'!$M:$M,"*Pass completed*")</f>
        <v>0</v>
      </c>
      <c r="EH22">
        <f>COUNTIFS('Raw data'!$D:$D,"*Cordell Morgan-Antonio*", 'Raw data'!$Y:$Y,"*1st*",'Raw data'!$I:$I,"*Forward Pass*",'Raw data'!$M:$M,"*Pass Uncompleted*")</f>
        <v>1</v>
      </c>
      <c r="EI22" s="54">
        <f t="shared" si="15"/>
        <v>0</v>
      </c>
      <c r="EJ22" s="54">
        <f t="shared" si="16"/>
        <v>1</v>
      </c>
      <c r="EK22">
        <f t="shared" si="52"/>
        <v>2</v>
      </c>
      <c r="EL22" s="8">
        <f>COUNTIFS('Raw data'!$D:$D,"*Cordell Morgan-Antonio*", 'Raw data'!$Y:$Y,"*1st*",'Raw data'!$I:$I,"*Lateral Pass*",'Raw data'!$M:$M,"*Pass completed*")</f>
        <v>2</v>
      </c>
      <c r="EM22" s="8">
        <f>COUNTIFS('Raw data'!$D:$D,"*Cordell Morgan-Antonio*", 'Raw data'!$Y:$Y,"*1st*",'Raw data'!$I:$I,"*Lateral Pass*",'Raw data'!$M:$M,"*Pass Uncompleted*")</f>
        <v>0</v>
      </c>
      <c r="EN22" s="54">
        <f t="shared" si="17"/>
        <v>1</v>
      </c>
      <c r="EO22" s="54">
        <f t="shared" si="18"/>
        <v>0</v>
      </c>
      <c r="EP22">
        <f t="shared" si="53"/>
        <v>3</v>
      </c>
      <c r="EQ22" s="8">
        <f>COUNTIFS('Raw data'!$D:$D,"*Cordell Morgan-Antonio*", 'Raw data'!$Y:$Y,"*1st*",'Raw data'!$I:$I,"*Backward Pass*",'Raw data'!$M:$M,"*Pass completed*")</f>
        <v>2</v>
      </c>
      <c r="ER22" s="8">
        <f>COUNTIFS('Raw data'!$D:$D,"*Cordell Morgan-Antonio*", 'Raw data'!$Y:$Y,"*1st*",'Raw data'!$I:$I,"*Backward Pass*",'Raw data'!$M:$M,"*Pass Uncompleted*")</f>
        <v>1</v>
      </c>
      <c r="ES22" s="54">
        <f t="shared" si="19"/>
        <v>1</v>
      </c>
      <c r="ET22" s="54">
        <f t="shared" si="20"/>
        <v>0.5</v>
      </c>
      <c r="EU22" s="8">
        <f>COUNTIFS('Raw data'!$D:$D,"*Cordell Morgan-Antonio*", 'Raw data'!$Y:$Y,"*1st*",'Raw data'!$I:$I,"*Long Kick*")</f>
        <v>0</v>
      </c>
      <c r="EV22" s="8">
        <f>COUNTIFS('Raw data'!$D:$D,"*Cordell Morgan-Antonio*", 'Raw data'!$Y:$Y,"*1st*",'Raw data'!$I:$I,"*Long Kick*",'Raw data'!$M:$M,"*Pass completed*")</f>
        <v>0</v>
      </c>
      <c r="EW22" s="8">
        <f>COUNTIFS('Raw data'!$D:$D,"*Cordell Morgan-Antonio*", 'Raw data'!$Y:$Y,"*1st*",'Raw data'!$I:$I,"*Long Kick*",'Raw data'!$M:$M,"*Pass Uncompleted*")</f>
        <v>0</v>
      </c>
      <c r="EX22" s="54" t="str">
        <f t="shared" si="21"/>
        <v>-</v>
      </c>
      <c r="EY22" s="54" t="str">
        <f t="shared" si="22"/>
        <v>-</v>
      </c>
      <c r="EZ22" s="8">
        <f>COUNTIFS('Raw data'!$D:$D,"*Cordell Morgan-Antonio*", 'Raw data'!$Y:$Y,"*1st*",'Raw data'!$I:$I,"*Balls in Behind*")</f>
        <v>1</v>
      </c>
      <c r="FA22" s="8">
        <f>COUNTIFS('Raw data'!$D:$D,"*Cordell Morgan-Antonio*", 'Raw data'!$Y:$Y,"*1st*",'Raw data'!$I:$I,"*Balls in Behind*",'Raw data'!$M:$M,"*Pass completed*")</f>
        <v>0</v>
      </c>
      <c r="FB22" s="8">
        <f>COUNTIFS('Raw data'!$D:$D,"*Cordell Morgan-Antonio*", 'Raw data'!$Y:$Y,"*1st*",'Raw data'!$I:$I,"*Balls in Behind*",'Raw data'!$M:$M,"*Pass Uncompleted*")</f>
        <v>1</v>
      </c>
      <c r="FC22" s="54">
        <f t="shared" si="23"/>
        <v>0</v>
      </c>
      <c r="FD22" s="54">
        <f t="shared" si="24"/>
        <v>1</v>
      </c>
      <c r="FE22" s="8">
        <f>COUNTIFS('Raw data'!$D:$D,"*Cordell Morgan-Antonio*", 'Raw data'!$Y:$Y,"*1st*",'Raw data'!$I:$I,"*Key/Through pass*")</f>
        <v>0</v>
      </c>
      <c r="FF22" s="8">
        <f>COUNTIFS('Raw data'!$D:$D,"*Cordell Morgan-Antonio*", 'Raw data'!$Y:$Y,"*1st*",'Raw data'!$I:$I,"*Diagonal pass*")</f>
        <v>0</v>
      </c>
      <c r="FG22" s="8">
        <f>COUNTIFS('Raw data'!$D:$D,"*Cordell Morgan-Antonio*", 'Raw data'!$Y:$Y,"*1st*",'Raw data'!$I:$I,"*Diagonal pass*",'Raw data'!$M:$M,"*Pass completed*")</f>
        <v>0</v>
      </c>
      <c r="FH22" s="8">
        <f>COUNTIFS('Raw data'!$D:$D,"*Cordell Morgan-Antonio*", 'Raw data'!$Y:$Y,"*1st*",'Raw data'!$I:$I,"*Diagonal pass*",'Raw data'!$M:$M,"*Pass Uncompleted*")</f>
        <v>0</v>
      </c>
      <c r="FI22" s="54" t="str">
        <f t="shared" si="25"/>
        <v>-</v>
      </c>
      <c r="FJ22" s="54" t="str">
        <f t="shared" si="26"/>
        <v>-</v>
      </c>
      <c r="FK22" s="8">
        <f>COUNTIFS('Raw data'!$D:$D,"*Cordell Morgan-Antonio*", 'Raw data'!$Y:$Y,"*1st*",'Raw data'!$M:$M,"*Pass Received*")</f>
        <v>3</v>
      </c>
      <c r="FL22" s="8">
        <f>COUNTIFS('Raw data'!$D:$D,"*Cordell Morgan-Antonio*", 'Raw data'!$Y:$Y,"*1st*",'Raw data'!$M:$M,"*Pass Completed*",'Raw data'!$M:$M,"*Pass Received*")</f>
        <v>1</v>
      </c>
      <c r="FM22" s="8">
        <f>COUNTIFS('Raw data'!$D:$D,"*Cordell Morgan-Antonio*", 'Raw data'!$Y:$Y,"*1st*",'Raw data'!$M:$M,"*Pass Uncompleted*",'Raw data'!$M:$M,"*Pass Received*")</f>
        <v>0</v>
      </c>
      <c r="FN22" s="8">
        <f>COUNTIFS('Raw data'!$D:$D,"*Cordell Morgan-Antonio*", 'Raw data'!$Y:$Y,"*1st*",'Raw data'!$M:$M,"*Kept Possession*",'Raw data'!$M:$M,"*Pass Received*")</f>
        <v>0</v>
      </c>
      <c r="FO22" s="8">
        <f>COUNTIFS('Raw data'!$D:$D,"*Cordell Morgan-Antonio*", 'Raw data'!$Y:$Y,"*1st*",'Raw data'!$M:$M,"*Lost Possession*")</f>
        <v>2</v>
      </c>
      <c r="FP22" s="8">
        <f>COUNTIFS('Raw data'!$D:$D,"*Cordell Morgan-Antonio*", 'Raw data'!$Y:$Y,"*1st*",'Raw data'!$M:$M,"*Lost Possession*",'Raw data'!$M:$M,"*Lost Final 1/3*")</f>
        <v>2</v>
      </c>
      <c r="FQ22" s="8">
        <f>COUNTIFS('Raw data'!$D:$D,"*Cordell Morgan-Antonio*", 'Raw data'!$Y:$Y,"*1st*",'Raw data'!$M:$M,"*Lost Possession*",'Raw data'!$M:$M,"*Lost Middle 1/3*")</f>
        <v>0</v>
      </c>
      <c r="FR22" s="8">
        <f>COUNTIFS('Raw data'!$D:$D,"*Cordell Morgan-Antonio*", 'Raw data'!$Y:$Y,"*1st*",'Raw data'!$M:$M,"*Lost Possession*",'Raw data'!$M:$M,"*Lost Own 1/3*")</f>
        <v>0</v>
      </c>
      <c r="FS22" s="8">
        <f>COUNTIFS('Raw data'!$D:$D,"*Cordell Morgan-Antonio*", 'Raw data'!$Y:$Y,"*1st*",'Raw data'!$H:$H,"*Touches in the Box*")</f>
        <v>3</v>
      </c>
      <c r="FT22" s="8">
        <f>COUNTIFS('Raw data'!$D:$D,"*Cordell Morgan-Antonio*", 'Raw data'!$Y:$Y,"*1st*",'Raw data'!$H:$H,"*1v1 Attack*")</f>
        <v>1</v>
      </c>
      <c r="FU22" s="8">
        <f>COUNTIFS('Raw data'!$D:$D,"*Cordell Morgan-Antonio*", 'Raw data'!$Y:$Y,"*1st*",'Raw data'!$H:$H,"*1v1 Attack*",'Raw data'!$H:$H,"*1v1 Attack*",'Raw data'!$M:$M,"*Kept Possession*")</f>
        <v>1</v>
      </c>
      <c r="FV22" s="8">
        <f>COUNTIFS('Raw data'!$D:$D,"*Cordell Morgan-Antonio*", 'Raw data'!$Y:$Y,"*1st*",'Raw data'!$H:$H,"*1v1 Attack*",'Raw data'!$H:$H,"*1v1 Attack*",'Raw data'!$M:$M,"*Lost Possession*")</f>
        <v>0</v>
      </c>
      <c r="FW22" s="54">
        <f t="shared" si="27"/>
        <v>1</v>
      </c>
      <c r="FX22" s="54">
        <f t="shared" si="28"/>
        <v>0</v>
      </c>
      <c r="FY22" s="8">
        <f>COUNTIFS('Raw data'!$D:$D,"*Cordell Morgan-Antonio*", 'Raw data'!$Y:$Y,"*1st*",'Raw data'!$I:$I,"*Cross*")</f>
        <v>3</v>
      </c>
      <c r="FZ22" s="8">
        <f>COUNTIFS('Raw data'!$D:$D,"*Cordell Morgan-Antonio*", 'Raw data'!$Y:$Y,"*1st*",'Raw data'!$I:$I,"*Cross*",'Raw data'!$M:$M,"*Pass Completed*")</f>
        <v>2</v>
      </c>
      <c r="GA22" s="8">
        <f>COUNTIFS('Raw data'!$D:$D,"*Cordell Morgan-Antonio*", 'Raw data'!$Y:$Y,"*1st*",'Raw data'!$I:$I,"*Cross*",'Raw data'!$M:$M,"*Pass Uncompleted*")</f>
        <v>1</v>
      </c>
      <c r="GB22" s="54">
        <f t="shared" si="29"/>
        <v>0.66666666666666663</v>
      </c>
      <c r="GC22" s="54">
        <f t="shared" si="30"/>
        <v>0.33333333333333331</v>
      </c>
      <c r="GD22" s="8">
        <f t="shared" si="31"/>
        <v>2</v>
      </c>
      <c r="GE22" s="8">
        <f>COUNTIFS('Raw data'!$D:$D,"*Cordell Morgan-Antonio*", 'Raw data'!$Y:$Y,"*1st*",'Raw data'!$L:$L,"*On Target*")</f>
        <v>1</v>
      </c>
      <c r="GF22" s="8">
        <f>COUNTIFS('Raw data'!$D:$D,"*Cordell Morgan-Antonio*", 'Raw data'!$Y:$Y,"*1st*",'Raw data'!$L:$L,"*Off Target*")</f>
        <v>0</v>
      </c>
      <c r="GG22" s="8">
        <f>COUNTIFS('Raw data'!$D:$D,"*Cordell Morgan-Antonio*", 'Raw data'!$Y:$Y,"*1st*",'Raw data'!$L:$L,"*Blocked*")</f>
        <v>1</v>
      </c>
      <c r="GH22" s="8">
        <f>COUNTIFS('Raw data'!$D:$D,"*Cordell Morgan-Antonio*", 'Raw data'!$Y:$Y,"*1st*",'Raw data'!$M:$M,"*Goal*")</f>
        <v>0</v>
      </c>
      <c r="GI22" s="8">
        <f>COUNTIFS('Raw data'!$D:$D,"*Cordell Morgan-Antonio*", 'Raw data'!$Y:$Y,"*1st*",'Raw data'!$M:$M,"*Assist*")</f>
        <v>0</v>
      </c>
      <c r="GJ22" s="8">
        <f>COUNTIFS('Raw data'!$D:$D,"*Cordell Morgan-Antonio*", 'Raw data'!$Y:$Y,"*1st*",'Raw data'!$H:$H,"*Offensive duel*")</f>
        <v>0</v>
      </c>
      <c r="GK22" s="8">
        <f>COUNTIFS('Raw data'!$D:$D,"*Cordell Morgan-Antonio*", 'Raw data'!$Y:$Y,"*1st*",'Raw data'!$H:$H,"*Offensive Duel*",'Raw data'!$H:$H,"*Offensive Duel*",'Raw data'!$M:$M,"*Kept Possession*")</f>
        <v>0</v>
      </c>
      <c r="GL22" s="8">
        <f>COUNTIFS('Raw data'!$D:$D,"*Cordell Morgan-Antonio*", 'Raw data'!$Y:$Y,"*1st*",'Raw data'!$H:$H,"*Offensive Duel*",'Raw data'!$H:$H,"*Offensive Duel*",'Raw data'!$M:$M,"*Lost Possession*")</f>
        <v>0</v>
      </c>
      <c r="GM22" s="54" t="str">
        <f t="shared" si="32"/>
        <v>-</v>
      </c>
      <c r="GN22" s="54" t="str">
        <f t="shared" si="33"/>
        <v>-</v>
      </c>
      <c r="GO22" s="8">
        <f>COUNTIFS('Raw data'!$D:$D,"*Cordell Morgan-Antonio*", 'Raw data'!$Y:$Y,"*1st*",'Raw data'!$H:$H,"*Acceleration*")</f>
        <v>1</v>
      </c>
      <c r="GP22" s="8">
        <f>COUNTIFS('Raw data'!$D:$D,"*Cordell Morgan-Antonio*", 'Raw data'!$Y:$Y,"*1st*",'Raw data'!$H:$H,"*Move into Pocket*")</f>
        <v>0</v>
      </c>
      <c r="GQ22" s="8">
        <f>COUNTIFS('Raw data'!$D:$D,"*Cordell Morgan-Antonio*", 'Raw data'!$Y:$Y,"*1st*",'Raw data'!$H:$H,"*Wide area*")</f>
        <v>1</v>
      </c>
      <c r="GR22" s="8">
        <f>COUNTIFS('Raw data'!$D:$D,"*Cordell Morgan-Antonio*", 'Raw data'!$Y:$Y,"*1st*",'Raw data'!$H:$H,"*Back to goal*")</f>
        <v>0</v>
      </c>
      <c r="GS22" s="8">
        <f>COUNTIFS('Raw data'!$D:$D,"*Cordell Morgan-Antonio*", 'Raw data'!$Y:$Y,"*1st*",'Raw data'!$H:$H,"*Over/Underlaps*")</f>
        <v>0</v>
      </c>
      <c r="GT22" s="8">
        <f>COUNTIFS('Raw data'!$D:$D,"*Cordell Morgan-Antonio*", 'Raw data'!$Y:$Y,"*1st*",'Raw data'!$H:$H,"*Runs in Behind*")</f>
        <v>2</v>
      </c>
      <c r="GU22" s="8">
        <f>COUNTIFS('Raw data'!$D:$D,"*Cordell Morgan-Antonio*", 'Raw data'!$Y:$Y,"*1st*",'Raw data'!$H:$H,"*Half-space Runs*")</f>
        <v>0</v>
      </c>
      <c r="GV22" s="8">
        <f t="shared" si="34"/>
        <v>1</v>
      </c>
      <c r="GW22" s="8">
        <f t="shared" si="35"/>
        <v>1</v>
      </c>
      <c r="GX22" s="8">
        <f t="shared" si="36"/>
        <v>0</v>
      </c>
      <c r="GY22" s="54">
        <f t="shared" si="37"/>
        <v>1</v>
      </c>
      <c r="GZ22" s="54">
        <f t="shared" si="38"/>
        <v>0</v>
      </c>
      <c r="HA22" s="8">
        <f>COUNTIFS('Raw data'!$D:$D,"*Cordell Morgan-Antonio*", 'Raw data'!$Y:$Y,"*1st*",'Raw data'!$K:$K,"*Ground duel*")</f>
        <v>1</v>
      </c>
      <c r="HB22" s="8">
        <f>COUNTIFS('Raw data'!$D:$D,"*Cordell Morgan-Antonio*", 'Raw data'!$Y:$Y,"*1st*",'Raw data'!$K:$K,"*Ground duel*",'Raw data'!$M:$M,"*Duel Succeeded*")</f>
        <v>1</v>
      </c>
      <c r="HC22" s="8">
        <f>COUNTIFS('Raw data'!$D:$D,"*Cordell Morgan-Antonio*", 'Raw data'!$Y:$Y,"*1st*",'Raw data'!$K:$K,"*Ground duel*",'Raw data'!$M:$M,"*Duel Unsucceeded*")</f>
        <v>0</v>
      </c>
      <c r="HD22" s="54">
        <f t="shared" si="39"/>
        <v>1</v>
      </c>
      <c r="HE22" s="54">
        <f t="shared" si="40"/>
        <v>0</v>
      </c>
      <c r="HF22" s="8">
        <f>COUNTIFS('Raw data'!$D:$D,"*Cordell Morgan-Antonio*", 'Raw data'!$Y:$Y,"*1st*",'Raw data'!$K:$K,"*Aerial duel*")</f>
        <v>0</v>
      </c>
      <c r="HG22" s="8">
        <f>COUNTIFS('Raw data'!$D:$D,"*Cordell Morgan-Antonio*", 'Raw data'!$Y:$Y,"*1st*",'Raw data'!$K:$K,"*Aerial duel*",'Raw data'!$M:$M,"*Duel Succeeded*")</f>
        <v>0</v>
      </c>
      <c r="HH22" s="8">
        <f>COUNTIFS('Raw data'!$D:$D,"*Cordell Morgan-Antonio*", 'Raw data'!$Y:$Y,"*1st*",'Raw data'!$K:$K,"*Aerial duel*",'Raw data'!$M:$M,"*Duel Unsucceeded*")</f>
        <v>0</v>
      </c>
      <c r="HI22" s="54" t="str">
        <f t="shared" si="41"/>
        <v>-</v>
      </c>
      <c r="HJ22" s="54" t="str">
        <f t="shared" si="42"/>
        <v>-</v>
      </c>
      <c r="HK22" s="8">
        <f>COUNTIFS('Raw data'!$D:$D,"*Cordell Morgan-Antonio*", 'Raw data'!$Y:$Y,"*1st*",'Raw data'!$K:$K,"*1v1 defense*")</f>
        <v>2</v>
      </c>
      <c r="HL22" s="8">
        <f>COUNTIFS('Raw data'!$D:$D,"*Cordell Morgan-Antonio*", 'Raw data'!$Y:$Y,"*1st*",'Raw data'!$K:$K,"*1v1 defense*",'Raw data'!$M:$M,"*Duel Succeeded*")</f>
        <v>0</v>
      </c>
      <c r="HM22" s="8">
        <f>COUNTIFS('Raw data'!$D:$D,"*Cordell Morgan-Antonio*", 'Raw data'!$Y:$Y,"*1st*",'Raw data'!$K:$K,"*1v1 defense*",'Raw data'!$M:$M,"*Duel Unsucceeded*")</f>
        <v>2</v>
      </c>
      <c r="HN22" s="54">
        <f t="shared" si="43"/>
        <v>0</v>
      </c>
      <c r="HO22" s="54">
        <f t="shared" si="44"/>
        <v>1</v>
      </c>
      <c r="HP22" s="8">
        <f>COUNTIFS('Raw data'!$D:$D,"*Cordell Morgan-Antonio*", 'Raw data'!$Y:$Y,"*1st*",'Raw data'!$J:$J,"*Tackles*")</f>
        <v>0</v>
      </c>
      <c r="HQ22" s="8">
        <f>COUNTIFS('Raw data'!$D:$D,"*Cordell Morgan-Antonio*", 'Raw data'!$Y:$Y,"*1st*",'Raw data'!$J:$J,"*Tackles*", 'Raw data'!$M:$M,"*Duel Succeeded*")</f>
        <v>0</v>
      </c>
      <c r="HR22" s="8">
        <f>COUNTIFS('Raw data'!$D:$D,"*Cordell Morgan-Antonio*", 'Raw data'!$Y:$Y,"*1st*",'Raw data'!$J:$J,"*Tackles*", 'Raw data'!$M:$M,"*Duel Unsucceeded*")</f>
        <v>0</v>
      </c>
      <c r="HS22" s="54" t="str">
        <f t="shared" si="45"/>
        <v>-</v>
      </c>
      <c r="HT22" s="54" t="str">
        <f t="shared" si="46"/>
        <v>-</v>
      </c>
      <c r="HU22" s="8">
        <f>COUNTIFS('Raw data'!$D:$D,"*Cordell Morgan-Antonio*", 'Raw data'!$Y:$Y,"*1st*",'Raw data'!$K:$K,"*2nd Balls*")</f>
        <v>0</v>
      </c>
      <c r="HV22" s="8">
        <f>COUNTIFS('Raw data'!$D:$D,"*Cordell Morgan-Antonio*", 'Raw data'!$Y:$Y,"*1st*",'Raw data'!$K:$K,"*2nd Balls*", 'Raw data'!$M:$M,"*Duel Succeeded*")</f>
        <v>0</v>
      </c>
      <c r="HW22" s="8">
        <f>COUNTIFS('Raw data'!$D:$D,"*Cordell Morgan-Antonio*", 'Raw data'!$Y:$Y,"*1st*",'Raw data'!$K:$K,"*2nd Balls*", 'Raw data'!$M:$M,"*Duel Unsucceeded*")</f>
        <v>0</v>
      </c>
      <c r="HX22" s="54" t="str">
        <f t="shared" si="47"/>
        <v>-</v>
      </c>
      <c r="HY22" s="54" t="str">
        <f t="shared" si="48"/>
        <v>-</v>
      </c>
      <c r="HZ22" s="8">
        <f>COUNTIFS('Raw data'!$D:$D,"*Cordell Morgan-Antonio*", 'Raw data'!$Y:$Y,"*1st*",'Raw data'!$J:$J,"*Clearance*")</f>
        <v>0</v>
      </c>
      <c r="IA22" s="8">
        <f>COUNTIFS('Raw data'!$D:$D,"*Cordell Morgan-Antonio*", 'Raw data'!$Y:$Y,"*1st*",'Raw data'!$J:$J,"*Interception*")</f>
        <v>5</v>
      </c>
      <c r="IB22" s="8">
        <f>COUNTIFS('Raw data'!$D:$D,"*Cordell Morgan-Antonio*", 'Raw data'!$Y:$Y,"*1st*",'Raw data'!$J:$J,"*Turnover Won*")</f>
        <v>5</v>
      </c>
      <c r="IC22" s="8">
        <f>COUNTIFS('Raw data'!$D:$D,"*Cordell Morgan-Antonio*", 'Raw data'!$Y:$Y,"*1st*",'Raw data'!$J:$J,"*Recovery*")</f>
        <v>0</v>
      </c>
      <c r="ID22" s="8">
        <f>COUNTIFS('Raw data'!$D:$D,"*Cordell Morgan-Antonio*", 'Raw data'!$Y:$Y,"*1st*",'Raw data'!$J:$J,"*Blocked Shots*")</f>
        <v>0</v>
      </c>
      <c r="IE22" s="8">
        <f>COUNTIFS('Raw data'!$D:$D,"*Cordell Morgan-Antonio*", 'Raw data'!$Y:$Y,"*1st*",'Raw data'!$J:$J,"*Man-marking*")</f>
        <v>0</v>
      </c>
      <c r="IF22" s="8">
        <f>COUNTIFS('Raw data'!$D:$D,"*Cordell Morgan-Antonio*", 'Raw data'!$Y:$Y,"*1st*",'Raw data'!$J:$J,"*Fouls*")</f>
        <v>2</v>
      </c>
      <c r="IG22" s="8">
        <f>COUNTIFS('Raw data'!$D:$D,"*Cordell Morgan-Antonio*", 'Raw data'!$Y:$Y,"*1st*",'Raw data'!$J:$J,"*Won F*")</f>
        <v>1</v>
      </c>
      <c r="IH22" s="8">
        <f>COUNTIFS('Raw data'!$D:$D,"*Cordell Morgan-Antonio*", 'Raw data'!$Y:$Y,"*1st*",'Raw data'!$G:$G,"*1v1*")</f>
        <v>0</v>
      </c>
      <c r="II22" s="8">
        <f>COUNTIFS('Raw data'!$D:$D,"*Cordell Morgan-Antonio*", 'Raw data'!$Y:$Y,"*1st*",'Raw data'!$G:$G,"*On Target*")</f>
        <v>0</v>
      </c>
      <c r="IJ22" s="8">
        <f>COUNTIFS('Raw data'!$D:$D,"*Cordell Morgan-Antonio*", 'Raw data'!$Y:$Y,"*1st*",'Raw data'!$G:$G,"*Off Target*")</f>
        <v>0</v>
      </c>
      <c r="IK22" s="8">
        <f>COUNTIFS('Raw data'!$D:$D,"*Cordell Morgan-Antonio*", 'Raw data'!$Y:$Y,"*1st*",'Raw data'!$G:$G,"*Defend the Space*")</f>
        <v>0</v>
      </c>
      <c r="IL22" s="8">
        <f>COUNTIFS('Raw data'!$D:$D,"*Cordell Morgan-Antonio*", 'Raw data'!$Y:$Y,"*1st*",'Raw data'!$G:$G,"*Conceded*")</f>
        <v>0</v>
      </c>
      <c r="IM22" s="8">
        <f>COUNTIFS('Raw data'!$D:$D,"*Cordell Morgan-Antonio*", 'Raw data'!$Y:$Y,"*1st*",'Raw data'!$G:$G,"*Save*")</f>
        <v>0</v>
      </c>
      <c r="IN22" s="8">
        <f>COUNTIFS('Raw data'!$D:$D,"*Cordell Morgan-Antonio*", 'Raw data'!$Y:$Y,"*1st*",'Raw data'!$G:$G,"*Defend the line (Cross)*")</f>
        <v>0</v>
      </c>
      <c r="IO22" s="8">
        <f>COUNTIFS('Raw data'!$D:$D,"*Cordell Morgan-Antonio*", 'Raw data'!$Y:$Y,"*1st*",'Raw data'!$G:$G,"*Counter Kick*")</f>
        <v>0</v>
      </c>
      <c r="IP22" t="s">
        <v>622</v>
      </c>
    </row>
    <row r="23" spans="2:250">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DW23" t="s">
        <v>463</v>
      </c>
      <c r="DX23" t="s">
        <v>647</v>
      </c>
      <c r="DY23">
        <v>40</v>
      </c>
      <c r="DZ23" t="s">
        <v>659</v>
      </c>
      <c r="EA23">
        <f t="shared" si="12"/>
        <v>8</v>
      </c>
      <c r="EB23" s="8">
        <f t="shared" si="49"/>
        <v>6</v>
      </c>
      <c r="EC23" s="8">
        <f t="shared" si="50"/>
        <v>2</v>
      </c>
      <c r="ED23" s="54">
        <f t="shared" si="13"/>
        <v>0.75</v>
      </c>
      <c r="EE23" s="54">
        <f t="shared" si="14"/>
        <v>0.25</v>
      </c>
      <c r="EF23">
        <f t="shared" si="51"/>
        <v>2</v>
      </c>
      <c r="EG23">
        <f>COUNTIFS('Raw data'!$D:$D,"*Godwin Mfuri*", 'Raw data'!$Y:$Y,"*1st*",'Raw data'!$I:$I,"*Forward Pass*",'Raw data'!$M:$M,"*Pass completed*")</f>
        <v>1</v>
      </c>
      <c r="EH23">
        <f>COUNTIFS('Raw data'!$D:$D,"*Godwin Mfuri*", 'Raw data'!$Y:$Y,"*1st*",'Raw data'!$I:$I,"*Forward Pass*",'Raw data'!$M:$M,"*Pass Uncompleted*")</f>
        <v>1</v>
      </c>
      <c r="EI23" s="54">
        <f t="shared" si="15"/>
        <v>0.5</v>
      </c>
      <c r="EJ23" s="54">
        <f t="shared" si="16"/>
        <v>0.5</v>
      </c>
      <c r="EK23">
        <f t="shared" si="52"/>
        <v>2</v>
      </c>
      <c r="EL23" s="8">
        <f>COUNTIFS('Raw data'!$D:$D,"*Godwin Mfuri*", 'Raw data'!$Y:$Y,"*1st*",'Raw data'!$I:$I,"*Lateral Pass*",'Raw data'!$M:$M,"*Pass completed*")</f>
        <v>1</v>
      </c>
      <c r="EM23" s="8">
        <f>COUNTIFS('Raw data'!$D:$D,"*Godwin Mfuri*", 'Raw data'!$Y:$Y,"*1st*",'Raw data'!$I:$I,"*Lateral Pass*",'Raw data'!$M:$M,"*Pass Uncompleted*")</f>
        <v>1</v>
      </c>
      <c r="EN23" s="54">
        <f t="shared" si="17"/>
        <v>0.5</v>
      </c>
      <c r="EO23" s="54">
        <f t="shared" si="18"/>
        <v>0.5</v>
      </c>
      <c r="EP23">
        <f t="shared" si="53"/>
        <v>4</v>
      </c>
      <c r="EQ23" s="8">
        <f>COUNTIFS('Raw data'!$D:$D,"*Godwin Mfuri*", 'Raw data'!$Y:$Y,"*1st*",'Raw data'!$I:$I,"*Backward Pass*",'Raw data'!$M:$M,"*Pass completed*")</f>
        <v>4</v>
      </c>
      <c r="ER23" s="8">
        <f>COUNTIFS('Raw data'!$D:$D,"*Godwin Mfuri*", 'Raw data'!$Y:$Y,"*1st*",'Raw data'!$I:$I,"*Backward Pass*",'Raw data'!$M:$M,"*Pass Uncompleted*")</f>
        <v>0</v>
      </c>
      <c r="ES23" s="54">
        <f t="shared" si="19"/>
        <v>1</v>
      </c>
      <c r="ET23" s="54">
        <f t="shared" si="20"/>
        <v>0</v>
      </c>
      <c r="EU23" s="8">
        <f>COUNTIFS('Raw data'!$D:$D,"*Godwin Mfuri*", 'Raw data'!$Y:$Y,"*1st*",'Raw data'!$I:$I,"*Long Kick*")</f>
        <v>0</v>
      </c>
      <c r="EV23" s="8">
        <f>COUNTIFS('Raw data'!$D:$D,"*Godwin Mfuri*", 'Raw data'!$Y:$Y,"*1st*",'Raw data'!$I:$I,"*Long Kick*",'Raw data'!$M:$M,"*Pass completed*")</f>
        <v>0</v>
      </c>
      <c r="EW23" s="8">
        <f>COUNTIFS('Raw data'!$D:$D,"*Godwin Mfuri*", 'Raw data'!$Y:$Y,"*1st*",'Raw data'!$I:$I,"*Long Kick*",'Raw data'!$M:$M,"*Pass Uncompleted*")</f>
        <v>0</v>
      </c>
      <c r="EX23" s="54" t="str">
        <f t="shared" si="21"/>
        <v>-</v>
      </c>
      <c r="EY23" s="54" t="str">
        <f t="shared" si="22"/>
        <v>-</v>
      </c>
      <c r="EZ23" s="8">
        <f>COUNTIFS('Raw data'!$D:$D,"*Godwin Mfuri*", 'Raw data'!$Y:$Y,"*1st*",'Raw data'!$I:$I,"*Balls in Behind*")</f>
        <v>0</v>
      </c>
      <c r="FA23" s="8">
        <f>COUNTIFS('Raw data'!$D:$D,"*Godwin Mfuri*", 'Raw data'!$Y:$Y,"*1st*",'Raw data'!$I:$I,"*Balls in Behind*",'Raw data'!$M:$M,"*Pass completed*")</f>
        <v>0</v>
      </c>
      <c r="FB23" s="8">
        <f>COUNTIFS('Raw data'!$D:$D,"*Godwin Mfuri*", 'Raw data'!$Y:$Y,"*1st*",'Raw data'!$I:$I,"*Balls in Behind*",'Raw data'!$M:$M,"*Pass Uncompleted*")</f>
        <v>0</v>
      </c>
      <c r="FC23" s="54" t="str">
        <f t="shared" si="23"/>
        <v>-</v>
      </c>
      <c r="FD23" s="54" t="str">
        <f t="shared" si="24"/>
        <v>-</v>
      </c>
      <c r="FE23" s="8">
        <f>COUNTIFS('Raw data'!$D:$D,"*Godwin Mfuri*", 'Raw data'!$Y:$Y,"*1st*",'Raw data'!$I:$I,"*Key/Through pass*")</f>
        <v>2</v>
      </c>
      <c r="FF23" s="8">
        <f>COUNTIFS('Raw data'!$D:$D,"*Godwin Mfuri*", 'Raw data'!$Y:$Y,"*1st*",'Raw data'!$I:$I,"*Diagonal pass*")</f>
        <v>0</v>
      </c>
      <c r="FG23" s="8">
        <f>COUNTIFS('Raw data'!$D:$D,"*Godwin Mfuri*", 'Raw data'!$Y:$Y,"*1st*",'Raw data'!$I:$I,"*Diagonal pass*",'Raw data'!$M:$M,"*Pass completed*")</f>
        <v>0</v>
      </c>
      <c r="FH23" s="8">
        <f>COUNTIFS('Raw data'!$D:$D,"*Godwin Mfuri*", 'Raw data'!$Y:$Y,"*1st*",'Raw data'!$I:$I,"*Diagonal pass*",'Raw data'!$M:$M,"*Pass Uncompleted*")</f>
        <v>0</v>
      </c>
      <c r="FI23" s="54" t="str">
        <f t="shared" si="25"/>
        <v>-</v>
      </c>
      <c r="FJ23" s="54" t="str">
        <f t="shared" si="26"/>
        <v>-</v>
      </c>
      <c r="FK23" s="8">
        <f>COUNTIFS('Raw data'!$D:$D,"*Godwin Mfuri*", 'Raw data'!$Y:$Y,"*1st*",'Raw data'!$M:$M,"*Pass Received*")</f>
        <v>9</v>
      </c>
      <c r="FL23" s="8">
        <f>COUNTIFS('Raw data'!$D:$D,"*Godwin Mfuri*", 'Raw data'!$Y:$Y,"*1st*",'Raw data'!$M:$M,"*Pass Completed*",'Raw data'!$M:$M,"*Pass Received*")</f>
        <v>5</v>
      </c>
      <c r="FM23" s="8">
        <f>COUNTIFS('Raw data'!$D:$D,"*Godwin Mfuri*", 'Raw data'!$Y:$Y,"*1st*",'Raw data'!$M:$M,"*Pass Uncompleted*",'Raw data'!$M:$M,"*Pass Received*")</f>
        <v>1</v>
      </c>
      <c r="FN23" s="8">
        <f>COUNTIFS('Raw data'!$D:$D,"*Godwin Mfuri*", 'Raw data'!$Y:$Y,"*1st*",'Raw data'!$M:$M,"*Kept Possession*",'Raw data'!$M:$M,"*Pass Received*")</f>
        <v>0</v>
      </c>
      <c r="FO23" s="8">
        <f>COUNTIFS('Raw data'!$D:$D,"*Godwin Mfuri*", 'Raw data'!$Y:$Y,"*1st*",'Raw data'!$M:$M,"*Lost Possession*")</f>
        <v>1</v>
      </c>
      <c r="FP23" s="8">
        <f>COUNTIFS('Raw data'!$D:$D,"*Godwin Mfuri*", 'Raw data'!$Y:$Y,"*1st*",'Raw data'!$M:$M,"*Lost Possession*",'Raw data'!$M:$M,"*Lost Final 1/3*")</f>
        <v>1</v>
      </c>
      <c r="FQ23" s="8">
        <f>COUNTIFS('Raw data'!$D:$D,"*Godwin Mfuri*", 'Raw data'!$Y:$Y,"*1st*",'Raw data'!$M:$M,"*Lost Possession*",'Raw data'!$M:$M,"*Lost Middle 1/3*")</f>
        <v>0</v>
      </c>
      <c r="FR23" s="8">
        <f>COUNTIFS('Raw data'!$D:$D,"*Godwin Mfuri*", 'Raw data'!$Y:$Y,"*1st*",'Raw data'!$M:$M,"*Lost Possession*",'Raw data'!$M:$M,"*Lost Own 1/3*")</f>
        <v>0</v>
      </c>
      <c r="FS23" s="8">
        <f>COUNTIFS('Raw data'!$D:$D,"*Godwin Mfuri*", 'Raw data'!$Y:$Y,"*1st*",'Raw data'!$H:$H,"*Touches in the Box*")</f>
        <v>3</v>
      </c>
      <c r="FT23" s="8">
        <f>COUNTIFS('Raw data'!$D:$D,"*Godwin Mfuri*", 'Raw data'!$Y:$Y,"*1st*",'Raw data'!$H:$H,"*1v1 Attack*")</f>
        <v>0</v>
      </c>
      <c r="FU23" s="8">
        <f>COUNTIFS('Raw data'!$D:$D,"*Godwin Mfuri*", 'Raw data'!$Y:$Y,"*1st*",'Raw data'!$H:$H,"*1v1 Attack*",'Raw data'!$H:$H,"*1v1 Attack*",'Raw data'!$M:$M,"*Kept Possession*")</f>
        <v>0</v>
      </c>
      <c r="FV23" s="8">
        <f>COUNTIFS('Raw data'!$D:$D,"*Godwin Mfuri*", 'Raw data'!$Y:$Y,"*1st*",'Raw data'!$H:$H,"*1v1 Attack*",'Raw data'!$H:$H,"*1v1 Attack*",'Raw data'!$M:$M,"*Lost Possession*")</f>
        <v>0</v>
      </c>
      <c r="FW23" s="54" t="str">
        <f t="shared" si="27"/>
        <v>-</v>
      </c>
      <c r="FX23" s="54" t="str">
        <f t="shared" si="28"/>
        <v>-</v>
      </c>
      <c r="FY23" s="8">
        <f>COUNTIFS('Raw data'!$D:$D,"*Godwin Mfuri*", 'Raw data'!$Y:$Y,"*1st*",'Raw data'!$I:$I,"*Cross*")</f>
        <v>0</v>
      </c>
      <c r="FZ23" s="8">
        <f>COUNTIFS('Raw data'!$D:$D,"*Godwin Mfuri*", 'Raw data'!$Y:$Y,"*1st*",'Raw data'!$I:$I,"*Cross*",'Raw data'!$M:$M,"*Pass Completed*")</f>
        <v>0</v>
      </c>
      <c r="GA23" s="8">
        <f>COUNTIFS('Raw data'!$D:$D,"*Godwin Mfuri*", 'Raw data'!$Y:$Y,"*1st*",'Raw data'!$I:$I,"*Cross*",'Raw data'!$M:$M,"*Pass Uncompleted*")</f>
        <v>0</v>
      </c>
      <c r="GB23" s="54" t="str">
        <f t="shared" si="29"/>
        <v>-</v>
      </c>
      <c r="GC23" s="54" t="str">
        <f t="shared" si="30"/>
        <v>-</v>
      </c>
      <c r="GD23" s="8">
        <f t="shared" si="31"/>
        <v>1</v>
      </c>
      <c r="GE23" s="8">
        <f>COUNTIFS('Raw data'!$D:$D,"*Godwin Mfuri*", 'Raw data'!$Y:$Y,"*1st*",'Raw data'!$L:$L,"*On Target*")</f>
        <v>0</v>
      </c>
      <c r="GF23" s="8">
        <f>COUNTIFS('Raw data'!$D:$D,"*Godwin Mfuri*", 'Raw data'!$Y:$Y,"*1st*",'Raw data'!$L:$L,"*Off Target*")</f>
        <v>1</v>
      </c>
      <c r="GG23" s="8">
        <f>COUNTIFS('Raw data'!$D:$D,"*Godwin Mfuri*", 'Raw data'!$Y:$Y,"*1st*",'Raw data'!$L:$L,"*Blocked*")</f>
        <v>0</v>
      </c>
      <c r="GH23" s="8">
        <f>COUNTIFS('Raw data'!$D:$D,"*Godwin Mfuri*", 'Raw data'!$Y:$Y,"*1st*",'Raw data'!$M:$M,"*Goal*")</f>
        <v>0</v>
      </c>
      <c r="GI23" s="8">
        <f>COUNTIFS('Raw data'!$D:$D,"*Godwin Mfuri*", 'Raw data'!$Y:$Y,"*1st*",'Raw data'!$M:$M,"*Assist*")</f>
        <v>1</v>
      </c>
      <c r="GJ23" s="8">
        <f>COUNTIFS('Raw data'!$D:$D,"*Godwin Mfuri*", 'Raw data'!$Y:$Y,"*1st*",'Raw data'!$H:$H,"*Offensive duel*")</f>
        <v>4</v>
      </c>
      <c r="GK23" s="8">
        <f>COUNTIFS('Raw data'!$D:$D,"*Godwin Mfuri*", 'Raw data'!$Y:$Y,"*1st*",'Raw data'!$H:$H,"*Offensive Duel*",'Raw data'!$H:$H,"*Offensive Duel*",'Raw data'!$M:$M,"*Kept Possession*")</f>
        <v>3</v>
      </c>
      <c r="GL23" s="8">
        <f>COUNTIFS('Raw data'!$D:$D,"*Godwin Mfuri*", 'Raw data'!$Y:$Y,"*1st*",'Raw data'!$H:$H,"*Offensive Duel*",'Raw data'!$H:$H,"*Offensive Duel*",'Raw data'!$M:$M,"*Lost Possession*")</f>
        <v>1</v>
      </c>
      <c r="GM23" s="54">
        <f t="shared" si="32"/>
        <v>0.75</v>
      </c>
      <c r="GN23" s="54">
        <f t="shared" si="33"/>
        <v>0.25</v>
      </c>
      <c r="GO23" s="8">
        <f>COUNTIFS('Raw data'!$D:$D,"*Godwin Mfuri*", 'Raw data'!$Y:$Y,"*1st*",'Raw data'!$H:$H,"*Acceleration*")</f>
        <v>0</v>
      </c>
      <c r="GP23" s="8">
        <f>COUNTIFS('Raw data'!$D:$D,"*Godwin Mfuri*", 'Raw data'!$Y:$Y,"*1st*",'Raw data'!$H:$H,"*Move into Pocket*")</f>
        <v>2</v>
      </c>
      <c r="GQ23" s="8">
        <f>COUNTIFS('Raw data'!$D:$D,"*Godwin Mfuri*", 'Raw data'!$Y:$Y,"*1st*",'Raw data'!$H:$H,"*Wide area*")</f>
        <v>0</v>
      </c>
      <c r="GR23" s="8">
        <f>COUNTIFS('Raw data'!$D:$D,"*Godwin Mfuri*", 'Raw data'!$Y:$Y,"*1st*",'Raw data'!$H:$H,"*Back to goal*")</f>
        <v>0</v>
      </c>
      <c r="GS23" s="8">
        <f>COUNTIFS('Raw data'!$D:$D,"*Godwin Mfuri*", 'Raw data'!$Y:$Y,"*1st*",'Raw data'!$H:$H,"*Over/Underlaps*")</f>
        <v>0</v>
      </c>
      <c r="GT23" s="8">
        <f>COUNTIFS('Raw data'!$D:$D,"*Godwin Mfuri*", 'Raw data'!$Y:$Y,"*1st*",'Raw data'!$H:$H,"*Runs in Behind*")</f>
        <v>0</v>
      </c>
      <c r="GU23" s="8">
        <f>COUNTIFS('Raw data'!$D:$D,"*Godwin Mfuri*", 'Raw data'!$Y:$Y,"*1st*",'Raw data'!$H:$H,"*Half-space Runs*")</f>
        <v>0</v>
      </c>
      <c r="GV23" s="8">
        <f t="shared" si="34"/>
        <v>5</v>
      </c>
      <c r="GW23" s="8">
        <f t="shared" si="35"/>
        <v>3</v>
      </c>
      <c r="GX23" s="8">
        <f t="shared" si="36"/>
        <v>2</v>
      </c>
      <c r="GY23" s="54">
        <f t="shared" si="37"/>
        <v>0.6</v>
      </c>
      <c r="GZ23" s="54">
        <f t="shared" si="38"/>
        <v>0.4</v>
      </c>
      <c r="HA23" s="8">
        <f>COUNTIFS('Raw data'!$D:$D,"*Godwin Mfuri*", 'Raw data'!$Y:$Y,"*1st*",'Raw data'!$K:$K,"*Ground duel*")</f>
        <v>1</v>
      </c>
      <c r="HB23" s="8">
        <f>COUNTIFS('Raw data'!$D:$D,"*Godwin Mfuri*", 'Raw data'!$Y:$Y,"*1st*",'Raw data'!$K:$K,"*Ground duel*",'Raw data'!$M:$M,"*Duel Succeeded*")</f>
        <v>0</v>
      </c>
      <c r="HC23" s="8">
        <f>COUNTIFS('Raw data'!$D:$D,"*Godwin Mfuri*", 'Raw data'!$Y:$Y,"*1st*",'Raw data'!$K:$K,"*Ground duel*",'Raw data'!$M:$M,"*Duel Unsucceeded*")</f>
        <v>1</v>
      </c>
      <c r="HD23" s="54">
        <f t="shared" si="39"/>
        <v>0</v>
      </c>
      <c r="HE23" s="54">
        <f t="shared" si="40"/>
        <v>1</v>
      </c>
      <c r="HF23" s="8">
        <f>COUNTIFS('Raw data'!$D:$D,"*Godwin Mfuri*", 'Raw data'!$Y:$Y,"*1st*",'Raw data'!$K:$K,"*Aerial duel*")</f>
        <v>0</v>
      </c>
      <c r="HG23" s="8">
        <f>COUNTIFS('Raw data'!$D:$D,"*Godwin Mfuri*", 'Raw data'!$Y:$Y,"*1st*",'Raw data'!$K:$K,"*Aerial duel*",'Raw data'!$M:$M,"*Duel Succeeded*")</f>
        <v>0</v>
      </c>
      <c r="HH23" s="8">
        <f>COUNTIFS('Raw data'!$D:$D,"*Godwin Mfuri*", 'Raw data'!$Y:$Y,"*1st*",'Raw data'!$K:$K,"*Aerial duel*",'Raw data'!$M:$M,"*Duel Unsucceeded*")</f>
        <v>0</v>
      </c>
      <c r="HI23" s="54" t="str">
        <f t="shared" si="41"/>
        <v>-</v>
      </c>
      <c r="HJ23" s="54" t="str">
        <f t="shared" si="42"/>
        <v>-</v>
      </c>
      <c r="HK23" s="8">
        <f>COUNTIFS('Raw data'!$D:$D,"*Godwin Mfuri*", 'Raw data'!$Y:$Y,"*1st*",'Raw data'!$K:$K,"*1v1 defense*")</f>
        <v>0</v>
      </c>
      <c r="HL23" s="8">
        <f>COUNTIFS('Raw data'!$D:$D,"*Godwin Mfuri*", 'Raw data'!$Y:$Y,"*1st*",'Raw data'!$K:$K,"*1v1 defense*",'Raw data'!$M:$M,"*Duel Succeeded*")</f>
        <v>0</v>
      </c>
      <c r="HM23" s="8">
        <f>COUNTIFS('Raw data'!$D:$D,"*Godwin Mfuri*", 'Raw data'!$Y:$Y,"*1st*",'Raw data'!$K:$K,"*1v1 defense*",'Raw data'!$M:$M,"*Duel Unsucceeded*")</f>
        <v>0</v>
      </c>
      <c r="HN23" s="54" t="str">
        <f t="shared" si="43"/>
        <v>-</v>
      </c>
      <c r="HO23" s="54" t="str">
        <f t="shared" si="44"/>
        <v>-</v>
      </c>
      <c r="HP23" s="8">
        <f>COUNTIFS('Raw data'!$D:$D,"*Godwin Mfuri*", 'Raw data'!$Y:$Y,"*1st*",'Raw data'!$J:$J,"*Tackles*")</f>
        <v>2</v>
      </c>
      <c r="HQ23" s="8">
        <f>COUNTIFS('Raw data'!$D:$D,"*Godwin Mfuri*", 'Raw data'!$Y:$Y,"*1st*",'Raw data'!$J:$J,"*Tackles*", 'Raw data'!$M:$M,"*Duel Succeeded*")</f>
        <v>1</v>
      </c>
      <c r="HR23" s="8">
        <f>COUNTIFS('Raw data'!$D:$D,"*Godwin Mfuri*", 'Raw data'!$Y:$Y,"*1st*",'Raw data'!$J:$J,"*Tackles*", 'Raw data'!$M:$M,"*Duel Unsucceeded*")</f>
        <v>1</v>
      </c>
      <c r="HS23" s="54">
        <f t="shared" si="45"/>
        <v>0.5</v>
      </c>
      <c r="HT23" s="54">
        <f t="shared" si="46"/>
        <v>0.5</v>
      </c>
      <c r="HU23" s="8">
        <f>COUNTIFS('Raw data'!$D:$D,"*Godwin Mfuri*", 'Raw data'!$Y:$Y,"*1st*",'Raw data'!$K:$K,"*2nd Balls*")</f>
        <v>2</v>
      </c>
      <c r="HV23" s="8">
        <f>COUNTIFS('Raw data'!$D:$D,"*Godwin Mfuri*", 'Raw data'!$Y:$Y,"*1st*",'Raw data'!$K:$K,"*2nd Balls*", 'Raw data'!$M:$M,"*Duel Succeeded*")</f>
        <v>2</v>
      </c>
      <c r="HW23" s="8">
        <f>COUNTIFS('Raw data'!$D:$D,"*Godwin Mfuri*", 'Raw data'!$Y:$Y,"*1st*",'Raw data'!$K:$K,"*2nd Balls*", 'Raw data'!$M:$M,"*Duel Unsucceeded*")</f>
        <v>0</v>
      </c>
      <c r="HX23" s="54">
        <f t="shared" si="47"/>
        <v>1</v>
      </c>
      <c r="HY23" s="54">
        <f t="shared" si="48"/>
        <v>0</v>
      </c>
      <c r="HZ23" s="8">
        <f>COUNTIFS('Raw data'!$D:$D,"*Godwin Mfuri*", 'Raw data'!$Y:$Y,"*1st*",'Raw data'!$J:$J,"*Clearance*")</f>
        <v>0</v>
      </c>
      <c r="IA23" s="8">
        <f>COUNTIFS('Raw data'!$D:$D,"*Godwin Mfuri*", 'Raw data'!$Y:$Y,"*1st*",'Raw data'!$J:$J,"*Interception*")</f>
        <v>1</v>
      </c>
      <c r="IB23" s="8">
        <f>COUNTIFS('Raw data'!$D:$D,"*Godwin Mfuri*", 'Raw data'!$Y:$Y,"*1st*",'Raw data'!$J:$J,"*Turnover Won*")</f>
        <v>1</v>
      </c>
      <c r="IC23" s="8">
        <f>COUNTIFS('Raw data'!$D:$D,"*Godwin Mfuri*", 'Raw data'!$Y:$Y,"*1st*",'Raw data'!$J:$J,"*Recovery*")</f>
        <v>0</v>
      </c>
      <c r="ID23" s="8">
        <f>COUNTIFS('Raw data'!$D:$D,"*Godwin Mfuri*", 'Raw data'!$Y:$Y,"*1st*",'Raw data'!$J:$J,"*Blocked Shots*")</f>
        <v>0</v>
      </c>
      <c r="IE23" s="8">
        <f>COUNTIFS('Raw data'!$D:$D,"*Godwin Mfuri*", 'Raw data'!$Y:$Y,"*1st*",'Raw data'!$J:$J,"*Man-marking*")</f>
        <v>0</v>
      </c>
      <c r="IF23" s="8">
        <f>COUNTIFS('Raw data'!$D:$D,"*Godwin Mfuri*", 'Raw data'!$Y:$Y,"*1st*",'Raw data'!$J:$J,"*Fouls*")</f>
        <v>2</v>
      </c>
      <c r="IG23" s="8">
        <f>COUNTIFS('Raw data'!$D:$D,"*Godwin Mfuri*", 'Raw data'!$Y:$Y,"*1st*",'Raw data'!$J:$J,"*Won F*")</f>
        <v>1</v>
      </c>
      <c r="IH23" s="8">
        <f>COUNTIFS('Raw data'!$D:$D,"*Godwin Mfuri*", 'Raw data'!$Y:$Y,"*1st*",'Raw data'!$G:$G,"*1v1*")</f>
        <v>0</v>
      </c>
      <c r="II23" s="8">
        <f>COUNTIFS('Raw data'!$D:$D,"*Godwin Mfuri*", 'Raw data'!$Y:$Y,"*1st*",'Raw data'!$G:$G,"*On Target*")</f>
        <v>0</v>
      </c>
      <c r="IJ23" s="8">
        <f>COUNTIFS('Raw data'!$D:$D,"*Godwin Mfuri*", 'Raw data'!$Y:$Y,"*1st*",'Raw data'!$G:$G,"*Off Target*")</f>
        <v>0</v>
      </c>
      <c r="IK23" s="8">
        <f>COUNTIFS('Raw data'!$D:$D,"*Godwin Mfuri*", 'Raw data'!$Y:$Y,"*1st*",'Raw data'!$G:$G,"*Defend the Space*")</f>
        <v>0</v>
      </c>
      <c r="IL23" s="8">
        <f>COUNTIFS('Raw data'!$D:$D,"*Godwin Mfuri*", 'Raw data'!$Y:$Y,"*1st*",'Raw data'!$G:$G,"*Conceded*")</f>
        <v>0</v>
      </c>
      <c r="IM23" s="8">
        <f>COUNTIFS('Raw data'!$D:$D,"*Godwin Mfuri*", 'Raw data'!$Y:$Y,"*1st*",'Raw data'!$G:$G,"*Save*")</f>
        <v>0</v>
      </c>
      <c r="IN23" s="8">
        <f>COUNTIFS('Raw data'!$D:$D,"*Godwin Mfuri*", 'Raw data'!$Y:$Y,"*1st*",'Raw data'!$G:$G,"*Defend the line (Cross)*")</f>
        <v>0</v>
      </c>
      <c r="IO23" s="8">
        <f>COUNTIFS('Raw data'!$D:$D,"*Godwin Mfuri*", 'Raw data'!$Y:$Y,"*1st*",'Raw data'!$G:$G,"*Counter Kick*")</f>
        <v>0</v>
      </c>
      <c r="IP23" t="s">
        <v>647</v>
      </c>
    </row>
    <row r="24" spans="2:250">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DW24" t="s">
        <v>463</v>
      </c>
      <c r="DX24" t="s">
        <v>761</v>
      </c>
      <c r="DY24">
        <v>40</v>
      </c>
      <c r="DZ24" t="s">
        <v>539</v>
      </c>
      <c r="EA24">
        <f t="shared" ref="EA24" si="54">EB24+EC24</f>
        <v>2</v>
      </c>
      <c r="EB24" s="8">
        <f t="shared" ref="EB24" si="55">EG24+EL24+EQ24</f>
        <v>2</v>
      </c>
      <c r="EC24" s="8">
        <f t="shared" ref="EC24" si="56">EH24+EM24+ER24</f>
        <v>0</v>
      </c>
      <c r="ED24" s="54">
        <f t="shared" ref="ED24" si="57">IFERROR(EB24/$EA24,"-")</f>
        <v>1</v>
      </c>
      <c r="EE24" s="54">
        <f t="shared" ref="EE24" si="58">IFERROR(EC24/$EA24,"-")</f>
        <v>0</v>
      </c>
      <c r="EF24">
        <f t="shared" ref="EF24" si="59">EG24+EH24</f>
        <v>0</v>
      </c>
      <c r="EG24">
        <f>COUNTIFS('Raw data'!$D:$D,"*Harley Moyes*", 'Raw data'!$Y:$Y,"*1st*",'Raw data'!$I:$I,"*Forward Pass*",'Raw data'!$M:$M,"*Pass completed*")</f>
        <v>0</v>
      </c>
      <c r="EH24">
        <f>COUNTIFS('Raw data'!$D:$D,"*Harley Moyes*", 'Raw data'!$Y:$Y,"*1st*",'Raw data'!$I:$I,"*Forward Pass*",'Raw data'!$M:$M,"*Pass Uncompleted*")</f>
        <v>0</v>
      </c>
      <c r="EI24" s="54" t="str">
        <f t="shared" ref="EI24" si="60">IFERROR(EG24/$EF24,"-")</f>
        <v>-</v>
      </c>
      <c r="EJ24" s="54" t="str">
        <f t="shared" ref="EJ24" si="61">IFERROR(EH24/$EF24,"-")</f>
        <v>-</v>
      </c>
      <c r="EK24">
        <f t="shared" ref="EK24" si="62">EL24+EM24</f>
        <v>1</v>
      </c>
      <c r="EL24" s="8">
        <f>COUNTIFS('Raw data'!$D:$D,"*Harley Moyes*", 'Raw data'!$Y:$Y,"*1st*",'Raw data'!$I:$I,"*Lateral Pass*",'Raw data'!$M:$M,"*Pass completed*")</f>
        <v>1</v>
      </c>
      <c r="EM24" s="8">
        <f>COUNTIFS('Raw data'!$D:$D,"*Harley Moyes*", 'Raw data'!$Y:$Y,"*1st*",'Raw data'!$I:$I,"*Lateral Pass*",'Raw data'!$M:$M,"*Pass Uncompleted*")</f>
        <v>0</v>
      </c>
      <c r="EN24" s="54">
        <f t="shared" ref="EN24" si="63">IFERROR(EL24/$EK24,"-")</f>
        <v>1</v>
      </c>
      <c r="EO24" s="54">
        <f t="shared" ref="EO24" si="64">IFERROR(EM24/$EK24,"-")</f>
        <v>0</v>
      </c>
      <c r="EP24">
        <f t="shared" ref="EP24" si="65">EQ24+ER24</f>
        <v>1</v>
      </c>
      <c r="EQ24" s="8">
        <f>COUNTIFS('Raw data'!$D:$D,"*Harley Moyes*", 'Raw data'!$Y:$Y,"*1st*",'Raw data'!$I:$I,"*Backward Pass*",'Raw data'!$M:$M,"*Pass completed*")</f>
        <v>1</v>
      </c>
      <c r="ER24" s="8">
        <f>COUNTIFS('Raw data'!$D:$D,"*Harley Moyes*", 'Raw data'!$Y:$Y,"*1st*",'Raw data'!$I:$I,"*Backward Pass*",'Raw data'!$M:$M,"*Pass Uncompleted*")</f>
        <v>0</v>
      </c>
      <c r="ES24" s="54">
        <f t="shared" ref="ES24" si="66">IFERROR(EQ24/$EQ24,"-")</f>
        <v>1</v>
      </c>
      <c r="ET24" s="54">
        <f t="shared" ref="ET24" si="67">IFERROR(ER24/$EQ24,"-")</f>
        <v>0</v>
      </c>
      <c r="EU24" s="8">
        <f>COUNTIFS('Raw data'!$D:$D,"*Harley Moyes*", 'Raw data'!$Y:$Y,"*1st*",'Raw data'!$I:$I,"*Long Kick*")</f>
        <v>0</v>
      </c>
      <c r="EV24" s="8">
        <f>COUNTIFS('Raw data'!$D:$D,"*Harley Moyes*", 'Raw data'!$Y:$Y,"*1st*",'Raw data'!$I:$I,"*Long Kick*",'Raw data'!$M:$M,"*Pass completed*")</f>
        <v>0</v>
      </c>
      <c r="EW24" s="8">
        <f>COUNTIFS('Raw data'!$D:$D,"*Harley Moyes*", 'Raw data'!$Y:$Y,"*1st*",'Raw data'!$I:$I,"*Long Kick*",'Raw data'!$M:$M,"*Pass Uncompleted*")</f>
        <v>0</v>
      </c>
      <c r="EX24" s="54" t="str">
        <f t="shared" ref="EX24" si="68">IFERROR(EV24/$EU24,"-")</f>
        <v>-</v>
      </c>
      <c r="EY24" s="54" t="str">
        <f t="shared" ref="EY24" si="69">IFERROR(EW24/$EU24,"-")</f>
        <v>-</v>
      </c>
      <c r="EZ24" s="8">
        <f>COUNTIFS('Raw data'!$D:$D,"*Harley Moyes*", 'Raw data'!$Y:$Y,"*1st*",'Raw data'!$I:$I,"*Balls in Behind*")</f>
        <v>0</v>
      </c>
      <c r="FA24" s="8">
        <f>COUNTIFS('Raw data'!$D:$D,"*Harley Moyes*", 'Raw data'!$Y:$Y,"*1st*",'Raw data'!$I:$I,"*Balls in Behind*",'Raw data'!$M:$M,"*Pass completed*")</f>
        <v>0</v>
      </c>
      <c r="FB24" s="8">
        <f>COUNTIFS('Raw data'!$D:$D,"*Harley Moyes*", 'Raw data'!$Y:$Y,"*1st*",'Raw data'!$I:$I,"*Balls in Behind*",'Raw data'!$M:$M,"*Pass Uncompleted*")</f>
        <v>0</v>
      </c>
      <c r="FC24" s="54" t="str">
        <f t="shared" ref="FC24" si="70">IFERROR(FA24/$EZ24,"-")</f>
        <v>-</v>
      </c>
      <c r="FD24" s="54" t="str">
        <f t="shared" ref="FD24" si="71">IFERROR(FB24/$EZ24,"-")</f>
        <v>-</v>
      </c>
      <c r="FE24" s="8">
        <f>COUNTIFS('Raw data'!$D:$D,"*Harley Moyes*", 'Raw data'!$Y:$Y,"*1st*",'Raw data'!$I:$I,"*Key/Through pass*")</f>
        <v>0</v>
      </c>
      <c r="FF24" s="8">
        <f>COUNTIFS('Raw data'!$D:$D,"*Harley Moyes*", 'Raw data'!$Y:$Y,"*1st*",'Raw data'!$I:$I,"*Diagonal pass*")</f>
        <v>0</v>
      </c>
      <c r="FG24" s="8">
        <f>COUNTIFS('Raw data'!$D:$D,"*Harley Moyes*", 'Raw data'!$Y:$Y,"*1st*",'Raw data'!$I:$I,"*Diagonal pass*",'Raw data'!$M:$M,"*Pass completed*")</f>
        <v>0</v>
      </c>
      <c r="FH24" s="8">
        <f>COUNTIFS('Raw data'!$D:$D,"*Harley Moyes*", 'Raw data'!$Y:$Y,"*1st*",'Raw data'!$I:$I,"*Diagonal pass*",'Raw data'!$M:$M,"*Pass Uncompleted*")</f>
        <v>0</v>
      </c>
      <c r="FI24" s="54" t="str">
        <f t="shared" ref="FI24" si="72">IFERROR(FG24/$FF24,"-")</f>
        <v>-</v>
      </c>
      <c r="FJ24" s="54" t="str">
        <f t="shared" ref="FJ24" si="73">IFERROR(FH24/$FF24,"-")</f>
        <v>-</v>
      </c>
      <c r="FK24" s="8">
        <f>COUNTIFS('Raw data'!$D:$D,"*Harley Moyes*", 'Raw data'!$Y:$Y,"*1st*",'Raw data'!$M:$M,"*Pass Received*")</f>
        <v>3</v>
      </c>
      <c r="FL24" s="8">
        <f>COUNTIFS('Raw data'!$D:$D,"*Harley Moyes*", 'Raw data'!$Y:$Y,"*1st*",'Raw data'!$M:$M,"*Pass Completed*",'Raw data'!$M:$M,"*Pass Received*")</f>
        <v>2</v>
      </c>
      <c r="FM24" s="8">
        <f>COUNTIFS('Raw data'!$D:$D,"*Harley Moyes*", 'Raw data'!$Y:$Y,"*1st*",'Raw data'!$M:$M,"*Pass Uncompleted*",'Raw data'!$M:$M,"*Pass Received*")</f>
        <v>0</v>
      </c>
      <c r="FN24" s="8">
        <f>COUNTIFS('Raw data'!$D:$D,"*Harley Moyes*", 'Raw data'!$Y:$Y,"*1st*",'Raw data'!$M:$M,"*Kept Possession*",'Raw data'!$M:$M,"*Pass Received*")</f>
        <v>0</v>
      </c>
      <c r="FO24" s="8">
        <f>COUNTIFS('Raw data'!$D:$D,"*Harley Moyes*", 'Raw data'!$Y:$Y,"*1st*",'Raw data'!$M:$M,"*Lost Possession*")</f>
        <v>1</v>
      </c>
      <c r="FP24" s="8">
        <f>COUNTIFS('Raw data'!$D:$D,"*Harley Moyes*", 'Raw data'!$Y:$Y,"*1st*",'Raw data'!$M:$M,"*Lost Possession*",'Raw data'!$M:$M,"*Lost Final 1/3*")</f>
        <v>0</v>
      </c>
      <c r="FQ24" s="8">
        <f>COUNTIFS('Raw data'!$D:$D,"*Harley Moyes*", 'Raw data'!$Y:$Y,"*1st*",'Raw data'!$M:$M,"*Lost Possession*",'Raw data'!$M:$M,"*Lost Middle 1/3*")</f>
        <v>1</v>
      </c>
      <c r="FR24" s="8">
        <f>COUNTIFS('Raw data'!$D:$D,"*Harley Moyes*", 'Raw data'!$Y:$Y,"*1st*",'Raw data'!$M:$M,"*Lost Possession*",'Raw data'!$M:$M,"*Lost Own 1/3*")</f>
        <v>0</v>
      </c>
      <c r="FS24" s="8">
        <f>COUNTIFS('Raw data'!$D:$D,"*Harley Moyes*", 'Raw data'!$Y:$Y,"*1st*",'Raw data'!$H:$H,"*Touches in the Box*")</f>
        <v>0</v>
      </c>
      <c r="FT24" s="8">
        <f>COUNTIFS('Raw data'!$D:$D,"*Harley Moyes*", 'Raw data'!$Y:$Y,"*1st*",'Raw data'!$H:$H,"*1v1 Attack*")</f>
        <v>0</v>
      </c>
      <c r="FU24" s="8">
        <f>COUNTIFS('Raw data'!$D:$D,"*Harley Moyes*", 'Raw data'!$Y:$Y,"*1st*",'Raw data'!$H:$H,"*1v1 Attack*",'Raw data'!$H:$H,"*1v1 Attack*",'Raw data'!$M:$M,"*Kept Possession*")</f>
        <v>0</v>
      </c>
      <c r="FV24" s="8">
        <f>COUNTIFS('Raw data'!$D:$D,"*Harley Moyes*", 'Raw data'!$Y:$Y,"*1st*",'Raw data'!$H:$H,"*1v1 Attack*",'Raw data'!$H:$H,"*1v1 Attack*",'Raw data'!$M:$M,"*Lost Possession*")</f>
        <v>0</v>
      </c>
      <c r="FW24" s="54" t="str">
        <f t="shared" ref="FW24" si="74">IFERROR(FU24/$FT24,"-")</f>
        <v>-</v>
      </c>
      <c r="FX24" s="54" t="str">
        <f t="shared" ref="FX24" si="75">IFERROR(FV24/$FT24,"-")</f>
        <v>-</v>
      </c>
      <c r="FY24" s="8">
        <f>COUNTIFS('Raw data'!$D:$D,"*Harley Moyes*", 'Raw data'!$Y:$Y,"*1st*",'Raw data'!$I:$I,"*Cross*")</f>
        <v>0</v>
      </c>
      <c r="FZ24" s="8">
        <f>COUNTIFS('Raw data'!$D:$D,"*Harley Moyes*", 'Raw data'!$Y:$Y,"*1st*",'Raw data'!$I:$I,"*Cross*",'Raw data'!$M:$M,"*Pass Completed*")</f>
        <v>0</v>
      </c>
      <c r="GA24" s="8">
        <f>COUNTIFS('Raw data'!$D:$D,"*Harley Moyes*", 'Raw data'!$Y:$Y,"*1st*",'Raw data'!$I:$I,"*Cross*",'Raw data'!$M:$M,"*Pass Uncompleted*")</f>
        <v>0</v>
      </c>
      <c r="GB24" s="54" t="str">
        <f t="shared" ref="GB24" si="76">IFERROR(FZ24/$FY24,"-")</f>
        <v>-</v>
      </c>
      <c r="GC24" s="54" t="str">
        <f t="shared" ref="GC24" si="77">IFERROR(GA24/$FY24,"-")</f>
        <v>-</v>
      </c>
      <c r="GD24" s="8">
        <f t="shared" ref="GD24" si="78">SUM(GE24:GG24)</f>
        <v>4</v>
      </c>
      <c r="GE24" s="8">
        <f>COUNTIFS('Raw data'!$D:$D,"*Harley Moyes*", 'Raw data'!$Y:$Y,"*1st*",'Raw data'!$L:$L,"*On Target*")</f>
        <v>1</v>
      </c>
      <c r="GF24" s="8">
        <f>COUNTIFS('Raw data'!$D:$D,"*Harley Moyes*", 'Raw data'!$Y:$Y,"*1st*",'Raw data'!$L:$L,"*Off Target*")</f>
        <v>2</v>
      </c>
      <c r="GG24" s="8">
        <f>COUNTIFS('Raw data'!$D:$D,"*Harley Moyes*", 'Raw data'!$Y:$Y,"*1st*",'Raw data'!$L:$L,"*Blocked*")</f>
        <v>1</v>
      </c>
      <c r="GH24" s="8">
        <f>COUNTIFS('Raw data'!$D:$D,"*Harley Moyes*", 'Raw data'!$Y:$Y,"*1st*",'Raw data'!$M:$M,"*Goal*")</f>
        <v>1</v>
      </c>
      <c r="GI24" s="8">
        <f>COUNTIFS('Raw data'!$D:$D,"*Harley Moyes*", 'Raw data'!$Y:$Y,"*1st*",'Raw data'!$M:$M,"*Assist*")</f>
        <v>0</v>
      </c>
      <c r="GJ24" s="8">
        <f>COUNTIFS('Raw data'!$D:$D,"*Harley Moyes*", 'Raw data'!$Y:$Y,"*1st*",'Raw data'!$H:$H,"*Offensive duel*")</f>
        <v>0</v>
      </c>
      <c r="GK24" s="8">
        <f>COUNTIFS('Raw data'!$D:$D,"*Harley Moyes*", 'Raw data'!$Y:$Y,"*1st*",'Raw data'!$H:$H,"*Offensive Duel*",'Raw data'!$H:$H,"*Offensive Duel*",'Raw data'!$M:$M,"*Kept Possession*")</f>
        <v>0</v>
      </c>
      <c r="GL24" s="8">
        <f>COUNTIFS('Raw data'!$D:$D,"*Harley Moyes*", 'Raw data'!$Y:$Y,"*1st*",'Raw data'!$H:$H,"*Offensive Duel*",'Raw data'!$H:$H,"*Offensive Duel*",'Raw data'!$M:$M,"*Lost Possession*")</f>
        <v>0</v>
      </c>
      <c r="GM24" s="54" t="str">
        <f t="shared" ref="GM24" si="79">IFERROR(GK24/$GJ24,"-")</f>
        <v>-</v>
      </c>
      <c r="GN24" s="54" t="str">
        <f t="shared" ref="GN24" si="80">IFERROR(GL24/$GJ24,"-")</f>
        <v>-</v>
      </c>
      <c r="GO24" s="8">
        <f>COUNTIFS('Raw data'!$D:$D,"*Harley Moyes*", 'Raw data'!$Y:$Y,"*1st*",'Raw data'!$H:$H,"*Acceleration*")</f>
        <v>0</v>
      </c>
      <c r="GP24" s="8">
        <f>COUNTIFS('Raw data'!$D:$D,"*Harley Moyes*", 'Raw data'!$Y:$Y,"*1st*",'Raw data'!$H:$H,"*Move into Pocket*")</f>
        <v>2</v>
      </c>
      <c r="GQ24" s="8">
        <f>COUNTIFS('Raw data'!$D:$D,"*Harley Moyes*", 'Raw data'!$Y:$Y,"*1st*",'Raw data'!$H:$H,"*Wide area*")</f>
        <v>0</v>
      </c>
      <c r="GR24" s="8">
        <f>COUNTIFS('Raw data'!$D:$D,"*Harley Moyes*", 'Raw data'!$Y:$Y,"*1st*",'Raw data'!$H:$H,"*Back to goal*")</f>
        <v>0</v>
      </c>
      <c r="GS24" s="8">
        <f>COUNTIFS('Raw data'!$D:$D,"*Harley Moyes*", 'Raw data'!$Y:$Y,"*1st*",'Raw data'!$H:$H,"*Over/Underlaps*")</f>
        <v>0</v>
      </c>
      <c r="GT24" s="8">
        <f>COUNTIFS('Raw data'!$D:$D,"*Harley Moyes*", 'Raw data'!$Y:$Y,"*1st*",'Raw data'!$H:$H,"*Runs in Behind*")</f>
        <v>0</v>
      </c>
      <c r="GU24" s="8">
        <f>COUNTIFS('Raw data'!$D:$D,"*Harley Moyes*", 'Raw data'!$Y:$Y,"*1st*",'Raw data'!$H:$H,"*Half-space Runs*")</f>
        <v>0</v>
      </c>
      <c r="GV24" s="8">
        <f t="shared" ref="GV24" si="81">SUM(GJ24,HA24,HF24)</f>
        <v>2</v>
      </c>
      <c r="GW24" s="8">
        <f t="shared" ref="GW24" si="82">SUM(GK24,HB24,HG24)</f>
        <v>0</v>
      </c>
      <c r="GX24" s="8">
        <f t="shared" ref="GX24" si="83">SUM(GL24,HC24,HH24)</f>
        <v>2</v>
      </c>
      <c r="GY24" s="54">
        <f t="shared" ref="GY24" si="84">IFERROR(GW24/$GV24,"-")</f>
        <v>0</v>
      </c>
      <c r="GZ24" s="54">
        <f t="shared" ref="GZ24" si="85">IFERROR(GX24/$GV24,"-")</f>
        <v>1</v>
      </c>
      <c r="HA24" s="8">
        <f>COUNTIFS('Raw data'!$D:$D,"*Harley Moyes*", 'Raw data'!$Y:$Y,"*1st*",'Raw data'!$K:$K,"*Ground duel*")</f>
        <v>2</v>
      </c>
      <c r="HB24" s="8">
        <f>COUNTIFS('Raw data'!$D:$D,"*Harley Moyes*", 'Raw data'!$Y:$Y,"*1st*",'Raw data'!$K:$K,"*Ground duel*",'Raw data'!$M:$M,"*Duel Succeeded*")</f>
        <v>0</v>
      </c>
      <c r="HC24" s="8">
        <f>COUNTIFS('Raw data'!$D:$D,"*Harley Moyes*", 'Raw data'!$Y:$Y,"*1st*",'Raw data'!$K:$K,"*Ground duel*",'Raw data'!$M:$M,"*Duel Unsucceeded*")</f>
        <v>2</v>
      </c>
      <c r="HD24" s="54">
        <f t="shared" ref="HD24" si="86">IFERROR(HB24/$HA24,"-")</f>
        <v>0</v>
      </c>
      <c r="HE24" s="54">
        <f t="shared" ref="HE24" si="87">IFERROR(HC24/$HA24,"-")</f>
        <v>1</v>
      </c>
      <c r="HF24" s="8">
        <f>COUNTIFS('Raw data'!$D:$D,"*Harley Moyes*", 'Raw data'!$Y:$Y,"*1st*",'Raw data'!$K:$K,"*Aerial duel*")</f>
        <v>0</v>
      </c>
      <c r="HG24" s="8">
        <f>COUNTIFS('Raw data'!$D:$D,"*Harley Moyes*", 'Raw data'!$Y:$Y,"*1st*",'Raw data'!$K:$K,"*Aerial duel*",'Raw data'!$M:$M,"*Duel Succeeded*")</f>
        <v>0</v>
      </c>
      <c r="HH24" s="8">
        <f>COUNTIFS('Raw data'!$D:$D,"*Harley Moyes*", 'Raw data'!$Y:$Y,"*1st*",'Raw data'!$K:$K,"*Aerial duel*",'Raw data'!$M:$M,"*Duel Unsucceeded*")</f>
        <v>0</v>
      </c>
      <c r="HI24" s="54" t="str">
        <f t="shared" ref="HI24" si="88">IFERROR(HG24/$HG24,"-")</f>
        <v>-</v>
      </c>
      <c r="HJ24" s="54" t="str">
        <f t="shared" ref="HJ24" si="89">IFERROR(HH24/$HG24,"-")</f>
        <v>-</v>
      </c>
      <c r="HK24" s="8">
        <f>COUNTIFS('Raw data'!$D:$D,"*Harley Moyes*", 'Raw data'!$Y:$Y,"*1st*",'Raw data'!$K:$K,"*1v1 defense*")</f>
        <v>0</v>
      </c>
      <c r="HL24" s="8">
        <f>COUNTIFS('Raw data'!$D:$D,"*Harley Moyes*", 'Raw data'!$Y:$Y,"*1st*",'Raw data'!$K:$K,"*1v1 defense*",'Raw data'!$M:$M,"*Duel Succeeded*")</f>
        <v>0</v>
      </c>
      <c r="HM24" s="8">
        <f>COUNTIFS('Raw data'!$D:$D,"*Harley Moyes*", 'Raw data'!$Y:$Y,"*1st*",'Raw data'!$K:$K,"*1v1 defense*",'Raw data'!$M:$M,"*Duel Unsucceeded*")</f>
        <v>0</v>
      </c>
      <c r="HN24" s="54" t="str">
        <f t="shared" ref="HN24" si="90">IFERROR(HL24/$HK24,"-")</f>
        <v>-</v>
      </c>
      <c r="HO24" s="54" t="str">
        <f t="shared" ref="HO24" si="91">IFERROR(HM24/$HK24,"-")</f>
        <v>-</v>
      </c>
      <c r="HP24" s="8">
        <f>COUNTIFS('Raw data'!$D:$D,"*Harley Moyes*", 'Raw data'!$Y:$Y,"*1st*",'Raw data'!$J:$J,"*Tackles*")</f>
        <v>0</v>
      </c>
      <c r="HQ24" s="8">
        <f>COUNTIFS('Raw data'!$D:$D,"*Harley Moyes*", 'Raw data'!$Y:$Y,"*1st*",'Raw data'!$J:$J,"*Tackles*", 'Raw data'!$M:$M,"*Duel Succeeded*")</f>
        <v>0</v>
      </c>
      <c r="HR24" s="8">
        <f>COUNTIFS('Raw data'!$D:$D,"*Harley Moyes*", 'Raw data'!$Y:$Y,"*1st*",'Raw data'!$J:$J,"*Tackles*", 'Raw data'!$M:$M,"*Duel Unsucceeded*")</f>
        <v>0</v>
      </c>
      <c r="HS24" s="54" t="str">
        <f t="shared" ref="HS24" si="92">IFERROR(HQ24/$HP24,"-")</f>
        <v>-</v>
      </c>
      <c r="HT24" s="54" t="str">
        <f t="shared" ref="HT24" si="93">IFERROR(HR24/$HP24,"-")</f>
        <v>-</v>
      </c>
      <c r="HU24" s="8">
        <f>COUNTIFS('Raw data'!$D:$D,"*Harley Moyes*", 'Raw data'!$Y:$Y,"*1st*",'Raw data'!$K:$K,"*2nd Balls*")</f>
        <v>0</v>
      </c>
      <c r="HV24" s="8">
        <f>COUNTIFS('Raw data'!$D:$D,"*Harley Moyes*", 'Raw data'!$Y:$Y,"*1st*",'Raw data'!$K:$K,"*2nd Balls*", 'Raw data'!$M:$M,"*Duel Succeeded*")</f>
        <v>0</v>
      </c>
      <c r="HW24" s="8">
        <f>COUNTIFS('Raw data'!$D:$D,"*Harley Moyes*", 'Raw data'!$Y:$Y,"*1st*",'Raw data'!$K:$K,"*2nd Balls*", 'Raw data'!$M:$M,"*Duel Unsucceeded*")</f>
        <v>0</v>
      </c>
      <c r="HX24" s="54" t="str">
        <f t="shared" ref="HX24" si="94">IFERROR(HV24/$HU24,"-")</f>
        <v>-</v>
      </c>
      <c r="HY24" s="54" t="str">
        <f t="shared" ref="HY24" si="95">IFERROR(HW24/$HU24,"-")</f>
        <v>-</v>
      </c>
      <c r="HZ24" s="8">
        <f>COUNTIFS('Raw data'!$D:$D,"*Harley Moyes*", 'Raw data'!$Y:$Y,"*1st*",'Raw data'!$J:$J,"*Clearance*")</f>
        <v>0</v>
      </c>
      <c r="IA24" s="8">
        <f>COUNTIFS('Raw data'!$D:$D,"*Harley Moyes*", 'Raw data'!$Y:$Y,"*1st*",'Raw data'!$J:$J,"*Interception*")</f>
        <v>1</v>
      </c>
      <c r="IB24" s="8">
        <f>COUNTIFS('Raw data'!$D:$D,"*Harley Moyes*", 'Raw data'!$Y:$Y,"*1st*",'Raw data'!$J:$J,"*Turnover Won*")</f>
        <v>1</v>
      </c>
      <c r="IC24" s="8">
        <f>COUNTIFS('Raw data'!$D:$D,"*Harley Moyes*", 'Raw data'!$Y:$Y,"*1st*",'Raw data'!$J:$J,"*Recovery*")</f>
        <v>0</v>
      </c>
      <c r="ID24" s="8">
        <f>COUNTIFS('Raw data'!$D:$D,"*Harley Moyes*", 'Raw data'!$Y:$Y,"*1st*",'Raw data'!$J:$J,"*Blocked Shots*")</f>
        <v>0</v>
      </c>
      <c r="IE24" s="8">
        <f>COUNTIFS('Raw data'!$D:$D,"*Harley Moyes*", 'Raw data'!$Y:$Y,"*1st*",'Raw data'!$J:$J,"*Man-marking*")</f>
        <v>0</v>
      </c>
      <c r="IF24" s="8">
        <f>COUNTIFS('Raw data'!$D:$D,"*Harley Moyes*", 'Raw data'!$Y:$Y,"*1st*",'Raw data'!$J:$J,"*Fouls*")</f>
        <v>0</v>
      </c>
      <c r="IG24" s="8">
        <f>COUNTIFS('Raw data'!$D:$D,"*Harley Moyes*", 'Raw data'!$Y:$Y,"*1st*",'Raw data'!$J:$J,"*Won F*")</f>
        <v>0</v>
      </c>
      <c r="IH24" s="8">
        <f>COUNTIFS('Raw data'!$D:$D,"*Harley Moyes*", 'Raw data'!$Y:$Y,"*1st*",'Raw data'!$G:$G,"*1v1*")</f>
        <v>0</v>
      </c>
      <c r="II24" s="8">
        <f>COUNTIFS('Raw data'!$D:$D,"*Harley Moyes*", 'Raw data'!$Y:$Y,"*1st*",'Raw data'!$G:$G,"*On Target*")</f>
        <v>0</v>
      </c>
      <c r="IJ24" s="8">
        <f>COUNTIFS('Raw data'!$D:$D,"*Harley Moyes*", 'Raw data'!$Y:$Y,"*1st*",'Raw data'!$G:$G,"*Off Target*")</f>
        <v>0</v>
      </c>
      <c r="IK24" s="8">
        <f>COUNTIFS('Raw data'!$D:$D,"*Harley Moyes*", 'Raw data'!$Y:$Y,"*1st*",'Raw data'!$G:$G,"*Defend the Space*")</f>
        <v>0</v>
      </c>
      <c r="IL24" s="8">
        <f>COUNTIFS('Raw data'!$D:$D,"*Harley Moyes*", 'Raw data'!$Y:$Y,"*1st*",'Raw data'!$G:$G,"*Conceded*")</f>
        <v>0</v>
      </c>
      <c r="IM24" s="8">
        <f>COUNTIFS('Raw data'!$D:$D,"*Harley Moyes*", 'Raw data'!$Y:$Y,"*1st*",'Raw data'!$G:$G,"*Save*")</f>
        <v>0</v>
      </c>
      <c r="IN24" s="8">
        <f>COUNTIFS('Raw data'!$D:$D,"*Harley Moyes*", 'Raw data'!$Y:$Y,"*1st*",'Raw data'!$G:$G,"*Defend the line (Cross)*")</f>
        <v>0</v>
      </c>
      <c r="IO24" s="8">
        <f>COUNTIFS('Raw data'!$D:$D,"*Harley Moyes*", 'Raw data'!$Y:$Y,"*1st*",'Raw data'!$G:$G,"*Counter Kick*")</f>
        <v>0</v>
      </c>
      <c r="IP24" t="s">
        <v>761</v>
      </c>
    </row>
    <row r="25" spans="2:250">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ED25" s="54"/>
      <c r="EE25" s="54"/>
      <c r="EI25" s="54"/>
      <c r="EJ25" s="54"/>
      <c r="EK25" s="8"/>
      <c r="EL25" s="8"/>
      <c r="EM25" s="8"/>
      <c r="EN25" s="54"/>
      <c r="EO25" s="54"/>
      <c r="EP25" s="8"/>
      <c r="EQ25" s="8"/>
      <c r="ER25" s="8"/>
      <c r="ES25" s="54"/>
      <c r="ET25" s="54"/>
      <c r="EU25" s="8"/>
      <c r="EV25" s="8"/>
      <c r="EW25" s="8"/>
      <c r="EX25" s="54"/>
      <c r="EY25" s="54"/>
      <c r="EZ25" s="8"/>
      <c r="FA25" s="8"/>
      <c r="FB25" s="8"/>
      <c r="FC25" s="54"/>
      <c r="FD25" s="54"/>
      <c r="FE25" s="8"/>
      <c r="FF25" s="8"/>
      <c r="FG25" s="8"/>
      <c r="FH25" s="8"/>
      <c r="FI25" s="54"/>
      <c r="FJ25" s="54"/>
      <c r="FK25" s="54"/>
      <c r="FL25" s="54"/>
      <c r="FM25" s="54"/>
      <c r="FN25" s="8"/>
      <c r="FO25" s="8"/>
      <c r="FP25" s="8"/>
      <c r="FQ25" s="8"/>
      <c r="FR25" s="8"/>
      <c r="FS25" s="8"/>
      <c r="FT25" s="8"/>
      <c r="FU25" s="8"/>
      <c r="FV25" s="8"/>
      <c r="FW25" s="54"/>
      <c r="FX25" s="54"/>
      <c r="FY25" s="8"/>
      <c r="FZ25" s="8"/>
      <c r="GA25" s="8"/>
      <c r="GB25" s="54"/>
      <c r="GC25" s="54"/>
      <c r="GD25" s="8"/>
      <c r="GE25" s="8"/>
      <c r="GF25" s="8"/>
      <c r="GG25" s="8"/>
      <c r="GH25" s="8"/>
      <c r="GI25" s="8"/>
      <c r="GJ25" s="8"/>
      <c r="GK25" s="8"/>
      <c r="GL25" s="8"/>
      <c r="GM25" s="54"/>
      <c r="GN25" s="54"/>
      <c r="GO25" s="8"/>
      <c r="GP25" s="54"/>
      <c r="GQ25" s="54"/>
      <c r="GR25" s="54"/>
      <c r="GS25" s="54"/>
      <c r="GT25" s="54"/>
      <c r="GU25" s="54"/>
      <c r="GV25" s="8"/>
      <c r="GW25" s="8"/>
      <c r="GX25" s="8"/>
      <c r="GY25" s="54"/>
      <c r="GZ25" s="54"/>
      <c r="HA25" s="8"/>
      <c r="HB25" s="8"/>
      <c r="HC25" s="8"/>
      <c r="HD25" s="54"/>
      <c r="HE25" s="54"/>
      <c r="HF25" s="8"/>
      <c r="HG25" s="8"/>
      <c r="HH25" s="8"/>
      <c r="HI25" s="54"/>
      <c r="HJ25" s="54"/>
      <c r="HK25" s="8"/>
      <c r="HL25" s="8"/>
      <c r="HM25" s="8"/>
      <c r="HN25" s="54"/>
      <c r="HO25" s="54"/>
      <c r="HP25" s="8"/>
      <c r="HQ25" s="8"/>
      <c r="HR25" s="8"/>
      <c r="HS25" s="54"/>
      <c r="HT25" s="54"/>
      <c r="HU25" s="8"/>
      <c r="HV25" s="8"/>
      <c r="HW25" s="8"/>
      <c r="HX25" s="54"/>
      <c r="HY25" s="54"/>
      <c r="HZ25" s="8"/>
      <c r="IA25" s="8"/>
      <c r="IB25" s="8"/>
      <c r="IC25" s="8"/>
      <c r="ID25" s="8"/>
      <c r="IE25" s="8"/>
      <c r="IF25" s="8"/>
      <c r="IG25" s="8"/>
      <c r="IH25" s="8"/>
      <c r="II25" s="8"/>
      <c r="IJ25" s="8"/>
      <c r="IK25" s="8"/>
      <c r="IL25" s="8"/>
      <c r="IM25" s="8"/>
    </row>
    <row r="26" spans="2:250">
      <c r="DW26" t="s">
        <v>465</v>
      </c>
      <c r="DX26" t="s">
        <v>140</v>
      </c>
      <c r="DY26" t="s">
        <v>542</v>
      </c>
      <c r="DZ26" t="s">
        <v>151</v>
      </c>
      <c r="EA26" s="2" t="s">
        <v>233</v>
      </c>
      <c r="EB26" s="2" t="s">
        <v>234</v>
      </c>
      <c r="EC26" s="2" t="s">
        <v>235</v>
      </c>
      <c r="ED26" s="2" t="s">
        <v>502</v>
      </c>
      <c r="EE26" s="2" t="s">
        <v>503</v>
      </c>
      <c r="EF26" s="2" t="s">
        <v>236</v>
      </c>
      <c r="EG26" s="2" t="s">
        <v>237</v>
      </c>
      <c r="EH26" s="2" t="s">
        <v>238</v>
      </c>
      <c r="EI26" s="2" t="s">
        <v>504</v>
      </c>
      <c r="EJ26" s="2" t="s">
        <v>505</v>
      </c>
      <c r="EK26" s="2" t="s">
        <v>239</v>
      </c>
      <c r="EL26" s="35" t="s">
        <v>240</v>
      </c>
      <c r="EM26" s="2" t="s">
        <v>241</v>
      </c>
      <c r="EN26" s="35" t="s">
        <v>506</v>
      </c>
      <c r="EO26" s="2" t="s">
        <v>507</v>
      </c>
      <c r="EP26" s="2" t="s">
        <v>242</v>
      </c>
      <c r="EQ26" s="2" t="s">
        <v>243</v>
      </c>
      <c r="ER26" s="2" t="s">
        <v>244</v>
      </c>
      <c r="ES26" s="2" t="s">
        <v>508</v>
      </c>
      <c r="ET26" s="2" t="s">
        <v>509</v>
      </c>
      <c r="EU26" s="2" t="s">
        <v>251</v>
      </c>
      <c r="EV26" s="2" t="s">
        <v>252</v>
      </c>
      <c r="EW26" s="2" t="s">
        <v>253</v>
      </c>
      <c r="EX26" s="2" t="s">
        <v>510</v>
      </c>
      <c r="EY26" s="2" t="s">
        <v>511</v>
      </c>
      <c r="EZ26" s="2" t="s">
        <v>257</v>
      </c>
      <c r="FA26" s="2" t="s">
        <v>258</v>
      </c>
      <c r="FB26" s="2" t="s">
        <v>259</v>
      </c>
      <c r="FC26" s="2" t="s">
        <v>512</v>
      </c>
      <c r="FD26" s="2" t="s">
        <v>513</v>
      </c>
      <c r="FE26" s="2" t="s">
        <v>260</v>
      </c>
      <c r="FF26" s="2" t="s">
        <v>261</v>
      </c>
      <c r="FG26" s="2" t="s">
        <v>262</v>
      </c>
      <c r="FH26" s="2" t="s">
        <v>263</v>
      </c>
      <c r="FI26" s="2" t="s">
        <v>514</v>
      </c>
      <c r="FJ26" s="2" t="s">
        <v>515</v>
      </c>
      <c r="FK26" s="2" t="s">
        <v>547</v>
      </c>
      <c r="FL26" s="2" t="s">
        <v>661</v>
      </c>
      <c r="FM26" s="2" t="s">
        <v>663</v>
      </c>
      <c r="FN26" s="2" t="s">
        <v>245</v>
      </c>
      <c r="FO26" s="2" t="s">
        <v>246</v>
      </c>
      <c r="FP26" s="2" t="s">
        <v>247</v>
      </c>
      <c r="FQ26" s="2" t="s">
        <v>248</v>
      </c>
      <c r="FR26" s="2" t="s">
        <v>249</v>
      </c>
      <c r="FS26" s="2" t="s">
        <v>177</v>
      </c>
      <c r="FT26" s="2" t="s">
        <v>250</v>
      </c>
      <c r="FU26" s="2" t="s">
        <v>548</v>
      </c>
      <c r="FV26" s="2" t="s">
        <v>549</v>
      </c>
      <c r="FW26" s="2" t="s">
        <v>516</v>
      </c>
      <c r="FX26" s="2" t="s">
        <v>517</v>
      </c>
      <c r="FY26" s="2" t="s">
        <v>254</v>
      </c>
      <c r="FZ26" s="2" t="s">
        <v>255</v>
      </c>
      <c r="GA26" s="2" t="s">
        <v>256</v>
      </c>
      <c r="GB26" s="2" t="s">
        <v>518</v>
      </c>
      <c r="GC26" s="2" t="s">
        <v>519</v>
      </c>
      <c r="GD26" s="2" t="s">
        <v>150</v>
      </c>
      <c r="GE26" s="2" t="s">
        <v>38</v>
      </c>
      <c r="GF26" s="2" t="s">
        <v>39</v>
      </c>
      <c r="GG26" s="2" t="s">
        <v>37</v>
      </c>
      <c r="GH26" s="2" t="s">
        <v>52</v>
      </c>
      <c r="GI26" s="2" t="s">
        <v>54</v>
      </c>
      <c r="GJ26" s="2" t="s">
        <v>582</v>
      </c>
      <c r="GK26" s="2" t="s">
        <v>339</v>
      </c>
      <c r="GL26" s="2" t="s">
        <v>340</v>
      </c>
      <c r="GM26" s="2" t="s">
        <v>520</v>
      </c>
      <c r="GN26" s="2" t="s">
        <v>521</v>
      </c>
      <c r="GO26" s="2" t="s">
        <v>451</v>
      </c>
      <c r="GP26" s="2" t="s">
        <v>553</v>
      </c>
      <c r="GQ26" s="2" t="s">
        <v>554</v>
      </c>
      <c r="GR26" s="2" t="s">
        <v>555</v>
      </c>
      <c r="GS26" s="2" t="s">
        <v>556</v>
      </c>
      <c r="GT26" s="2" t="s">
        <v>557</v>
      </c>
      <c r="GU26" s="2" t="s">
        <v>665</v>
      </c>
      <c r="GV26" s="1" t="s">
        <v>351</v>
      </c>
      <c r="GW26" s="1" t="s">
        <v>522</v>
      </c>
      <c r="GX26" s="1" t="s">
        <v>523</v>
      </c>
      <c r="GY26" s="1" t="s">
        <v>524</v>
      </c>
      <c r="GZ26" s="1" t="s">
        <v>525</v>
      </c>
      <c r="HA26" s="1" t="s">
        <v>488</v>
      </c>
      <c r="HB26" s="1" t="s">
        <v>526</v>
      </c>
      <c r="HC26" s="1" t="s">
        <v>527</v>
      </c>
      <c r="HD26" s="1" t="s">
        <v>528</v>
      </c>
      <c r="HE26" s="1" t="s">
        <v>529</v>
      </c>
      <c r="HF26" s="1" t="s">
        <v>264</v>
      </c>
      <c r="HG26" s="1" t="s">
        <v>266</v>
      </c>
      <c r="HH26" s="1" t="s">
        <v>265</v>
      </c>
      <c r="HI26" s="1" t="s">
        <v>530</v>
      </c>
      <c r="HJ26" s="1" t="s">
        <v>531</v>
      </c>
      <c r="HK26" s="1" t="s">
        <v>267</v>
      </c>
      <c r="HL26" s="1" t="s">
        <v>268</v>
      </c>
      <c r="HM26" s="1" t="s">
        <v>269</v>
      </c>
      <c r="HN26" s="1" t="s">
        <v>532</v>
      </c>
      <c r="HO26" s="1" t="s">
        <v>533</v>
      </c>
      <c r="HP26" s="1" t="s">
        <v>270</v>
      </c>
      <c r="HQ26" s="1" t="s">
        <v>271</v>
      </c>
      <c r="HR26" s="1" t="s">
        <v>272</v>
      </c>
      <c r="HS26" s="116" t="s">
        <v>534</v>
      </c>
      <c r="HT26" s="116" t="s">
        <v>535</v>
      </c>
      <c r="HU26" s="1" t="s">
        <v>666</v>
      </c>
      <c r="HV26" s="1" t="s">
        <v>274</v>
      </c>
      <c r="HW26" s="1" t="s">
        <v>275</v>
      </c>
      <c r="HX26" s="1" t="s">
        <v>536</v>
      </c>
      <c r="HY26" s="1" t="s">
        <v>537</v>
      </c>
      <c r="HZ26" s="1" t="s">
        <v>47</v>
      </c>
      <c r="IA26" s="1" t="s">
        <v>49</v>
      </c>
      <c r="IB26" s="1" t="s">
        <v>611</v>
      </c>
      <c r="IC26" s="1" t="s">
        <v>50</v>
      </c>
      <c r="ID26" s="1" t="s">
        <v>55</v>
      </c>
      <c r="IE26" s="1" t="s">
        <v>276</v>
      </c>
      <c r="IF26" s="1" t="s">
        <v>223</v>
      </c>
      <c r="IG26" s="1" t="s">
        <v>222</v>
      </c>
      <c r="IH26" s="36" t="s">
        <v>277</v>
      </c>
      <c r="II26" s="36" t="s">
        <v>278</v>
      </c>
      <c r="IJ26" s="36" t="s">
        <v>279</v>
      </c>
      <c r="IK26" s="36" t="s">
        <v>280</v>
      </c>
      <c r="IL26" s="36" t="s">
        <v>57</v>
      </c>
      <c r="IM26" s="36" t="s">
        <v>281</v>
      </c>
      <c r="IN26" s="36" t="s">
        <v>459</v>
      </c>
      <c r="IO26" s="83" t="s">
        <v>460</v>
      </c>
      <c r="IP26" t="s">
        <v>414</v>
      </c>
    </row>
    <row r="27" spans="2:250">
      <c r="DW27" t="s">
        <v>462</v>
      </c>
      <c r="DX27" t="s">
        <v>642</v>
      </c>
      <c r="DY27">
        <v>40</v>
      </c>
      <c r="DZ27" t="s">
        <v>152</v>
      </c>
      <c r="EA27">
        <f t="shared" ref="EA27" si="96">EB27+EC27</f>
        <v>18</v>
      </c>
      <c r="EB27" s="8">
        <f t="shared" ref="EB27" si="97">EG27+EL27+EQ27</f>
        <v>15</v>
      </c>
      <c r="EC27" s="8">
        <f t="shared" ref="EC27" si="98">EH27+EM27+ER27</f>
        <v>3</v>
      </c>
      <c r="ED27" s="54">
        <f t="shared" ref="ED27" si="99">IFERROR(EB27/$EA27,"-")</f>
        <v>0.83333333333333337</v>
      </c>
      <c r="EE27" s="54">
        <f t="shared" ref="EE27" si="100">IFERROR(EC27/$EA27,"-")</f>
        <v>0.16666666666666666</v>
      </c>
      <c r="EF27">
        <f t="shared" ref="EF27" si="101">EG27+EH27</f>
        <v>9</v>
      </c>
      <c r="EG27">
        <f>COUNTIFS('Raw data'!$D:$D,"*Louie Briggs*", 'Raw data'!$Y:$Y,"*2nd*",'Raw data'!$I:$I,"*Forward Pass*",'Raw data'!$M:$M,"*Pass completed*")</f>
        <v>7</v>
      </c>
      <c r="EH27">
        <f>COUNTIFS('Raw data'!$D:$D,"*Louie Briggs*", 'Raw data'!$Y:$Y,"*2nd*",'Raw data'!$I:$I,"*Forward Pass*",'Raw data'!$M:$M,"*Pass Uncompleted*")</f>
        <v>2</v>
      </c>
      <c r="EI27" s="54">
        <f t="shared" ref="EI27" si="102">IFERROR(EG27/$EF27,"-")</f>
        <v>0.77777777777777779</v>
      </c>
      <c r="EJ27" s="54">
        <f t="shared" ref="EJ27" si="103">IFERROR(EH27/$EF27,"-")</f>
        <v>0.22222222222222221</v>
      </c>
      <c r="EK27">
        <f t="shared" ref="EK27" si="104">EL27+EM27</f>
        <v>9</v>
      </c>
      <c r="EL27" s="8">
        <f>COUNTIFS('Raw data'!$D:$D,"*Louie Briggs*", 'Raw data'!$Y:$Y,"*2nd*",'Raw data'!$I:$I,"*Lateral Pass*",'Raw data'!$M:$M,"*Pass completed*")</f>
        <v>8</v>
      </c>
      <c r="EM27" s="8">
        <f>COUNTIFS('Raw data'!$D:$D,"*Louie Briggs*", 'Raw data'!$Y:$Y,"*2nd*",'Raw data'!$I:$I,"*Lateral Pass*",'Raw data'!$M:$M,"*Pass Uncompleted*")</f>
        <v>1</v>
      </c>
      <c r="EN27" s="54">
        <f t="shared" ref="EN27" si="105">IFERROR(EL27/$EK27,"-")</f>
        <v>0.88888888888888884</v>
      </c>
      <c r="EO27" s="54">
        <f t="shared" ref="EO27" si="106">IFERROR(EM27/$EK27,"-")</f>
        <v>0.1111111111111111</v>
      </c>
      <c r="EP27">
        <f t="shared" ref="EP27" si="107">EQ27+ER27</f>
        <v>0</v>
      </c>
      <c r="EQ27" s="8">
        <f>COUNTIFS('Raw data'!$D:$D,"*Louie Briggs*", 'Raw data'!$Y:$Y,"*2nd*",'Raw data'!$I:$I,"*Backward Pass*",'Raw data'!$M:$M,"*Pass completed*")</f>
        <v>0</v>
      </c>
      <c r="ER27" s="8">
        <f>COUNTIFS('Raw data'!$D:$D,"*Louie Briggs*", 'Raw data'!$Y:$Y,"*2nd*",'Raw data'!$I:$I,"*Backward Pass*",'Raw data'!$M:$M,"*Pass Uncompleted*")</f>
        <v>0</v>
      </c>
      <c r="ES27" s="54" t="str">
        <f t="shared" ref="ES27" si="108">IFERROR(EQ27/$EQ27,"-")</f>
        <v>-</v>
      </c>
      <c r="ET27" s="54" t="str">
        <f t="shared" ref="ET27" si="109">IFERROR(ER27/$EQ27,"-")</f>
        <v>-</v>
      </c>
      <c r="EU27" s="8">
        <f>COUNTIFS('Raw data'!$D:$D,"*Louie Briggs*", 'Raw data'!$Y:$Y,"*2nd*",'Raw data'!$I:$I,"*Long Kick*")</f>
        <v>4</v>
      </c>
      <c r="EV27" s="8">
        <f>COUNTIFS('Raw data'!$D:$D,"*Louie Briggs*", 'Raw data'!$Y:$Y,"*2nd*",'Raw data'!$I:$I,"*Long Kick*",'Raw data'!$M:$M,"*Pass completed*")</f>
        <v>3</v>
      </c>
      <c r="EW27" s="8">
        <f>COUNTIFS('Raw data'!$D:$D,"*Louie Briggs*", 'Raw data'!$Y:$Y,"*2nd*",'Raw data'!$I:$I,"*Long Kick*",'Raw data'!$M:$M,"*Pass Uncompleted*")</f>
        <v>2</v>
      </c>
      <c r="EX27" s="54">
        <f t="shared" ref="EX27" si="110">IFERROR(EV27/$EU27,"-")</f>
        <v>0.75</v>
      </c>
      <c r="EY27" s="54">
        <f t="shared" ref="EY27" si="111">IFERROR(EW27/$EU27,"-")</f>
        <v>0.5</v>
      </c>
      <c r="EZ27" s="8">
        <f>COUNTIFS('Raw data'!$D:$D,"*Louie Briggs*", 'Raw data'!$Y:$Y,"*2nd*",'Raw data'!$I:$I,"*Balls in Behind*")</f>
        <v>1</v>
      </c>
      <c r="FA27" s="8">
        <f>COUNTIFS('Raw data'!$D:$D,"*Louie Briggs*", 'Raw data'!$Y:$Y,"*2nd*",'Raw data'!$I:$I,"*Balls in Behind*",'Raw data'!$M:$M,"*Pass completed*")</f>
        <v>1</v>
      </c>
      <c r="FB27" s="8">
        <f>COUNTIFS('Raw data'!$D:$D,"*Louie Briggs*", 'Raw data'!$Y:$Y,"*2nd*",'Raw data'!$I:$I,"*Balls in Behind*",'Raw data'!$M:$M,"*Pass Uncompleted*")</f>
        <v>0</v>
      </c>
      <c r="FC27" s="54">
        <f t="shared" ref="FC27" si="112">IFERROR(FA27/$EZ27,"-")</f>
        <v>1</v>
      </c>
      <c r="FD27" s="54">
        <f t="shared" ref="FD27" si="113">IFERROR(FB27/$EZ27,"-")</f>
        <v>0</v>
      </c>
      <c r="FE27" s="8">
        <f>COUNTIFS('Raw data'!$D:$D,"*Louie Briggs*", 'Raw data'!$Y:$Y,"*2nd*",'Raw data'!$I:$I,"*Key/Through pass*")</f>
        <v>0</v>
      </c>
      <c r="FF27" s="8">
        <f>COUNTIFS('Raw data'!$D:$D,"*Louie Briggs*", 'Raw data'!$Y:$Y,"*2nd*",'Raw data'!$I:$I,"*Diagonal pass*")</f>
        <v>0</v>
      </c>
      <c r="FG27" s="8">
        <f>COUNTIFS('Raw data'!$D:$D,"*Louie Briggs*", 'Raw data'!$Y:$Y,"*2nd*",'Raw data'!$I:$I,"*Diagonal pass*",'Raw data'!$M:$M,"*Pass completed*")</f>
        <v>0</v>
      </c>
      <c r="FH27" s="8">
        <f>COUNTIFS('Raw data'!$D:$D,"*Louie Briggs*", 'Raw data'!$Y:$Y,"*2nd*",'Raw data'!$I:$I,"*Diagonal pass*",'Raw data'!$M:$M,"*Pass Uncompleted*")</f>
        <v>0</v>
      </c>
      <c r="FI27" s="54" t="str">
        <f t="shared" ref="FI27" si="114">IFERROR(FG27/$FF27,"-")</f>
        <v>-</v>
      </c>
      <c r="FJ27" s="54" t="str">
        <f t="shared" ref="FJ27" si="115">IFERROR(FH27/$FF27,"-")</f>
        <v>-</v>
      </c>
      <c r="FK27" s="8">
        <f>COUNTIFS('Raw data'!$D:$D,"*Louie Briggs*", 'Raw data'!$Y:$Y,"*2nd*",'Raw data'!$M:$M,"*Pass Received*")</f>
        <v>13</v>
      </c>
      <c r="FL27" s="8">
        <f>COUNTIFS('Raw data'!$D:$D,"*Louie Briggs*", 'Raw data'!$Y:$Y,"*2nd*",'Raw data'!$M:$M,"*Pass Completed*",'Raw data'!$M:$M,"*Pass Received*")</f>
        <v>11</v>
      </c>
      <c r="FM27" s="8">
        <f>COUNTIFS('Raw data'!$D:$D,"*Louie Briggs*", 'Raw data'!$Y:$Y,"*2nd*",'Raw data'!$M:$M,"*Pass Uncompleted*",'Raw data'!$M:$M,"*Pass Received*")</f>
        <v>2</v>
      </c>
      <c r="FN27" s="8">
        <f>COUNTIFS('Raw data'!$D:$D,"*Louie Briggs*", 'Raw data'!$Y:$Y,"*2nd*",'Raw data'!$M:$M,"*Kept Possession*",'Raw data'!$M:$M,"*Pass Received*")</f>
        <v>0</v>
      </c>
      <c r="FO27" s="8">
        <f>COUNTIFS('Raw data'!$D:$D,"*Louie Briggs*", 'Raw data'!$Y:$Y,"*2nd*",'Raw data'!$M:$M,"*Lost Possession*")</f>
        <v>0</v>
      </c>
      <c r="FP27" s="8">
        <f>COUNTIFS('Raw data'!$D:$D,"*Louie Briggs*", 'Raw data'!$Y:$Y,"*2nd*",'Raw data'!$M:$M,"*Lost Possession*",'Raw data'!$M:$M,"*Lost Final 1/3*")</f>
        <v>0</v>
      </c>
      <c r="FQ27" s="8">
        <f>COUNTIFS('Raw data'!$D:$D,"*Louie Briggs*", 'Raw data'!$Y:$Y,"*2nd*",'Raw data'!$M:$M,"*Lost Possession*",'Raw data'!$M:$M,"*Lost Middle 1/3*")</f>
        <v>0</v>
      </c>
      <c r="FR27" s="8">
        <f>COUNTIFS('Raw data'!$D:$D,"*Louie Briggs*", 'Raw data'!$Y:$Y,"*2nd*",'Raw data'!$M:$M,"*Lost Possession*",'Raw data'!$M:$M,"*Lost Own 1/3*")</f>
        <v>0</v>
      </c>
      <c r="FS27" s="8">
        <f>COUNTIFS('Raw data'!$D:$D,"*Louie Briggs*", 'Raw data'!$Y:$Y,"*2nd*",'Raw data'!$H:$H,"*Touches in the Box*")</f>
        <v>0</v>
      </c>
      <c r="FT27" s="8">
        <f>COUNTIFS('Raw data'!$D:$D,"*Louie Briggs*", 'Raw data'!$Y:$Y,"*2nd*",'Raw data'!$H:$H,"*1v1 Attack*")</f>
        <v>0</v>
      </c>
      <c r="FU27" s="8">
        <f>COUNTIFS('Raw data'!$D:$D,"*Louie Briggs*", 'Raw data'!$Y:$Y,"*2nd*",'Raw data'!$H:$H,"*1v1 Attack*",'Raw data'!$H:$H,"*1v1 Attack*",'Raw data'!$M:$M,"*Kept Possession*")</f>
        <v>0</v>
      </c>
      <c r="FV27" s="8">
        <f>COUNTIFS('Raw data'!$D:$D,"*Louie Briggs*", 'Raw data'!$Y:$Y,"*2nd*",'Raw data'!$H:$H,"*1v1 Attack*",'Raw data'!$H:$H,"*1v1 Attack*",'Raw data'!$M:$M,"*Lost Possession*")</f>
        <v>0</v>
      </c>
      <c r="FW27" s="54" t="str">
        <f t="shared" ref="FW27" si="116">IFERROR(FU27/$FT27,"-")</f>
        <v>-</v>
      </c>
      <c r="FX27" s="54" t="str">
        <f t="shared" ref="FX27" si="117">IFERROR(FV27/$FT27,"-")</f>
        <v>-</v>
      </c>
      <c r="FY27" s="8">
        <f>COUNTIFS('Raw data'!$D:$D,"*Louie Briggs*", 'Raw data'!$Y:$Y,"*2nd*",'Raw data'!$I:$I,"*Cross*")</f>
        <v>0</v>
      </c>
      <c r="FZ27" s="8">
        <f>COUNTIFS('Raw data'!$D:$D,"*Louie Briggs*", 'Raw data'!$Y:$Y,"*2nd*",'Raw data'!$I:$I,"*Cross*",'Raw data'!$M:$M,"*Pass Completed*")</f>
        <v>0</v>
      </c>
      <c r="GA27" s="8">
        <f>COUNTIFS('Raw data'!$D:$D,"*Louie Briggs*", 'Raw data'!$Y:$Y,"*2nd*",'Raw data'!$I:$I,"*Cross*",'Raw data'!$M:$M,"*Pass Uncompleted*")</f>
        <v>0</v>
      </c>
      <c r="GB27" s="54" t="str">
        <f t="shared" ref="GB27" si="118">IFERROR(FZ27/$FY27,"-")</f>
        <v>-</v>
      </c>
      <c r="GC27" s="54" t="str">
        <f t="shared" ref="GC27" si="119">IFERROR(GA27/$FY27,"-")</f>
        <v>-</v>
      </c>
      <c r="GD27" s="8">
        <f t="shared" ref="GD27" si="120">SUM(GE27:GG27)</f>
        <v>0</v>
      </c>
      <c r="GE27" s="8">
        <f>COUNTIFS('Raw data'!$D:$D,"*Louie Briggs*", 'Raw data'!$Y:$Y,"*2nd*",'Raw data'!$L:$L,"*On Target*")</f>
        <v>0</v>
      </c>
      <c r="GF27" s="8">
        <f>COUNTIFS('Raw data'!$D:$D,"*Louie Briggs*", 'Raw data'!$Y:$Y,"*2nd*",'Raw data'!$L:$L,"*Off Target*")</f>
        <v>0</v>
      </c>
      <c r="GG27" s="8">
        <f>COUNTIFS('Raw data'!$D:$D,"*Louie Briggs*", 'Raw data'!$Y:$Y,"*2nd*",'Raw data'!$L:$L,"*Blocked*")</f>
        <v>0</v>
      </c>
      <c r="GH27" s="8">
        <f>COUNTIFS('Raw data'!$D:$D,"*Louie Briggs*", 'Raw data'!$Y:$Y,"*2nd*",'Raw data'!$M:$M,"*Goal*")</f>
        <v>0</v>
      </c>
      <c r="GI27" s="8">
        <f>COUNTIFS('Raw data'!$D:$D,"*Louie Briggs*", 'Raw data'!$Y:$Y,"*2nd*",'Raw data'!$M:$M,"*Assist*")</f>
        <v>0</v>
      </c>
      <c r="GJ27" s="8">
        <f>COUNTIFS('Raw data'!$D:$D,"*Louie Briggs*", 'Raw data'!$Y:$Y,"*2nd*",'Raw data'!$H:$H,"*Offensive duel*")</f>
        <v>0</v>
      </c>
      <c r="GK27" s="8">
        <f>COUNTIFS('Raw data'!$D:$D,"*Louie Briggs*", 'Raw data'!$Y:$Y,"*2nd*",'Raw data'!$H:$H,"*Offensive Duel*",'Raw data'!$H:$H,"*Offensive Duel*",'Raw data'!$M:$M,"*Kept Possession*")</f>
        <v>0</v>
      </c>
      <c r="GL27" s="8">
        <f>COUNTIFS('Raw data'!$D:$D,"*Louie Briggs*", 'Raw data'!$Y:$Y,"*2nd*",'Raw data'!$H:$H,"*Offensive Duel*",'Raw data'!$H:$H,"*Offensive Duel*",'Raw data'!$M:$M,"*Lost Possession*")</f>
        <v>0</v>
      </c>
      <c r="GM27" s="54" t="str">
        <f t="shared" ref="GM27" si="121">IFERROR(GK27/$GJ27,"-")</f>
        <v>-</v>
      </c>
      <c r="GN27" s="54" t="str">
        <f t="shared" ref="GN27" si="122">IFERROR(GL27/$GJ27,"-")</f>
        <v>-</v>
      </c>
      <c r="GO27" s="8">
        <f>COUNTIFS('Raw data'!$D:$D,"*Louie Briggs*", 'Raw data'!$Y:$Y,"*2nd*",'Raw data'!$H:$H,"*Acceleration*")</f>
        <v>1</v>
      </c>
      <c r="GP27" s="8">
        <f>COUNTIFS('Raw data'!$D:$D,"*Louie Briggs*", 'Raw data'!$Y:$Y,"*2nd*",'Raw data'!$H:$H,"*Move into Pocket*")</f>
        <v>0</v>
      </c>
      <c r="GQ27" s="8">
        <f>COUNTIFS('Raw data'!$D:$D,"*Louie Briggs*", 'Raw data'!$Y:$Y,"*2nd*",'Raw data'!$H:$H,"*Wide area*")</f>
        <v>0</v>
      </c>
      <c r="GR27" s="8">
        <f>COUNTIFS('Raw data'!$D:$D,"*Louie Briggs*", 'Raw data'!$Y:$Y,"*2nd*",'Raw data'!$H:$H,"*Back to goal*")</f>
        <v>0</v>
      </c>
      <c r="GS27" s="8">
        <f>COUNTIFS('Raw data'!$D:$D,"*Louie Briggs*", 'Raw data'!$Y:$Y,"*2nd*",'Raw data'!$H:$H,"*Over/Underlaps*")</f>
        <v>0</v>
      </c>
      <c r="GT27" s="8">
        <f>COUNTIFS('Raw data'!$D:$D,"*Louie Briggs*", 'Raw data'!$Y:$Y,"*2nd*",'Raw data'!$H:$H,"*Runs in Behind*")</f>
        <v>0</v>
      </c>
      <c r="GU27" s="8">
        <f>COUNTIFS('Raw data'!$D:$D,"*Louie Briggs*", 'Raw data'!$Y:$Y,"*2nd*",'Raw data'!$H:$H,"*Half-space Runs*")</f>
        <v>0</v>
      </c>
      <c r="GV27" s="8">
        <f t="shared" ref="GV27" si="123">SUM(GJ27,HA27,HF27)</f>
        <v>0</v>
      </c>
      <c r="GW27" s="8">
        <f t="shared" ref="GW27" si="124">SUM(GK27,HB27,HG27)</f>
        <v>0</v>
      </c>
      <c r="GX27" s="8">
        <f t="shared" ref="GX27" si="125">SUM(GL27,HC27,HH27)</f>
        <v>0</v>
      </c>
      <c r="GY27" s="54" t="str">
        <f t="shared" ref="GY27" si="126">IFERROR(GW27/$GV27,"-")</f>
        <v>-</v>
      </c>
      <c r="GZ27" s="54" t="str">
        <f t="shared" ref="GZ27" si="127">IFERROR(GX27/$GV27,"-")</f>
        <v>-</v>
      </c>
      <c r="HA27" s="8">
        <f>COUNTIFS('Raw data'!$D:$D,"*Louie Briggs*", 'Raw data'!$Y:$Y,"*2nd*",'Raw data'!$K:$K,"*Ground duel*")</f>
        <v>0</v>
      </c>
      <c r="HB27" s="8">
        <f>COUNTIFS('Raw data'!$D:$D,"*Louie Briggs*", 'Raw data'!$Y:$Y,"*2nd*",'Raw data'!$K:$K,"*Ground duel*",'Raw data'!$M:$M,"*Duel Succeeded*")</f>
        <v>0</v>
      </c>
      <c r="HC27" s="8">
        <f>COUNTIFS('Raw data'!$D:$D,"*Louie Briggs*", 'Raw data'!$Y:$Y,"*2nd*",'Raw data'!$K:$K,"*Ground duel*",'Raw data'!$M:$M,"*Duel Unsucceeded*")</f>
        <v>0</v>
      </c>
      <c r="HD27" s="54" t="str">
        <f t="shared" ref="HD27" si="128">IFERROR(HB27/$HA27,"-")</f>
        <v>-</v>
      </c>
      <c r="HE27" s="54" t="str">
        <f t="shared" ref="HE27" si="129">IFERROR(HC27/$HA27,"-")</f>
        <v>-</v>
      </c>
      <c r="HF27" s="8">
        <f>COUNTIFS('Raw data'!$D:$D,"*Louie Briggs*", 'Raw data'!$Y:$Y,"*2nd*",'Raw data'!$K:$K,"*Aerial duel*")</f>
        <v>0</v>
      </c>
      <c r="HG27" s="8">
        <f>COUNTIFS('Raw data'!$D:$D,"*Louie Briggs*", 'Raw data'!$Y:$Y,"*2nd*",'Raw data'!$K:$K,"*Aerial duel*",'Raw data'!$M:$M,"*Duel Succeeded*")</f>
        <v>0</v>
      </c>
      <c r="HH27" s="8">
        <f>COUNTIFS('Raw data'!$D:$D,"*Louie Briggs*", 'Raw data'!$Y:$Y,"*2nd*",'Raw data'!$K:$K,"*Aerial duel*",'Raw data'!$M:$M,"*Duel Unsucceeded*")</f>
        <v>0</v>
      </c>
      <c r="HI27" s="54" t="str">
        <f t="shared" ref="HI27" si="130">IFERROR(HG27/$HG27,"-")</f>
        <v>-</v>
      </c>
      <c r="HJ27" s="54" t="str">
        <f t="shared" ref="HJ27" si="131">IFERROR(HH27/$HG27,"-")</f>
        <v>-</v>
      </c>
      <c r="HK27" s="8">
        <f>COUNTIFS('Raw data'!$D:$D,"*Louie Briggs*", 'Raw data'!$Y:$Y,"*2nd*",'Raw data'!$K:$K,"*1v1 defense*")</f>
        <v>0</v>
      </c>
      <c r="HL27" s="8">
        <f>COUNTIFS('Raw data'!$D:$D,"*Louie Briggs*", 'Raw data'!$Y:$Y,"*2nd*",'Raw data'!$K:$K,"*1v1 defense*",'Raw data'!$M:$M,"*Duel Succeeded*")</f>
        <v>0</v>
      </c>
      <c r="HM27" s="8">
        <f>COUNTIFS('Raw data'!$D:$D,"*Louie Briggs*", 'Raw data'!$Y:$Y,"*2nd*",'Raw data'!$K:$K,"*1v1 defense*",'Raw data'!$M:$M,"*Duel Unsucceeded*")</f>
        <v>0</v>
      </c>
      <c r="HN27" s="54" t="str">
        <f t="shared" ref="HN27" si="132">IFERROR(HL27/$HK27,"-")</f>
        <v>-</v>
      </c>
      <c r="HO27" s="54" t="str">
        <f t="shared" ref="HO27" si="133">IFERROR(HM27/$HK27,"-")</f>
        <v>-</v>
      </c>
      <c r="HP27" s="8">
        <f>COUNTIFS('Raw data'!$D:$D,"*Louie Briggs*", 'Raw data'!$Y:$Y,"*2nd*",'Raw data'!$J:$J,"*Tackles*")</f>
        <v>0</v>
      </c>
      <c r="HQ27" s="8">
        <f>COUNTIFS('Raw data'!$D:$D,"*Louie Briggs*", 'Raw data'!$Y:$Y,"*2nd*",'Raw data'!$J:$J,"*Tackles*", 'Raw data'!$M:$M,"*Duel Succeeded*")</f>
        <v>0</v>
      </c>
      <c r="HR27" s="8">
        <f>COUNTIFS('Raw data'!$D:$D,"*Louie Briggs*", 'Raw data'!$Y:$Y,"*2nd*",'Raw data'!$J:$J,"*Tackles*", 'Raw data'!$M:$M,"*Duel Unsucceeded*")</f>
        <v>0</v>
      </c>
      <c r="HS27" s="54" t="str">
        <f t="shared" ref="HS27" si="134">IFERROR(HQ27/$HP27,"-")</f>
        <v>-</v>
      </c>
      <c r="HT27" s="54" t="str">
        <f t="shared" ref="HT27" si="135">IFERROR(HR27/$HP27,"-")</f>
        <v>-</v>
      </c>
      <c r="HU27" s="8">
        <f>COUNTIFS('Raw data'!$D:$D,"*Louie Briggs*", 'Raw data'!$Y:$Y,"*2nd*",'Raw data'!$K:$K,"*2nd Balls*")</f>
        <v>0</v>
      </c>
      <c r="HV27" s="8">
        <f>COUNTIFS('Raw data'!$D:$D,"*Louie Briggs*", 'Raw data'!$Y:$Y,"*2nd*",'Raw data'!$K:$K,"*2nd Balls*", 'Raw data'!$M:$M,"*Duel Succeeded*")</f>
        <v>0</v>
      </c>
      <c r="HW27" s="8">
        <f>COUNTIFS('Raw data'!$D:$D,"*Louie Briggs*", 'Raw data'!$Y:$Y,"*2nd*",'Raw data'!$K:$K,"*2nd Balls*", 'Raw data'!$M:$M,"*Duel Unsucceeded*")</f>
        <v>0</v>
      </c>
      <c r="HX27" s="54" t="str">
        <f t="shared" ref="HX27" si="136">IFERROR(HV27/$HU27,"-")</f>
        <v>-</v>
      </c>
      <c r="HY27" s="54" t="str">
        <f t="shared" ref="HY27" si="137">IFERROR(HW27/$HU27,"-")</f>
        <v>-</v>
      </c>
      <c r="HZ27" s="8">
        <f>COUNTIFS('Raw data'!$D:$D,"*Louie Briggs*", 'Raw data'!$Y:$Y,"*2nd*",'Raw data'!$J:$J,"*Clearance*")</f>
        <v>0</v>
      </c>
      <c r="IA27" s="8">
        <f>COUNTIFS('Raw data'!$D:$D,"*Louie Briggs*", 'Raw data'!$Y:$Y,"*2nd*",'Raw data'!$J:$J,"*Interception*")</f>
        <v>0</v>
      </c>
      <c r="IB27" s="8">
        <f>COUNTIFS('Raw data'!$D:$D,"*Louie Briggs*", 'Raw data'!$Y:$Y,"*2nd*",'Raw data'!$J:$J,"*Turnover Won*")</f>
        <v>0</v>
      </c>
      <c r="IC27" s="8">
        <f>COUNTIFS('Raw data'!$D:$D,"*Louie Briggs*", 'Raw data'!$Y:$Y,"*2nd*",'Raw data'!$J:$J,"*Recovery*")</f>
        <v>0</v>
      </c>
      <c r="ID27" s="8">
        <f>COUNTIFS('Raw data'!$D:$D,"*Louie Briggs*", 'Raw data'!$Y:$Y,"*2nd*",'Raw data'!$J:$J,"*Blocked Shots*")</f>
        <v>0</v>
      </c>
      <c r="IE27" s="8">
        <f>COUNTIFS('Raw data'!$D:$D,"*Louie Briggs*", 'Raw data'!$Y:$Y,"*2nd*",'Raw data'!$J:$J,"*Man-marking*")</f>
        <v>0</v>
      </c>
      <c r="IF27" s="8">
        <f>COUNTIFS('Raw data'!$D:$D,"*Louie Briggs*", 'Raw data'!$Y:$Y,"*2nd*",'Raw data'!$J:$J,"*Fouls*")</f>
        <v>0</v>
      </c>
      <c r="IG27" s="8">
        <f>COUNTIFS('Raw data'!$D:$D,"*Louie Briggs*", 'Raw data'!$Y:$Y,"*2nd*",'Raw data'!$J:$J,"*Won F*")</f>
        <v>0</v>
      </c>
      <c r="IH27" s="8">
        <f>COUNTIFS('Raw data'!$D:$D,"*Louie Briggs*", 'Raw data'!$Y:$Y,"*2nd*",'Raw data'!$G:$G,"*1v1*")</f>
        <v>0</v>
      </c>
      <c r="II27" s="8">
        <f>COUNTIFS('Raw data'!$D:$D,"*Louie Briggs*", 'Raw data'!$Y:$Y,"*2nd*",'Raw data'!$G:$G,"*On Target*")</f>
        <v>0</v>
      </c>
      <c r="IJ27" s="8">
        <f>COUNTIFS('Raw data'!$D:$D,"*Louie Briggs*", 'Raw data'!$Y:$Y,"*2nd*",'Raw data'!$G:$G,"*Off Target*")</f>
        <v>0</v>
      </c>
      <c r="IK27" s="8">
        <f>COUNTIFS('Raw data'!$D:$D,"*Louie Briggs*", 'Raw data'!$Y:$Y,"*2nd*",'Raw data'!$G:$G,"*Defend the Space*")</f>
        <v>1</v>
      </c>
      <c r="IL27" s="8">
        <f>COUNTIFS('Raw data'!$D:$D,"*Louie Briggs*", 'Raw data'!$Y:$Y,"*2nd*",'Raw data'!$G:$G,"*Conceded*")</f>
        <v>0</v>
      </c>
      <c r="IM27" s="8">
        <f>COUNTIFS('Raw data'!$D:$D,"*Louie Briggs*", 'Raw data'!$Y:$Y,"*2nd*",'Raw data'!$G:$G,"*Save*")</f>
        <v>0</v>
      </c>
      <c r="IN27" s="8">
        <f>COUNTIFS('Raw data'!$D:$D,"*Louie Briggs*", 'Raw data'!$Y:$Y,"*2nd*",'Raw data'!$G:$G,"*Defend the line (Cross)*")</f>
        <v>0</v>
      </c>
      <c r="IO27" s="8">
        <f>COUNTIFS('Raw data'!$D:$D,"*Louie Briggs*", 'Raw data'!$Y:$Y,"*2nd*",'Raw data'!$G:$G,"*Counter Kick*")</f>
        <v>0</v>
      </c>
      <c r="IP27" t="s">
        <v>642</v>
      </c>
    </row>
    <row r="28" spans="2:250">
      <c r="DW28" t="s">
        <v>462</v>
      </c>
      <c r="DX28" t="s">
        <v>652</v>
      </c>
      <c r="DY28">
        <v>40</v>
      </c>
      <c r="DZ28" t="s">
        <v>152</v>
      </c>
      <c r="EA28">
        <f t="shared" ref="EA28:EA38" si="138">EB28+EC28</f>
        <v>36</v>
      </c>
      <c r="EB28" s="8">
        <f t="shared" ref="EB28:EC38" si="139">EG28+EL28+EQ28</f>
        <v>27</v>
      </c>
      <c r="EC28" s="8">
        <f t="shared" si="139"/>
        <v>9</v>
      </c>
      <c r="ED28" s="54">
        <f t="shared" ref="ED28:ED38" si="140">IFERROR(EB28/$EA28,"-")</f>
        <v>0.75</v>
      </c>
      <c r="EE28" s="54">
        <f t="shared" ref="EE28:EE38" si="141">IFERROR(EC28/$EA28,"-")</f>
        <v>0.25</v>
      </c>
      <c r="EF28">
        <f t="shared" ref="EF28:EF38" si="142">EG28+EH28</f>
        <v>21</v>
      </c>
      <c r="EG28">
        <f>COUNTIFS('Raw data'!$D:$D,"*Joshua Harrup*", 'Raw data'!$Y:$Y,"*2nd*",'Raw data'!$I:$I,"*Forward Pass*",'Raw data'!$M:$M,"*Pass completed*")</f>
        <v>14</v>
      </c>
      <c r="EH28">
        <f>COUNTIFS('Raw data'!$D:$D,"*Joshua Harrup*", 'Raw data'!$Y:$Y,"*2nd*",'Raw data'!$I:$I,"*Forward Pass*",'Raw data'!$M:$M,"*Pass Uncompleted*")</f>
        <v>7</v>
      </c>
      <c r="EI28" s="54">
        <f t="shared" ref="EI28:EI38" si="143">IFERROR(EG28/$EF28,"-")</f>
        <v>0.66666666666666663</v>
      </c>
      <c r="EJ28" s="54">
        <f t="shared" ref="EJ28:EJ38" si="144">IFERROR(EH28/$EF28,"-")</f>
        <v>0.33333333333333331</v>
      </c>
      <c r="EK28">
        <f t="shared" ref="EK28:EK38" si="145">EL28+EM28</f>
        <v>15</v>
      </c>
      <c r="EL28" s="8">
        <f>COUNTIFS('Raw data'!$D:$D,"*Joshua Harrup*", 'Raw data'!$Y:$Y,"*2nd*",'Raw data'!$I:$I,"*Lateral Pass*",'Raw data'!$M:$M,"*Pass completed*")</f>
        <v>13</v>
      </c>
      <c r="EM28" s="8">
        <f>COUNTIFS('Raw data'!$D:$D,"*Joshua Harrup*", 'Raw data'!$Y:$Y,"*2nd*",'Raw data'!$I:$I,"*Lateral Pass*",'Raw data'!$M:$M,"*Pass Uncompleted*")</f>
        <v>2</v>
      </c>
      <c r="EN28" s="54">
        <f t="shared" ref="EN28:EN38" si="146">IFERROR(EL28/$EK28,"-")</f>
        <v>0.8666666666666667</v>
      </c>
      <c r="EO28" s="54">
        <f t="shared" ref="EO28:EO38" si="147">IFERROR(EM28/$EK28,"-")</f>
        <v>0.13333333333333333</v>
      </c>
      <c r="EP28">
        <f t="shared" ref="EP28:EP38" si="148">EQ28+ER28</f>
        <v>0</v>
      </c>
      <c r="EQ28" s="8">
        <f>COUNTIFS('Raw data'!$D:$D,"*Joshua Harrup*", 'Raw data'!$Y:$Y,"*2nd*",'Raw data'!$I:$I,"*Backward Pass*",'Raw data'!$M:$M,"*Pass completed*")</f>
        <v>0</v>
      </c>
      <c r="ER28" s="8">
        <f>COUNTIFS('Raw data'!$D:$D,"*Joshua Harrup*", 'Raw data'!$Y:$Y,"*2nd*",'Raw data'!$I:$I,"*Backward Pass*",'Raw data'!$M:$M,"*Pass Uncompleted*")</f>
        <v>0</v>
      </c>
      <c r="ES28" s="54" t="str">
        <f t="shared" ref="ES28:ES38" si="149">IFERROR(EQ28/$EQ28,"-")</f>
        <v>-</v>
      </c>
      <c r="ET28" s="54" t="str">
        <f t="shared" ref="ET28:ET38" si="150">IFERROR(ER28/$EQ28,"-")</f>
        <v>-</v>
      </c>
      <c r="EU28" s="8">
        <f>COUNTIFS('Raw data'!$D:$D,"*Joshua Harrup*", 'Raw data'!$Y:$Y,"*2nd*",'Raw data'!$I:$I,"*Long Kick*")</f>
        <v>7</v>
      </c>
      <c r="EV28" s="8">
        <f>COUNTIFS('Raw data'!$D:$D,"*Joshua Harrup*", 'Raw data'!$Y:$Y,"*2nd*",'Raw data'!$I:$I,"*Long Kick*",'Raw data'!$M:$M,"*Pass completed*")</f>
        <v>4</v>
      </c>
      <c r="EW28" s="8">
        <f>COUNTIFS('Raw data'!$D:$D,"*Joshua Harrup*", 'Raw data'!$Y:$Y,"*2nd*",'Raw data'!$I:$I,"*Long Kick*",'Raw data'!$M:$M,"*Pass Uncompleted*")</f>
        <v>5</v>
      </c>
      <c r="EX28" s="54">
        <f t="shared" ref="EX28:EX38" si="151">IFERROR(EV28/$EU28,"-")</f>
        <v>0.5714285714285714</v>
      </c>
      <c r="EY28" s="54">
        <f t="shared" ref="EY28:EY38" si="152">IFERROR(EW28/$EU28,"-")</f>
        <v>0.7142857142857143</v>
      </c>
      <c r="EZ28" s="8">
        <f>COUNTIFS('Raw data'!$D:$D,"*Joshua Harrup*", 'Raw data'!$Y:$Y,"*2nd*",'Raw data'!$I:$I,"*Balls in Behind*")</f>
        <v>2</v>
      </c>
      <c r="FA28" s="8">
        <f>COUNTIFS('Raw data'!$D:$D,"*Joshua Harrup*", 'Raw data'!$Y:$Y,"*2nd*",'Raw data'!$I:$I,"*Balls in Behind*",'Raw data'!$M:$M,"*Pass completed*")</f>
        <v>2</v>
      </c>
      <c r="FB28" s="8">
        <f>COUNTIFS('Raw data'!$D:$D,"*Joshua Harrup*", 'Raw data'!$Y:$Y,"*2nd*",'Raw data'!$I:$I,"*Balls in Behind*",'Raw data'!$M:$M,"*Pass Uncompleted*")</f>
        <v>2</v>
      </c>
      <c r="FC28" s="54">
        <f t="shared" ref="FC28:FC38" si="153">IFERROR(FA28/$EZ28,"-")</f>
        <v>1</v>
      </c>
      <c r="FD28" s="54">
        <f t="shared" ref="FD28:FD38" si="154">IFERROR(FB28/$EZ28,"-")</f>
        <v>1</v>
      </c>
      <c r="FE28" s="8">
        <f>COUNTIFS('Raw data'!$D:$D,"*Joshua Harrup*", 'Raw data'!$Y:$Y,"*2nd*",'Raw data'!$I:$I,"*Key/Through pass*")</f>
        <v>0</v>
      </c>
      <c r="FF28" s="8">
        <f>COUNTIFS('Raw data'!$D:$D,"*Joshua Harrup*", 'Raw data'!$Y:$Y,"*2nd*",'Raw data'!$I:$I,"*Diagonal pass*")</f>
        <v>0</v>
      </c>
      <c r="FG28" s="8">
        <f>COUNTIFS('Raw data'!$D:$D,"*Joshua Harrup*", 'Raw data'!$Y:$Y,"*2nd*",'Raw data'!$I:$I,"*Diagonal pass*",'Raw data'!$M:$M,"*Pass completed*")</f>
        <v>0</v>
      </c>
      <c r="FH28" s="8">
        <f>COUNTIFS('Raw data'!$D:$D,"*Joshua Harrup*", 'Raw data'!$Y:$Y,"*2nd*",'Raw data'!$I:$I,"*Diagonal pass*",'Raw data'!$M:$M,"*Pass Uncompleted*")</f>
        <v>0</v>
      </c>
      <c r="FI28" s="54" t="str">
        <f t="shared" ref="FI28:FI38" si="155">IFERROR(FG28/$FF28,"-")</f>
        <v>-</v>
      </c>
      <c r="FJ28" s="54" t="str">
        <f t="shared" ref="FJ28:FJ38" si="156">IFERROR(FH28/$FF28,"-")</f>
        <v>-</v>
      </c>
      <c r="FK28" s="8">
        <f>COUNTIFS('Raw data'!$D:$D,"*Joshua Harrup*", 'Raw data'!$Y:$Y,"*2nd*",'Raw data'!$M:$M,"*Pass Received*")</f>
        <v>20</v>
      </c>
      <c r="FL28" s="8">
        <f>COUNTIFS('Raw data'!$D:$D,"*Joshua Harrup*", 'Raw data'!$Y:$Y,"*2nd*",'Raw data'!$M:$M,"*Pass Completed*",'Raw data'!$M:$M,"*Pass Received*")</f>
        <v>17</v>
      </c>
      <c r="FM28" s="8">
        <f>COUNTIFS('Raw data'!$D:$D,"*Joshua Harrup*", 'Raw data'!$Y:$Y,"*2nd*",'Raw data'!$M:$M,"*Pass Uncompleted*",'Raw data'!$M:$M,"*Pass Received*")</f>
        <v>5</v>
      </c>
      <c r="FN28" s="8">
        <f>COUNTIFS('Raw data'!$D:$D,"*Joshua Harrup*", 'Raw data'!$Y:$Y,"*2nd*",'Raw data'!$M:$M,"*Kept Possession*",'Raw data'!$M:$M,"*Pass Received*")</f>
        <v>0</v>
      </c>
      <c r="FO28" s="8">
        <f>COUNTIFS('Raw data'!$D:$D,"*Joshua Harrup*", 'Raw data'!$Y:$Y,"*2nd*",'Raw data'!$M:$M,"*Lost Possession*")</f>
        <v>0</v>
      </c>
      <c r="FP28" s="8">
        <f>COUNTIFS('Raw data'!$D:$D,"*Joshua Harrup*", 'Raw data'!$Y:$Y,"*2nd*",'Raw data'!$M:$M,"*Lost Possession*",'Raw data'!$M:$M,"*Lost Final 1/3*")</f>
        <v>0</v>
      </c>
      <c r="FQ28" s="8">
        <f>COUNTIFS('Raw data'!$D:$D,"*Joshua Harrup*", 'Raw data'!$Y:$Y,"*2nd*",'Raw data'!$M:$M,"*Lost Possession*",'Raw data'!$M:$M,"*Lost Middle 1/3*")</f>
        <v>0</v>
      </c>
      <c r="FR28" s="8">
        <f>COUNTIFS('Raw data'!$D:$D,"*Joshua Harrup*", 'Raw data'!$Y:$Y,"*2nd*",'Raw data'!$M:$M,"*Lost Possession*",'Raw data'!$M:$M,"*Lost Own 1/3*")</f>
        <v>0</v>
      </c>
      <c r="FS28" s="8">
        <f>COUNTIFS('Raw data'!$D:$D,"*Joshua Harrup*", 'Raw data'!$Y:$Y,"*2nd*",'Raw data'!$H:$H,"*Touches in the Box*")</f>
        <v>0</v>
      </c>
      <c r="FT28" s="8">
        <f>COUNTIFS('Raw data'!$D:$D,"*Joshua Harrup*", 'Raw data'!$Y:$Y,"*2nd*",'Raw data'!$H:$H,"*1v1 Attack*")</f>
        <v>1</v>
      </c>
      <c r="FU28" s="8">
        <f>COUNTIFS('Raw data'!$D:$D,"*Joshua Harrup*", 'Raw data'!$Y:$Y,"*2nd*",'Raw data'!$H:$H,"*1v1 Attack*",'Raw data'!$H:$H,"*1v1 Attack*",'Raw data'!$M:$M,"*Kept Possession*")</f>
        <v>1</v>
      </c>
      <c r="FV28" s="8">
        <f>COUNTIFS('Raw data'!$D:$D,"*Joshua Harrup*", 'Raw data'!$Y:$Y,"*2nd*",'Raw data'!$H:$H,"*1v1 Attack*",'Raw data'!$H:$H,"*1v1 Attack*",'Raw data'!$M:$M,"*Lost Possession*")</f>
        <v>0</v>
      </c>
      <c r="FW28" s="54">
        <f t="shared" ref="FW28:FW38" si="157">IFERROR(FU28/$FT28,"-")</f>
        <v>1</v>
      </c>
      <c r="FX28" s="54">
        <f t="shared" ref="FX28:FX38" si="158">IFERROR(FV28/$FT28,"-")</f>
        <v>0</v>
      </c>
      <c r="FY28" s="8">
        <f>COUNTIFS('Raw data'!$D:$D,"*Joshua Harrup*", 'Raw data'!$Y:$Y,"*2nd*",'Raw data'!$I:$I,"*Cross*")</f>
        <v>0</v>
      </c>
      <c r="FZ28" s="8">
        <f>COUNTIFS('Raw data'!$D:$D,"*Joshua Harrup*", 'Raw data'!$Y:$Y,"*2nd*",'Raw data'!$I:$I,"*Cross*",'Raw data'!$M:$M,"*Pass Completed*")</f>
        <v>0</v>
      </c>
      <c r="GA28" s="8">
        <f>COUNTIFS('Raw data'!$D:$D,"*Joshua Harrup*", 'Raw data'!$Y:$Y,"*2nd*",'Raw data'!$I:$I,"*Cross*",'Raw data'!$M:$M,"*Pass Uncompleted*")</f>
        <v>0</v>
      </c>
      <c r="GB28" s="54" t="str">
        <f t="shared" ref="GB28:GB38" si="159">IFERROR(FZ28/$FY28,"-")</f>
        <v>-</v>
      </c>
      <c r="GC28" s="54" t="str">
        <f t="shared" ref="GC28:GC38" si="160">IFERROR(GA28/$FY28,"-")</f>
        <v>-</v>
      </c>
      <c r="GD28" s="8">
        <f t="shared" ref="GD28:GD38" si="161">SUM(GE28:GG28)</f>
        <v>0</v>
      </c>
      <c r="GE28" s="8">
        <f>COUNTIFS('Raw data'!$D:$D,"*Joshua Harrup*", 'Raw data'!$Y:$Y,"*2nd*",'Raw data'!$L:$L,"*On Target*")</f>
        <v>0</v>
      </c>
      <c r="GF28" s="8">
        <f>COUNTIFS('Raw data'!$D:$D,"*Joshua Harrup*", 'Raw data'!$Y:$Y,"*2nd*",'Raw data'!$L:$L,"*Off Target*")</f>
        <v>0</v>
      </c>
      <c r="GG28" s="8">
        <f>COUNTIFS('Raw data'!$D:$D,"*Joshua Harrup*", 'Raw data'!$Y:$Y,"*2nd*",'Raw data'!$L:$L,"*Blocked*")</f>
        <v>0</v>
      </c>
      <c r="GH28" s="8">
        <f>COUNTIFS('Raw data'!$D:$D,"*Joshua Harrup*", 'Raw data'!$Y:$Y,"*2nd*",'Raw data'!$M:$M,"*Goal*")</f>
        <v>0</v>
      </c>
      <c r="GI28" s="8">
        <f>COUNTIFS('Raw data'!$D:$D,"*Joshua Harrup*", 'Raw data'!$Y:$Y,"*2nd*",'Raw data'!$M:$M,"*Assist*")</f>
        <v>0</v>
      </c>
      <c r="GJ28" s="8">
        <f>COUNTIFS('Raw data'!$D:$D,"*Joshua Harrup*", 'Raw data'!$Y:$Y,"*2nd*",'Raw data'!$H:$H,"*Offensive duel*")</f>
        <v>0</v>
      </c>
      <c r="GK28" s="8">
        <f>COUNTIFS('Raw data'!$D:$D,"*Joshua Harrup*", 'Raw data'!$Y:$Y,"*2nd*",'Raw data'!$H:$H,"*Offensive Duel*",'Raw data'!$H:$H,"*Offensive Duel*",'Raw data'!$M:$M,"*Kept Possession*")</f>
        <v>0</v>
      </c>
      <c r="GL28" s="8">
        <f>COUNTIFS('Raw data'!$D:$D,"*Joshua Harrup*", 'Raw data'!$Y:$Y,"*2nd*",'Raw data'!$H:$H,"*Offensive Duel*",'Raw data'!$H:$H,"*Offensive Duel*",'Raw data'!$M:$M,"*Lost Possession*")</f>
        <v>0</v>
      </c>
      <c r="GM28" s="54" t="str">
        <f t="shared" ref="GM28:GM38" si="162">IFERROR(GK28/$GJ28,"-")</f>
        <v>-</v>
      </c>
      <c r="GN28" s="54" t="str">
        <f t="shared" ref="GN28:GN38" si="163">IFERROR(GL28/$GJ28,"-")</f>
        <v>-</v>
      </c>
      <c r="GO28" s="8">
        <f>COUNTIFS('Raw data'!$D:$D,"*Joshua Harrup*", 'Raw data'!$Y:$Y,"*2nd*",'Raw data'!$H:$H,"*Acceleration*")</f>
        <v>0</v>
      </c>
      <c r="GP28" s="8">
        <f>COUNTIFS('Raw data'!$D:$D,"*Joshua Harrup*", 'Raw data'!$Y:$Y,"*2nd*",'Raw data'!$H:$H,"*Move into Pocket*")</f>
        <v>0</v>
      </c>
      <c r="GQ28" s="8">
        <f>COUNTIFS('Raw data'!$D:$D,"*Joshua Harrup*", 'Raw data'!$Y:$Y,"*2nd*",'Raw data'!$H:$H,"*Wide area*")</f>
        <v>0</v>
      </c>
      <c r="GR28" s="8">
        <f>COUNTIFS('Raw data'!$D:$D,"*Joshua Harrup*", 'Raw data'!$Y:$Y,"*2nd*",'Raw data'!$H:$H,"*Back to goal*")</f>
        <v>0</v>
      </c>
      <c r="GS28" s="8">
        <f>COUNTIFS('Raw data'!$D:$D,"*Joshua Harrup*", 'Raw data'!$Y:$Y,"*2nd*",'Raw data'!$H:$H,"*Over/Underlaps*")</f>
        <v>0</v>
      </c>
      <c r="GT28" s="8">
        <f>COUNTIFS('Raw data'!$D:$D,"*Joshua Harrup*", 'Raw data'!$Y:$Y,"*2nd*",'Raw data'!$H:$H,"*Runs in Behind*")</f>
        <v>0</v>
      </c>
      <c r="GU28" s="8">
        <f>COUNTIFS('Raw data'!$D:$D,"*Joshua Harrup*", 'Raw data'!$Y:$Y,"*2nd*",'Raw data'!$H:$H,"*Half-space Runs*")</f>
        <v>0</v>
      </c>
      <c r="GV28" s="8">
        <f t="shared" ref="GV28:GV38" si="164">SUM(GJ28,HA28,HF28)</f>
        <v>0</v>
      </c>
      <c r="GW28" s="8">
        <f t="shared" ref="GW28:GW38" si="165">SUM(GK28,HB28,HG28)</f>
        <v>0</v>
      </c>
      <c r="GX28" s="8">
        <f t="shared" ref="GX28:GX38" si="166">SUM(GL28,HC28,HH28)</f>
        <v>0</v>
      </c>
      <c r="GY28" s="54" t="str">
        <f t="shared" ref="GY28:GY38" si="167">IFERROR(GW28/$GV28,"-")</f>
        <v>-</v>
      </c>
      <c r="GZ28" s="54" t="str">
        <f t="shared" ref="GZ28:GZ38" si="168">IFERROR(GX28/$GV28,"-")</f>
        <v>-</v>
      </c>
      <c r="HA28" s="8">
        <f>COUNTIFS('Raw data'!$D:$D,"*Joshua Harrup*", 'Raw data'!$Y:$Y,"*2nd*",'Raw data'!$K:$K,"*Ground duel*")</f>
        <v>0</v>
      </c>
      <c r="HB28" s="8">
        <f>COUNTIFS('Raw data'!$D:$D,"*Joshua Harrup*", 'Raw data'!$Y:$Y,"*2nd*",'Raw data'!$K:$K,"*Ground duel*",'Raw data'!$M:$M,"*Duel Succeeded*")</f>
        <v>0</v>
      </c>
      <c r="HC28" s="8">
        <f>COUNTIFS('Raw data'!$D:$D,"*Joshua Harrup*", 'Raw data'!$Y:$Y,"*2nd*",'Raw data'!$K:$K,"*Ground duel*",'Raw data'!$M:$M,"*Duel Unsucceeded*")</f>
        <v>0</v>
      </c>
      <c r="HD28" s="54" t="str">
        <f t="shared" ref="HD28:HD38" si="169">IFERROR(HB28/$HA28,"-")</f>
        <v>-</v>
      </c>
      <c r="HE28" s="54" t="str">
        <f t="shared" ref="HE28:HE38" si="170">IFERROR(HC28/$HA28,"-")</f>
        <v>-</v>
      </c>
      <c r="HF28" s="8">
        <f>COUNTIFS('Raw data'!$D:$D,"*Joshua Harrup*", 'Raw data'!$Y:$Y,"*2nd*",'Raw data'!$K:$K,"*Aerial duel*")</f>
        <v>0</v>
      </c>
      <c r="HG28" s="8">
        <f>COUNTIFS('Raw data'!$D:$D,"*Joshua Harrup*", 'Raw data'!$Y:$Y,"*2nd*",'Raw data'!$K:$K,"*Aerial duel*",'Raw data'!$M:$M,"*Duel Succeeded*")</f>
        <v>0</v>
      </c>
      <c r="HH28" s="8">
        <f>COUNTIFS('Raw data'!$D:$D,"*Joshua Harrup*", 'Raw data'!$Y:$Y,"*2nd*",'Raw data'!$K:$K,"*Aerial duel*",'Raw data'!$M:$M,"*Duel Unsucceeded*")</f>
        <v>0</v>
      </c>
      <c r="HI28" s="54" t="str">
        <f t="shared" ref="HI28:HI38" si="171">IFERROR(HG28/$HG28,"-")</f>
        <v>-</v>
      </c>
      <c r="HJ28" s="54" t="str">
        <f t="shared" ref="HJ28:HJ38" si="172">IFERROR(HH28/$HG28,"-")</f>
        <v>-</v>
      </c>
      <c r="HK28" s="8">
        <f>COUNTIFS('Raw data'!$D:$D,"*Joshua Harrup*", 'Raw data'!$Y:$Y,"*2nd*",'Raw data'!$K:$K,"*1v1 defense*")</f>
        <v>0</v>
      </c>
      <c r="HL28" s="8">
        <f>COUNTIFS('Raw data'!$D:$D,"*Joshua Harrup*", 'Raw data'!$Y:$Y,"*2nd*",'Raw data'!$K:$K,"*1v1 defense*",'Raw data'!$M:$M,"*Duel Succeeded*")</f>
        <v>0</v>
      </c>
      <c r="HM28" s="8">
        <f>COUNTIFS('Raw data'!$D:$D,"*Joshua Harrup*", 'Raw data'!$Y:$Y,"*2nd*",'Raw data'!$K:$K,"*1v1 defense*",'Raw data'!$M:$M,"*Duel Unsucceeded*")</f>
        <v>0</v>
      </c>
      <c r="HN28" s="54" t="str">
        <f t="shared" ref="HN28:HN38" si="173">IFERROR(HL28/$HK28,"-")</f>
        <v>-</v>
      </c>
      <c r="HO28" s="54" t="str">
        <f t="shared" ref="HO28:HO38" si="174">IFERROR(HM28/$HK28,"-")</f>
        <v>-</v>
      </c>
      <c r="HP28" s="8">
        <f>COUNTIFS('Raw data'!$D:$D,"*Joshua Harrup*", 'Raw data'!$Y:$Y,"*2nd*",'Raw data'!$J:$J,"*Tackles*")</f>
        <v>0</v>
      </c>
      <c r="HQ28" s="8">
        <f>COUNTIFS('Raw data'!$D:$D,"*Joshua Harrup*", 'Raw data'!$Y:$Y,"*2nd*",'Raw data'!$J:$J,"*Tackles*", 'Raw data'!$M:$M,"*Duel Succeeded*")</f>
        <v>0</v>
      </c>
      <c r="HR28" s="8">
        <f>COUNTIFS('Raw data'!$D:$D,"*Joshua Harrup*", 'Raw data'!$Y:$Y,"*2nd*",'Raw data'!$J:$J,"*Tackles*", 'Raw data'!$M:$M,"*Duel Unsucceeded*")</f>
        <v>0</v>
      </c>
      <c r="HS28" s="54" t="str">
        <f t="shared" ref="HS28:HS38" si="175">IFERROR(HQ28/$HP28,"-")</f>
        <v>-</v>
      </c>
      <c r="HT28" s="54" t="str">
        <f t="shared" ref="HT28:HT38" si="176">IFERROR(HR28/$HP28,"-")</f>
        <v>-</v>
      </c>
      <c r="HU28" s="8">
        <f>COUNTIFS('Raw data'!$D:$D,"*Joshua Harrup*", 'Raw data'!$Y:$Y,"*2nd*",'Raw data'!$K:$K,"*2nd Balls*")</f>
        <v>0</v>
      </c>
      <c r="HV28" s="8">
        <f>COUNTIFS('Raw data'!$D:$D,"*Joshua Harrup*", 'Raw data'!$Y:$Y,"*2nd*",'Raw data'!$K:$K,"*2nd Balls*", 'Raw data'!$M:$M,"*Duel Succeeded*")</f>
        <v>0</v>
      </c>
      <c r="HW28" s="8">
        <f>COUNTIFS('Raw data'!$D:$D,"*Joshua Harrup*", 'Raw data'!$Y:$Y,"*2nd*",'Raw data'!$K:$K,"*2nd Balls*", 'Raw data'!$M:$M,"*Duel Unsucceeded*")</f>
        <v>0</v>
      </c>
      <c r="HX28" s="54" t="str">
        <f t="shared" ref="HX28:HX38" si="177">IFERROR(HV28/$HU28,"-")</f>
        <v>-</v>
      </c>
      <c r="HY28" s="54" t="str">
        <f t="shared" ref="HY28:HY38" si="178">IFERROR(HW28/$HU28,"-")</f>
        <v>-</v>
      </c>
      <c r="HZ28" s="8">
        <f>COUNTIFS('Raw data'!$D:$D,"*Joshua Harrup*", 'Raw data'!$Y:$Y,"*2nd*",'Raw data'!$J:$J,"*Clearance*")</f>
        <v>0</v>
      </c>
      <c r="IA28" s="8">
        <f>COUNTIFS('Raw data'!$D:$D,"*Joshua Harrup*", 'Raw data'!$Y:$Y,"*2nd*",'Raw data'!$J:$J,"*Interception*")</f>
        <v>0</v>
      </c>
      <c r="IB28" s="8">
        <f>COUNTIFS('Raw data'!$D:$D,"*Joshua Harrup*", 'Raw data'!$Y:$Y,"*2nd*",'Raw data'!$J:$J,"*Turnover Won*")</f>
        <v>0</v>
      </c>
      <c r="IC28" s="8">
        <f>COUNTIFS('Raw data'!$D:$D,"*Joshua Harrup*", 'Raw data'!$Y:$Y,"*2nd*",'Raw data'!$J:$J,"*Recovery*")</f>
        <v>0</v>
      </c>
      <c r="ID28" s="8">
        <f>COUNTIFS('Raw data'!$D:$D,"*Joshua Harrup*", 'Raw data'!$Y:$Y,"*2nd*",'Raw data'!$J:$J,"*Blocked Shots*")</f>
        <v>0</v>
      </c>
      <c r="IE28" s="8">
        <f>COUNTIFS('Raw data'!$D:$D,"*Joshua Harrup*", 'Raw data'!$Y:$Y,"*2nd*",'Raw data'!$J:$J,"*Man-marking*")</f>
        <v>0</v>
      </c>
      <c r="IF28" s="8">
        <f>COUNTIFS('Raw data'!$D:$D,"*Joshua Harrup*", 'Raw data'!$Y:$Y,"*2nd*",'Raw data'!$J:$J,"*Fouls*")</f>
        <v>0</v>
      </c>
      <c r="IG28" s="8">
        <f>COUNTIFS('Raw data'!$D:$D,"*Joshua Harrup*", 'Raw data'!$Y:$Y,"*2nd*",'Raw data'!$J:$J,"*Won F*")</f>
        <v>0</v>
      </c>
      <c r="IH28" s="8">
        <f>COUNTIFS('Raw data'!$D:$D,"*Joshua Harrup*", 'Raw data'!$Y:$Y,"*2nd*",'Raw data'!$G:$G,"*1v1*")</f>
        <v>0</v>
      </c>
      <c r="II28" s="8">
        <f>COUNTIFS('Raw data'!$D:$D,"*Joshua Harrup*", 'Raw data'!$Y:$Y,"*2nd*",'Raw data'!$G:$G,"*On Target*")</f>
        <v>3</v>
      </c>
      <c r="IJ28" s="8">
        <f>COUNTIFS('Raw data'!$D:$D,"*Joshua Harrup*", 'Raw data'!$Y:$Y,"*2nd*",'Raw data'!$G:$G,"*Off Target*")</f>
        <v>1</v>
      </c>
      <c r="IK28" s="8">
        <f>COUNTIFS('Raw data'!$D:$D,"*Joshua Harrup*", 'Raw data'!$Y:$Y,"*2nd*",'Raw data'!$G:$G,"*Defend the Space*")</f>
        <v>2</v>
      </c>
      <c r="IL28" s="8">
        <f>COUNTIFS('Raw data'!$D:$D,"*Joshua Harrup*", 'Raw data'!$Y:$Y,"*2nd*",'Raw data'!$G:$G,"*Conceded*")</f>
        <v>1</v>
      </c>
      <c r="IM28" s="8">
        <f>COUNTIFS('Raw data'!$D:$D,"*Joshua Harrup*", 'Raw data'!$Y:$Y,"*2nd*",'Raw data'!$G:$G,"*Save*")</f>
        <v>0</v>
      </c>
      <c r="IN28" s="8">
        <f>COUNTIFS('Raw data'!$D:$D,"*Joshua Harrup*", 'Raw data'!$Y:$Y,"*2nd*",'Raw data'!$G:$G,"*Defend the line (Cross)*")</f>
        <v>0</v>
      </c>
      <c r="IO28" s="8">
        <f>COUNTIFS('Raw data'!$D:$D,"*Joshua Harrup*", 'Raw data'!$Y:$Y,"*2nd*",'Raw data'!$G:$G,"*Counter Kick*")</f>
        <v>0</v>
      </c>
      <c r="IP28" t="s">
        <v>652</v>
      </c>
    </row>
    <row r="29" spans="2:250">
      <c r="C29" s="7"/>
      <c r="DW29" t="s">
        <v>462</v>
      </c>
      <c r="DX29" t="s">
        <v>658</v>
      </c>
      <c r="DY29">
        <v>40</v>
      </c>
      <c r="DZ29" t="s">
        <v>153</v>
      </c>
      <c r="EA29">
        <f t="shared" si="138"/>
        <v>41</v>
      </c>
      <c r="EB29" s="8">
        <f t="shared" si="139"/>
        <v>31</v>
      </c>
      <c r="EC29" s="8">
        <f t="shared" si="139"/>
        <v>10</v>
      </c>
      <c r="ED29" s="54">
        <f t="shared" si="140"/>
        <v>0.75609756097560976</v>
      </c>
      <c r="EE29" s="54">
        <f t="shared" si="141"/>
        <v>0.24390243902439024</v>
      </c>
      <c r="EF29">
        <f t="shared" si="142"/>
        <v>18</v>
      </c>
      <c r="EG29">
        <f>COUNTIFS('Raw data'!$D:$D,"*Melvin Brandford*", 'Raw data'!$Y:$Y,"*2nd*",'Raw data'!$I:$I,"*Forward Pass*",'Raw data'!$M:$M,"*Pass completed*")</f>
        <v>11</v>
      </c>
      <c r="EH29">
        <f>COUNTIFS('Raw data'!$D:$D,"*Melvin Brandford*", 'Raw data'!$Y:$Y,"*2nd*",'Raw data'!$I:$I,"*Forward Pass*",'Raw data'!$M:$M,"*Pass Uncompleted*")</f>
        <v>7</v>
      </c>
      <c r="EI29" s="54">
        <f t="shared" si="143"/>
        <v>0.61111111111111116</v>
      </c>
      <c r="EJ29" s="54">
        <f t="shared" si="144"/>
        <v>0.3888888888888889</v>
      </c>
      <c r="EK29">
        <f t="shared" si="145"/>
        <v>10</v>
      </c>
      <c r="EL29" s="8">
        <f>COUNTIFS('Raw data'!$D:$D,"*Melvin Brandford*", 'Raw data'!$Y:$Y,"*2nd*",'Raw data'!$I:$I,"*Lateral Pass*",'Raw data'!$M:$M,"*Pass completed*")</f>
        <v>9</v>
      </c>
      <c r="EM29" s="8">
        <f>COUNTIFS('Raw data'!$D:$D,"*Melvin Brandford*", 'Raw data'!$Y:$Y,"*2nd*",'Raw data'!$I:$I,"*Lateral Pass*",'Raw data'!$M:$M,"*Pass Uncompleted*")</f>
        <v>1</v>
      </c>
      <c r="EN29" s="54">
        <f t="shared" si="146"/>
        <v>0.9</v>
      </c>
      <c r="EO29" s="54">
        <f t="shared" si="147"/>
        <v>0.1</v>
      </c>
      <c r="EP29">
        <f t="shared" si="148"/>
        <v>13</v>
      </c>
      <c r="EQ29" s="8">
        <f>COUNTIFS('Raw data'!$D:$D,"*Melvin Brandford*", 'Raw data'!$Y:$Y,"*2nd*",'Raw data'!$I:$I,"*Backward Pass*",'Raw data'!$M:$M,"*Pass completed*")</f>
        <v>11</v>
      </c>
      <c r="ER29" s="8">
        <f>COUNTIFS('Raw data'!$D:$D,"*Melvin Brandford*", 'Raw data'!$Y:$Y,"*2nd*",'Raw data'!$I:$I,"*Backward Pass*",'Raw data'!$M:$M,"*Pass Uncompleted*")</f>
        <v>2</v>
      </c>
      <c r="ES29" s="54">
        <f t="shared" si="149"/>
        <v>1</v>
      </c>
      <c r="ET29" s="54">
        <f t="shared" si="150"/>
        <v>0.18181818181818182</v>
      </c>
      <c r="EU29" s="8">
        <f>COUNTIFS('Raw data'!$D:$D,"*Melvin Brandford*", 'Raw data'!$Y:$Y,"*2nd*",'Raw data'!$I:$I,"*Long Kick*")</f>
        <v>6</v>
      </c>
      <c r="EV29" s="8">
        <f>COUNTIFS('Raw data'!$D:$D,"*Melvin Brandford*", 'Raw data'!$Y:$Y,"*2nd*",'Raw data'!$I:$I,"*Long Kick*",'Raw data'!$M:$M,"*Pass completed*")</f>
        <v>3</v>
      </c>
      <c r="EW29" s="8">
        <f>COUNTIFS('Raw data'!$D:$D,"*Melvin Brandford*", 'Raw data'!$Y:$Y,"*2nd*",'Raw data'!$I:$I,"*Long Kick*",'Raw data'!$M:$M,"*Pass Uncompleted*")</f>
        <v>4</v>
      </c>
      <c r="EX29" s="54">
        <f t="shared" si="151"/>
        <v>0.5</v>
      </c>
      <c r="EY29" s="54">
        <f t="shared" si="152"/>
        <v>0.66666666666666663</v>
      </c>
      <c r="EZ29" s="8">
        <f>COUNTIFS('Raw data'!$D:$D,"*Melvin Brandford*", 'Raw data'!$Y:$Y,"*2nd*",'Raw data'!$I:$I,"*Balls in Behind*")</f>
        <v>1</v>
      </c>
      <c r="FA29" s="8">
        <f>COUNTIFS('Raw data'!$D:$D,"*Melvin Brandford*", 'Raw data'!$Y:$Y,"*2nd*",'Raw data'!$I:$I,"*Balls in Behind*",'Raw data'!$M:$M,"*Pass completed*")</f>
        <v>1</v>
      </c>
      <c r="FB29" s="8">
        <f>COUNTIFS('Raw data'!$D:$D,"*Melvin Brandford*", 'Raw data'!$Y:$Y,"*2nd*",'Raw data'!$I:$I,"*Balls in Behind*",'Raw data'!$M:$M,"*Pass Uncompleted*")</f>
        <v>0</v>
      </c>
      <c r="FC29" s="54">
        <f t="shared" si="153"/>
        <v>1</v>
      </c>
      <c r="FD29" s="54">
        <f t="shared" si="154"/>
        <v>0</v>
      </c>
      <c r="FE29" s="8">
        <f>COUNTIFS('Raw data'!$D:$D,"*Melvin Brandford*", 'Raw data'!$Y:$Y,"*2nd*",'Raw data'!$I:$I,"*Key/Through pass*")</f>
        <v>0</v>
      </c>
      <c r="FF29" s="8">
        <f>COUNTIFS('Raw data'!$D:$D,"*Melvin Brandford*", 'Raw data'!$Y:$Y,"*2nd*",'Raw data'!$I:$I,"*Diagonal pass*")</f>
        <v>0</v>
      </c>
      <c r="FG29" s="8">
        <f>COUNTIFS('Raw data'!$D:$D,"*Melvin Brandford*", 'Raw data'!$Y:$Y,"*2nd*",'Raw data'!$I:$I,"*Diagonal pass*",'Raw data'!$M:$M,"*Pass completed*")</f>
        <v>0</v>
      </c>
      <c r="FH29" s="8">
        <f>COUNTIFS('Raw data'!$D:$D,"*Melvin Brandford*", 'Raw data'!$Y:$Y,"*2nd*",'Raw data'!$I:$I,"*Diagonal pass*",'Raw data'!$M:$M,"*Pass Uncompleted*")</f>
        <v>0</v>
      </c>
      <c r="FI29" s="54" t="str">
        <f t="shared" si="155"/>
        <v>-</v>
      </c>
      <c r="FJ29" s="54" t="str">
        <f t="shared" si="156"/>
        <v>-</v>
      </c>
      <c r="FK29" s="8">
        <f>COUNTIFS('Raw data'!$D:$D,"*Melvin Brandford*", 'Raw data'!$Y:$Y,"*2nd*",'Raw data'!$M:$M,"*Pass Received*")</f>
        <v>33</v>
      </c>
      <c r="FL29" s="8">
        <f>COUNTIFS('Raw data'!$D:$D,"*Melvin Brandford*", 'Raw data'!$Y:$Y,"*2nd*",'Raw data'!$M:$M,"*Pass Completed*",'Raw data'!$M:$M,"*Pass Received*")</f>
        <v>25</v>
      </c>
      <c r="FM29" s="8">
        <f>COUNTIFS('Raw data'!$D:$D,"*Melvin Brandford*", 'Raw data'!$Y:$Y,"*2nd*",'Raw data'!$M:$M,"*Pass Uncompleted*",'Raw data'!$M:$M,"*Pass Received*")</f>
        <v>7</v>
      </c>
      <c r="FN29" s="8">
        <f>COUNTIFS('Raw data'!$D:$D,"*Melvin Brandford*", 'Raw data'!$Y:$Y,"*2nd*",'Raw data'!$M:$M,"*Kept Possession*",'Raw data'!$M:$M,"*Pass Received*")</f>
        <v>0</v>
      </c>
      <c r="FO29" s="8">
        <f>COUNTIFS('Raw data'!$D:$D,"*Melvin Brandford*", 'Raw data'!$Y:$Y,"*2nd*",'Raw data'!$M:$M,"*Lost Possession*")</f>
        <v>2</v>
      </c>
      <c r="FP29" s="8">
        <f>COUNTIFS('Raw data'!$D:$D,"*Melvin Brandford*", 'Raw data'!$Y:$Y,"*2nd*",'Raw data'!$M:$M,"*Lost Possession*",'Raw data'!$M:$M,"*Lost Final 1/3*")</f>
        <v>0</v>
      </c>
      <c r="FQ29" s="8">
        <f>COUNTIFS('Raw data'!$D:$D,"*Melvin Brandford*", 'Raw data'!$Y:$Y,"*2nd*",'Raw data'!$M:$M,"*Lost Possession*",'Raw data'!$M:$M,"*Lost Middle 1/3*")</f>
        <v>0</v>
      </c>
      <c r="FR29" s="8">
        <f>COUNTIFS('Raw data'!$D:$D,"*Melvin Brandford*", 'Raw data'!$Y:$Y,"*2nd*",'Raw data'!$M:$M,"*Lost Possession*",'Raw data'!$M:$M,"*Lost Own 1/3*")</f>
        <v>2</v>
      </c>
      <c r="FS29" s="8">
        <f>COUNTIFS('Raw data'!$D:$D,"*Melvin Brandford*", 'Raw data'!$Y:$Y,"*2nd*",'Raw data'!$H:$H,"*Touches in the Box*")</f>
        <v>0</v>
      </c>
      <c r="FT29" s="8">
        <f>COUNTIFS('Raw data'!$D:$D,"*Melvin Brandford*", 'Raw data'!$Y:$Y,"*2nd*",'Raw data'!$H:$H,"*1v1 Attack*")</f>
        <v>1</v>
      </c>
      <c r="FU29" s="8">
        <f>COUNTIFS('Raw data'!$D:$D,"*Melvin Brandford*", 'Raw data'!$Y:$Y,"*2nd*",'Raw data'!$H:$H,"*1v1 Attack*",'Raw data'!$H:$H,"*1v1 Attack*",'Raw data'!$M:$M,"*Kept Possession*")</f>
        <v>0</v>
      </c>
      <c r="FV29" s="8">
        <f>COUNTIFS('Raw data'!$D:$D,"*Melvin Brandford*", 'Raw data'!$Y:$Y,"*2nd*",'Raw data'!$H:$H,"*1v1 Attack*",'Raw data'!$H:$H,"*1v1 Attack*",'Raw data'!$M:$M,"*Lost Possession*")</f>
        <v>1</v>
      </c>
      <c r="FW29" s="54">
        <f t="shared" si="157"/>
        <v>0</v>
      </c>
      <c r="FX29" s="54">
        <f t="shared" si="158"/>
        <v>1</v>
      </c>
      <c r="FY29" s="8">
        <f>COUNTIFS('Raw data'!$D:$D,"*Melvin Brandford*", 'Raw data'!$Y:$Y,"*2nd*",'Raw data'!$I:$I,"*Cross*")</f>
        <v>1</v>
      </c>
      <c r="FZ29" s="8">
        <f>COUNTIFS('Raw data'!$D:$D,"*Melvin Brandford*", 'Raw data'!$Y:$Y,"*2nd*",'Raw data'!$I:$I,"*Cross*",'Raw data'!$M:$M,"*Pass Completed*")</f>
        <v>0</v>
      </c>
      <c r="GA29" s="8">
        <f>COUNTIFS('Raw data'!$D:$D,"*Melvin Brandford*", 'Raw data'!$Y:$Y,"*2nd*",'Raw data'!$I:$I,"*Cross*",'Raw data'!$M:$M,"*Pass Uncompleted*")</f>
        <v>1</v>
      </c>
      <c r="GB29" s="54">
        <f t="shared" si="159"/>
        <v>0</v>
      </c>
      <c r="GC29" s="54">
        <f t="shared" si="160"/>
        <v>1</v>
      </c>
      <c r="GD29" s="8">
        <f t="shared" si="161"/>
        <v>0</v>
      </c>
      <c r="GE29" s="8">
        <f>COUNTIFS('Raw data'!$D:$D,"*Melvin Brandford*", 'Raw data'!$Y:$Y,"*2nd*",'Raw data'!$L:$L,"*On Target*")</f>
        <v>0</v>
      </c>
      <c r="GF29" s="8">
        <f>COUNTIFS('Raw data'!$D:$D,"*Melvin Brandford*", 'Raw data'!$Y:$Y,"*2nd*",'Raw data'!$L:$L,"*Off Target*")</f>
        <v>0</v>
      </c>
      <c r="GG29" s="8">
        <f>COUNTIFS('Raw data'!$D:$D,"*Melvin Brandford*", 'Raw data'!$Y:$Y,"*2nd*",'Raw data'!$L:$L,"*Blocked*")</f>
        <v>0</v>
      </c>
      <c r="GH29" s="8">
        <f>COUNTIFS('Raw data'!$D:$D,"*Melvin Brandford*", 'Raw data'!$Y:$Y,"*2nd*",'Raw data'!$M:$M,"*Goal*")</f>
        <v>0</v>
      </c>
      <c r="GI29" s="8">
        <f>COUNTIFS('Raw data'!$D:$D,"*Melvin Brandford*", 'Raw data'!$Y:$Y,"*2nd*",'Raw data'!$M:$M,"*Assist*")</f>
        <v>0</v>
      </c>
      <c r="GJ29" s="8">
        <f>COUNTIFS('Raw data'!$D:$D,"*Melvin Brandford*", 'Raw data'!$Y:$Y,"*2nd*",'Raw data'!$H:$H,"*Offensive duel*")</f>
        <v>0</v>
      </c>
      <c r="GK29" s="8">
        <f>COUNTIFS('Raw data'!$D:$D,"*Melvin Brandford*", 'Raw data'!$Y:$Y,"*2nd*",'Raw data'!$H:$H,"*Offensive Duel*",'Raw data'!$H:$H,"*Offensive Duel*",'Raw data'!$M:$M,"*Kept Possession*")</f>
        <v>0</v>
      </c>
      <c r="GL29" s="8">
        <f>COUNTIFS('Raw data'!$D:$D,"*Melvin Brandford*", 'Raw data'!$Y:$Y,"*2nd*",'Raw data'!$H:$H,"*Offensive Duel*",'Raw data'!$H:$H,"*Offensive Duel*",'Raw data'!$M:$M,"*Lost Possession*")</f>
        <v>0</v>
      </c>
      <c r="GM29" s="54" t="str">
        <f t="shared" si="162"/>
        <v>-</v>
      </c>
      <c r="GN29" s="54" t="str">
        <f t="shared" si="163"/>
        <v>-</v>
      </c>
      <c r="GO29" s="8">
        <f>COUNTIFS('Raw data'!$D:$D,"*Melvin Brandford*", 'Raw data'!$Y:$Y,"*2nd*",'Raw data'!$H:$H,"*Acceleration*")</f>
        <v>2</v>
      </c>
      <c r="GP29" s="8">
        <f>COUNTIFS('Raw data'!$D:$D,"*Melvin Brandford*", 'Raw data'!$Y:$Y,"*2nd*",'Raw data'!$H:$H,"*Move into Pocket*")</f>
        <v>0</v>
      </c>
      <c r="GQ29" s="8">
        <f>COUNTIFS('Raw data'!$D:$D,"*Melvin Brandford*", 'Raw data'!$Y:$Y,"*2nd*",'Raw data'!$H:$H,"*Wide area*")</f>
        <v>1</v>
      </c>
      <c r="GR29" s="8">
        <f>COUNTIFS('Raw data'!$D:$D,"*Melvin Brandford*", 'Raw data'!$Y:$Y,"*2nd*",'Raw data'!$H:$H,"*Back to goal*")</f>
        <v>0</v>
      </c>
      <c r="GS29" s="8">
        <f>COUNTIFS('Raw data'!$D:$D,"*Melvin Brandford*", 'Raw data'!$Y:$Y,"*2nd*",'Raw data'!$H:$H,"*Over/Underlaps*")</f>
        <v>0</v>
      </c>
      <c r="GT29" s="8">
        <f>COUNTIFS('Raw data'!$D:$D,"*Melvin Brandford*", 'Raw data'!$Y:$Y,"*2nd*",'Raw data'!$H:$H,"*Runs in Behind*")</f>
        <v>0</v>
      </c>
      <c r="GU29" s="8">
        <f>COUNTIFS('Raw data'!$D:$D,"*Melvin Brandford*", 'Raw data'!$Y:$Y,"*2nd*",'Raw data'!$H:$H,"*Half-space Runs*")</f>
        <v>0</v>
      </c>
      <c r="GV29" s="8">
        <f t="shared" si="164"/>
        <v>1</v>
      </c>
      <c r="GW29" s="8">
        <f t="shared" si="165"/>
        <v>0</v>
      </c>
      <c r="GX29" s="8">
        <f t="shared" si="166"/>
        <v>1</v>
      </c>
      <c r="GY29" s="54">
        <f t="shared" si="167"/>
        <v>0</v>
      </c>
      <c r="GZ29" s="54">
        <f t="shared" si="168"/>
        <v>1</v>
      </c>
      <c r="HA29" s="8">
        <f>COUNTIFS('Raw data'!$D:$D,"*Melvin Brandford*", 'Raw data'!$Y:$Y,"*2nd*",'Raw data'!$K:$K,"*Ground duel*")</f>
        <v>1</v>
      </c>
      <c r="HB29" s="8">
        <f>COUNTIFS('Raw data'!$D:$D,"*Melvin Brandford*", 'Raw data'!$Y:$Y,"*2nd*",'Raw data'!$K:$K,"*Ground duel*",'Raw data'!$M:$M,"*Duel Succeeded*")</f>
        <v>0</v>
      </c>
      <c r="HC29" s="8">
        <f>COUNTIFS('Raw data'!$D:$D,"*Melvin Brandford*", 'Raw data'!$Y:$Y,"*2nd*",'Raw data'!$K:$K,"*Ground duel*",'Raw data'!$M:$M,"*Duel Unsucceeded*")</f>
        <v>1</v>
      </c>
      <c r="HD29" s="54">
        <f t="shared" si="169"/>
        <v>0</v>
      </c>
      <c r="HE29" s="54">
        <f t="shared" si="170"/>
        <v>1</v>
      </c>
      <c r="HF29" s="8">
        <f>COUNTIFS('Raw data'!$D:$D,"*Melvin Brandford*", 'Raw data'!$Y:$Y,"*2nd*",'Raw data'!$K:$K,"*Aerial duel*")</f>
        <v>0</v>
      </c>
      <c r="HG29" s="8">
        <f>COUNTIFS('Raw data'!$D:$D,"*Melvin Brandford*", 'Raw data'!$Y:$Y,"*2nd*",'Raw data'!$K:$K,"*Aerial duel*",'Raw data'!$M:$M,"*Duel Succeeded*")</f>
        <v>0</v>
      </c>
      <c r="HH29" s="8">
        <f>COUNTIFS('Raw data'!$D:$D,"*Melvin Brandford*", 'Raw data'!$Y:$Y,"*2nd*",'Raw data'!$K:$K,"*Aerial duel*",'Raw data'!$M:$M,"*Duel Unsucceeded*")</f>
        <v>0</v>
      </c>
      <c r="HI29" s="54" t="str">
        <f t="shared" si="171"/>
        <v>-</v>
      </c>
      <c r="HJ29" s="54" t="str">
        <f t="shared" si="172"/>
        <v>-</v>
      </c>
      <c r="HK29" s="8">
        <f>COUNTIFS('Raw data'!$D:$D,"*Melvin Brandford*", 'Raw data'!$Y:$Y,"*2nd*",'Raw data'!$K:$K,"*1v1 defense*")</f>
        <v>1</v>
      </c>
      <c r="HL29" s="8">
        <f>COUNTIFS('Raw data'!$D:$D,"*Melvin Brandford*", 'Raw data'!$Y:$Y,"*2nd*",'Raw data'!$K:$K,"*1v1 defense*",'Raw data'!$M:$M,"*Duel Succeeded*")</f>
        <v>0</v>
      </c>
      <c r="HM29" s="8">
        <f>COUNTIFS('Raw data'!$D:$D,"*Melvin Brandford*", 'Raw data'!$Y:$Y,"*2nd*",'Raw data'!$K:$K,"*1v1 defense*",'Raw data'!$M:$M,"*Duel Unsucceeded*")</f>
        <v>1</v>
      </c>
      <c r="HN29" s="54">
        <f t="shared" si="173"/>
        <v>0</v>
      </c>
      <c r="HO29" s="54">
        <f t="shared" si="174"/>
        <v>1</v>
      </c>
      <c r="HP29" s="8">
        <f>COUNTIFS('Raw data'!$D:$D,"*Melvin Brandford*", 'Raw data'!$Y:$Y,"*2nd*",'Raw data'!$J:$J,"*Tackles*")</f>
        <v>1</v>
      </c>
      <c r="HQ29" s="8">
        <f>COUNTIFS('Raw data'!$D:$D,"*Melvin Brandford*", 'Raw data'!$Y:$Y,"*2nd*",'Raw data'!$J:$J,"*Tackles*", 'Raw data'!$M:$M,"*Duel Succeeded*")</f>
        <v>1</v>
      </c>
      <c r="HR29" s="8">
        <f>COUNTIFS('Raw data'!$D:$D,"*Melvin Brandford*", 'Raw data'!$Y:$Y,"*2nd*",'Raw data'!$J:$J,"*Tackles*", 'Raw data'!$M:$M,"*Duel Unsucceeded*")</f>
        <v>0</v>
      </c>
      <c r="HS29" s="54">
        <f t="shared" si="175"/>
        <v>1</v>
      </c>
      <c r="HT29" s="54">
        <f t="shared" si="176"/>
        <v>0</v>
      </c>
      <c r="HU29" s="8">
        <f>COUNTIFS('Raw data'!$D:$D,"*Melvin Brandford*", 'Raw data'!$Y:$Y,"*2nd*",'Raw data'!$K:$K,"*2nd Balls*")</f>
        <v>0</v>
      </c>
      <c r="HV29" s="8">
        <f>COUNTIFS('Raw data'!$D:$D,"*Melvin Brandford*", 'Raw data'!$Y:$Y,"*2nd*",'Raw data'!$K:$K,"*2nd Balls*", 'Raw data'!$M:$M,"*Duel Succeeded*")</f>
        <v>0</v>
      </c>
      <c r="HW29" s="8">
        <f>COUNTIFS('Raw data'!$D:$D,"*Melvin Brandford*", 'Raw data'!$Y:$Y,"*2nd*",'Raw data'!$K:$K,"*2nd Balls*", 'Raw data'!$M:$M,"*Duel Unsucceeded*")</f>
        <v>0</v>
      </c>
      <c r="HX29" s="54" t="str">
        <f t="shared" si="177"/>
        <v>-</v>
      </c>
      <c r="HY29" s="54" t="str">
        <f t="shared" si="178"/>
        <v>-</v>
      </c>
      <c r="HZ29" s="8">
        <f>COUNTIFS('Raw data'!$D:$D,"*Melvin Brandford*", 'Raw data'!$Y:$Y,"*2nd*",'Raw data'!$J:$J,"*Clearance*")</f>
        <v>2</v>
      </c>
      <c r="IA29" s="8">
        <f>COUNTIFS('Raw data'!$D:$D,"*Melvin Brandford*", 'Raw data'!$Y:$Y,"*2nd*",'Raw data'!$J:$J,"*Interception*")</f>
        <v>1</v>
      </c>
      <c r="IB29" s="8">
        <f>COUNTIFS('Raw data'!$D:$D,"*Melvin Brandford*", 'Raw data'!$Y:$Y,"*2nd*",'Raw data'!$J:$J,"*Turnover Won*")</f>
        <v>1</v>
      </c>
      <c r="IC29" s="8">
        <f>COUNTIFS('Raw data'!$D:$D,"*Melvin Brandford*", 'Raw data'!$Y:$Y,"*2nd*",'Raw data'!$J:$J,"*Recovery*")</f>
        <v>0</v>
      </c>
      <c r="ID29" s="8">
        <f>COUNTIFS('Raw data'!$D:$D,"*Melvin Brandford*", 'Raw data'!$Y:$Y,"*2nd*",'Raw data'!$J:$J,"*Blocked Shots*")</f>
        <v>0</v>
      </c>
      <c r="IE29" s="8">
        <f>COUNTIFS('Raw data'!$D:$D,"*Melvin Brandford*", 'Raw data'!$Y:$Y,"*2nd*",'Raw data'!$J:$J,"*Man-marking*")</f>
        <v>0</v>
      </c>
      <c r="IF29" s="8">
        <f>COUNTIFS('Raw data'!$D:$D,"*Melvin Brandford*", 'Raw data'!$Y:$Y,"*2nd*",'Raw data'!$J:$J,"*Fouls*")</f>
        <v>0</v>
      </c>
      <c r="IG29" s="8">
        <f>COUNTIFS('Raw data'!$D:$D,"*Melvin Brandford*", 'Raw data'!$Y:$Y,"*2nd*",'Raw data'!$J:$J,"*Won F*")</f>
        <v>0</v>
      </c>
      <c r="IH29" s="8">
        <f>COUNTIFS('Raw data'!$D:$D,"*Melvin Brandford*", 'Raw data'!$Y:$Y,"*2nd*",'Raw data'!$G:$G,"*1v1*")</f>
        <v>0</v>
      </c>
      <c r="II29" s="8">
        <f>COUNTIFS('Raw data'!$D:$D,"*Melvin Brandford*", 'Raw data'!$Y:$Y,"*2nd*",'Raw data'!$G:$G,"*On Target*")</f>
        <v>0</v>
      </c>
      <c r="IJ29" s="8">
        <f>COUNTIFS('Raw data'!$D:$D,"*Melvin Brandford*", 'Raw data'!$Y:$Y,"*2nd*",'Raw data'!$G:$G,"*Off Target*")</f>
        <v>0</v>
      </c>
      <c r="IK29" s="8">
        <f>COUNTIFS('Raw data'!$D:$D,"*Melvin Brandford*", 'Raw data'!$Y:$Y,"*2nd*",'Raw data'!$G:$G,"*Defend the Space*")</f>
        <v>0</v>
      </c>
      <c r="IL29" s="8">
        <f>COUNTIFS('Raw data'!$D:$D,"*Melvin Brandford*", 'Raw data'!$Y:$Y,"*2nd*",'Raw data'!$G:$G,"*Conceded*")</f>
        <v>0</v>
      </c>
      <c r="IM29" s="8">
        <f>COUNTIFS('Raw data'!$D:$D,"*Melvin Brandford*", 'Raw data'!$Y:$Y,"*2nd*",'Raw data'!$G:$G,"*Save*")</f>
        <v>0</v>
      </c>
      <c r="IN29" s="8">
        <f>COUNTIFS('Raw data'!$D:$D,"*Melvin Brandford*", 'Raw data'!$Y:$Y,"*2nd*",'Raw data'!$G:$G,"*Defend the line (Cross)*")</f>
        <v>0</v>
      </c>
      <c r="IO29" s="8">
        <f>COUNTIFS('Raw data'!$D:$D,"*Melvin Brandford*", 'Raw data'!$Y:$Y,"*2nd*",'Raw data'!$G:$G,"*Counter Kick*")</f>
        <v>0</v>
      </c>
      <c r="IP29" t="s">
        <v>658</v>
      </c>
    </row>
    <row r="30" spans="2:250">
      <c r="C30" s="7"/>
      <c r="DW30" t="s">
        <v>462</v>
      </c>
      <c r="DX30" t="s">
        <v>649</v>
      </c>
      <c r="DY30">
        <v>40</v>
      </c>
      <c r="DZ30" t="s">
        <v>153</v>
      </c>
      <c r="EA30">
        <f t="shared" si="138"/>
        <v>33</v>
      </c>
      <c r="EB30" s="8">
        <f t="shared" si="139"/>
        <v>28</v>
      </c>
      <c r="EC30" s="8">
        <f t="shared" si="139"/>
        <v>5</v>
      </c>
      <c r="ED30" s="54">
        <f t="shared" si="140"/>
        <v>0.84848484848484851</v>
      </c>
      <c r="EE30" s="54">
        <f t="shared" si="141"/>
        <v>0.15151515151515152</v>
      </c>
      <c r="EF30">
        <f t="shared" si="142"/>
        <v>15</v>
      </c>
      <c r="EG30">
        <f>COUNTIFS('Raw data'!$D:$D,"*Joshua Laotan*", 'Raw data'!$Y:$Y,"*2nd*",'Raw data'!$I:$I,"*Forward Pass*",'Raw data'!$M:$M,"*Pass completed*")</f>
        <v>12</v>
      </c>
      <c r="EH30">
        <f>COUNTIFS('Raw data'!$D:$D,"*Joshua Laotan*", 'Raw data'!$Y:$Y,"*2nd*",'Raw data'!$I:$I,"*Forward Pass*",'Raw data'!$M:$M,"*Pass Uncompleted*")</f>
        <v>3</v>
      </c>
      <c r="EI30" s="54">
        <f t="shared" si="143"/>
        <v>0.8</v>
      </c>
      <c r="EJ30" s="54">
        <f t="shared" si="144"/>
        <v>0.2</v>
      </c>
      <c r="EK30">
        <f t="shared" si="145"/>
        <v>12</v>
      </c>
      <c r="EL30" s="8">
        <f>COUNTIFS('Raw data'!$D:$D,"*Joshua Laotan*", 'Raw data'!$Y:$Y,"*2nd*",'Raw data'!$I:$I,"*Lateral Pass*",'Raw data'!$M:$M,"*Pass completed*")</f>
        <v>10</v>
      </c>
      <c r="EM30" s="8">
        <f>COUNTIFS('Raw data'!$D:$D,"*Joshua Laotan*", 'Raw data'!$Y:$Y,"*2nd*",'Raw data'!$I:$I,"*Lateral Pass*",'Raw data'!$M:$M,"*Pass Uncompleted*")</f>
        <v>2</v>
      </c>
      <c r="EN30" s="54">
        <f t="shared" si="146"/>
        <v>0.83333333333333337</v>
      </c>
      <c r="EO30" s="54">
        <f t="shared" si="147"/>
        <v>0.16666666666666666</v>
      </c>
      <c r="EP30">
        <f t="shared" si="148"/>
        <v>6</v>
      </c>
      <c r="EQ30" s="8">
        <f>COUNTIFS('Raw data'!$D:$D,"*Joshua Laotan*", 'Raw data'!$Y:$Y,"*2nd*",'Raw data'!$I:$I,"*Backward Pass*",'Raw data'!$M:$M,"*Pass completed*")</f>
        <v>6</v>
      </c>
      <c r="ER30" s="8">
        <f>COUNTIFS('Raw data'!$D:$D,"*Joshua Laotan*", 'Raw data'!$Y:$Y,"*2nd*",'Raw data'!$I:$I,"*Backward Pass*",'Raw data'!$M:$M,"*Pass Uncompleted*")</f>
        <v>0</v>
      </c>
      <c r="ES30" s="54">
        <f t="shared" si="149"/>
        <v>1</v>
      </c>
      <c r="ET30" s="54">
        <f t="shared" si="150"/>
        <v>0</v>
      </c>
      <c r="EU30" s="8">
        <f>COUNTIFS('Raw data'!$D:$D,"*Joshua Laotan*", 'Raw data'!$Y:$Y,"*2nd*",'Raw data'!$I:$I,"*Long Kick*")</f>
        <v>0</v>
      </c>
      <c r="EV30" s="8">
        <f>COUNTIFS('Raw data'!$D:$D,"*Joshua Laotan*", 'Raw data'!$Y:$Y,"*2nd*",'Raw data'!$I:$I,"*Long Kick*",'Raw data'!$M:$M,"*Pass completed*")</f>
        <v>0</v>
      </c>
      <c r="EW30" s="8">
        <f>COUNTIFS('Raw data'!$D:$D,"*Joshua Laotan*", 'Raw data'!$Y:$Y,"*2nd*",'Raw data'!$I:$I,"*Long Kick*",'Raw data'!$M:$M,"*Pass Uncompleted*")</f>
        <v>0</v>
      </c>
      <c r="EX30" s="54" t="str">
        <f t="shared" si="151"/>
        <v>-</v>
      </c>
      <c r="EY30" s="54" t="str">
        <f t="shared" si="152"/>
        <v>-</v>
      </c>
      <c r="EZ30" s="8">
        <f>COUNTIFS('Raw data'!$D:$D,"*Joshua Laotan*", 'Raw data'!$Y:$Y,"*2nd*",'Raw data'!$I:$I,"*Balls in Behind*")</f>
        <v>1</v>
      </c>
      <c r="FA30" s="8">
        <f>COUNTIFS('Raw data'!$D:$D,"*Joshua Laotan*", 'Raw data'!$Y:$Y,"*2nd*",'Raw data'!$I:$I,"*Balls in Behind*",'Raw data'!$M:$M,"*Pass completed*")</f>
        <v>1</v>
      </c>
      <c r="FB30" s="8">
        <f>COUNTIFS('Raw data'!$D:$D,"*Joshua Laotan*", 'Raw data'!$Y:$Y,"*2nd*",'Raw data'!$I:$I,"*Balls in Behind*",'Raw data'!$M:$M,"*Pass Uncompleted*")</f>
        <v>1</v>
      </c>
      <c r="FC30" s="54">
        <f t="shared" si="153"/>
        <v>1</v>
      </c>
      <c r="FD30" s="54">
        <f t="shared" si="154"/>
        <v>1</v>
      </c>
      <c r="FE30" s="8">
        <f>COUNTIFS('Raw data'!$D:$D,"*Joshua Laotan*", 'Raw data'!$Y:$Y,"*2nd*",'Raw data'!$I:$I,"*Key/Through pass*")</f>
        <v>0</v>
      </c>
      <c r="FF30" s="8">
        <f>COUNTIFS('Raw data'!$D:$D,"*Joshua Laotan*", 'Raw data'!$Y:$Y,"*2nd*",'Raw data'!$I:$I,"*Diagonal pass*")</f>
        <v>0</v>
      </c>
      <c r="FG30" s="8">
        <f>COUNTIFS('Raw data'!$D:$D,"*Joshua Laotan*", 'Raw data'!$Y:$Y,"*2nd*",'Raw data'!$I:$I,"*Diagonal pass*",'Raw data'!$M:$M,"*Pass completed*")</f>
        <v>0</v>
      </c>
      <c r="FH30" s="8">
        <f>COUNTIFS('Raw data'!$D:$D,"*Joshua Laotan*", 'Raw data'!$Y:$Y,"*2nd*",'Raw data'!$I:$I,"*Diagonal pass*",'Raw data'!$M:$M,"*Pass Uncompleted*")</f>
        <v>0</v>
      </c>
      <c r="FI30" s="54" t="str">
        <f t="shared" si="155"/>
        <v>-</v>
      </c>
      <c r="FJ30" s="54" t="str">
        <f t="shared" si="156"/>
        <v>-</v>
      </c>
      <c r="FK30" s="8">
        <f>COUNTIFS('Raw data'!$D:$D,"*Joshua Laotan*", 'Raw data'!$Y:$Y,"*2nd*",'Raw data'!$M:$M,"*Pass Received*")</f>
        <v>23</v>
      </c>
      <c r="FL30" s="8">
        <f>COUNTIFS('Raw data'!$D:$D,"*Joshua Laotan*", 'Raw data'!$Y:$Y,"*2nd*",'Raw data'!$M:$M,"*Pass Completed*",'Raw data'!$M:$M,"*Pass Received*" )</f>
        <v>19</v>
      </c>
      <c r="FM30" s="8">
        <f>COUNTIFS('Raw data'!$D:$D,"*Joshua Laotan*", 'Raw data'!$Y:$Y,"*2nd*",'Raw data'!$M:$M,"*Pass Uncompleted*",'Raw data'!$M:$M,"*Pass Received*" )</f>
        <v>4</v>
      </c>
      <c r="FN30" s="8">
        <f>COUNTIFS('Raw data'!$D:$D,"*Joshua Laotan*", 'Raw data'!$Y:$Y,"*2nd*",'Raw data'!$M:$M,"*Kept Possession*",'Raw data'!$M:$M,"*Pass Received*")</f>
        <v>3</v>
      </c>
      <c r="FO30" s="8">
        <f>COUNTIFS('Raw data'!$D:$D,"*Joshua Laotan*", 'Raw data'!$Y:$Y,"*2nd*",'Raw data'!$M:$M,"*Lost Possession*" )</f>
        <v>3</v>
      </c>
      <c r="FP30" s="8">
        <f>COUNTIFS('Raw data'!$D:$D,"*Joshua Laotan*", 'Raw data'!$Y:$Y,"*2nd*",'Raw data'!$M:$M,"*Lost Possession*",'Raw data'!$M:$M,"*Lost Final 1/3*")</f>
        <v>0</v>
      </c>
      <c r="FQ30" s="8">
        <f>COUNTIFS('Raw data'!$D:$D,"*Joshua Laotan*", 'Raw data'!$Y:$Y,"*2nd*",'Raw data'!$M:$M,"*Lost Possession*",'Raw data'!$M:$M,"*Lost Middle 1/3*")</f>
        <v>3</v>
      </c>
      <c r="FR30" s="8">
        <f>COUNTIFS('Raw data'!$D:$D,"*Joshua Laotan*", 'Raw data'!$Y:$Y,"*2nd*",'Raw data'!$M:$M,"*Lost Possession*",'Raw data'!$M:$M,"*Lost Own 1/3*")</f>
        <v>0</v>
      </c>
      <c r="FS30" s="8">
        <f>COUNTIFS('Raw data'!$D:$D,"*Joshua Laotan*", 'Raw data'!$Y:$Y,"*2nd*",'Raw data'!$H:$H,"*Touches in the Box*")</f>
        <v>0</v>
      </c>
      <c r="FT30" s="8">
        <f>COUNTIFS('Raw data'!$D:$D,"*Joshua Laotan*", 'Raw data'!$Y:$Y,"*2nd*",'Raw data'!$H:$H,"*1v1 Attack*")</f>
        <v>3</v>
      </c>
      <c r="FU30" s="8">
        <f>COUNTIFS('Raw data'!$D:$D,"*Joshua Laotan*", 'Raw data'!$Y:$Y,"*2nd*",'Raw data'!$H:$H,"*1v1 Attack*",'Raw data'!$H:$H,"*1v1 Attack*",'Raw data'!$M:$M,"*Kept Possession*")</f>
        <v>3</v>
      </c>
      <c r="FV30" s="8">
        <f>COUNTIFS('Raw data'!$D:$D,"*Joshua Laotan*", 'Raw data'!$Y:$Y,"*2nd*",'Raw data'!$H:$H,"*1v1 Attack*",'Raw data'!$H:$H,"*1v1 Attack*",'Raw data'!$M:$M,"*Lost Possession*")</f>
        <v>0</v>
      </c>
      <c r="FW30" s="54">
        <f t="shared" si="157"/>
        <v>1</v>
      </c>
      <c r="FX30" s="54">
        <f t="shared" si="158"/>
        <v>0</v>
      </c>
      <c r="FY30" s="8">
        <f>COUNTIFS('Raw data'!$D:$D,"*Joshua Laotan*", 'Raw data'!$Y:$Y,"*2nd*",'Raw data'!$I:$I,"*Cross*")</f>
        <v>0</v>
      </c>
      <c r="FZ30" s="8">
        <f>COUNTIFS('Raw data'!$D:$D,"*Joshua Laotan*", 'Raw data'!$Y:$Y,"*2nd*",'Raw data'!$I:$I,"*Cross*",'Raw data'!$M:$M,"*Pass Completed*")</f>
        <v>0</v>
      </c>
      <c r="GA30" s="8">
        <f>COUNTIFS('Raw data'!$D:$D,"*Joshua Laotan*", 'Raw data'!$Y:$Y,"*2nd*",'Raw data'!$I:$I,"*Cross*",'Raw data'!$M:$M,"*Pass Uncompleted*")</f>
        <v>0</v>
      </c>
      <c r="GB30" s="54" t="str">
        <f t="shared" si="159"/>
        <v>-</v>
      </c>
      <c r="GC30" s="54" t="str">
        <f t="shared" si="160"/>
        <v>-</v>
      </c>
      <c r="GD30" s="8">
        <f t="shared" si="161"/>
        <v>0</v>
      </c>
      <c r="GE30" s="8">
        <f>COUNTIFS('Raw data'!$D:$D,"*Joshua Laotan*", 'Raw data'!$Y:$Y,"*2nd*",'Raw data'!$L:$L,"*On Target*")</f>
        <v>0</v>
      </c>
      <c r="GF30" s="8">
        <f>COUNTIFS('Raw data'!$D:$D,"*Joshua Laotan*", 'Raw data'!$Y:$Y,"*2nd*",'Raw data'!$L:$L,"*Off Target*")</f>
        <v>0</v>
      </c>
      <c r="GG30" s="8">
        <f>COUNTIFS('Raw data'!$D:$D,"*Joshua Laotan*", 'Raw data'!$Y:$Y,"*2nd*",'Raw data'!$L:$L,"*Blocked*")</f>
        <v>0</v>
      </c>
      <c r="GH30" s="8">
        <f>COUNTIFS('Raw data'!$D:$D,"*Joshua Laotan*", 'Raw data'!$Y:$Y,"*2nd*",'Raw data'!$M:$M,"*Goal*")</f>
        <v>0</v>
      </c>
      <c r="GI30" s="8">
        <f>COUNTIFS('Raw data'!$D:$D,"*Joshua Laotan*", 'Raw data'!$Y:$Y,"*2nd*",'Raw data'!$M:$M,"*Assist*")</f>
        <v>0</v>
      </c>
      <c r="GJ30" s="8">
        <f>COUNTIFS('Raw data'!$D:$D,"*Joshua Laotan*", 'Raw data'!$Y:$Y,"*2nd*",'Raw data'!$H:$H,"*Offensive duel*")</f>
        <v>3</v>
      </c>
      <c r="GK30" s="8">
        <f>COUNTIFS('Raw data'!$D:$D,"*Joshua Laotan*", 'Raw data'!$Y:$Y,"*2nd*",'Raw data'!$H:$H,"*Offensive Duel*",'Raw data'!$H:$H,"*Offensive Duel*",'Raw data'!$M:$M,"*Kept Possession*")</f>
        <v>2</v>
      </c>
      <c r="GL30" s="8">
        <f>COUNTIFS('Raw data'!$D:$D,"*Joshua Laotan*", 'Raw data'!$Y:$Y,"*2nd*",'Raw data'!$H:$H,"*Offensive Duel*",'Raw data'!$H:$H,"*Offensive Duel*",'Raw data'!$M:$M,"*Lost Possession*")</f>
        <v>1</v>
      </c>
      <c r="GM30" s="54">
        <f t="shared" si="162"/>
        <v>0.66666666666666663</v>
      </c>
      <c r="GN30" s="54">
        <f t="shared" si="163"/>
        <v>0.33333333333333331</v>
      </c>
      <c r="GO30" s="8">
        <f>COUNTIFS('Raw data'!$D:$D,"*Joshua Laotan*", 'Raw data'!$Y:$Y,"*2nd*",'Raw data'!$H:$H,"*Acceleration*")</f>
        <v>2</v>
      </c>
      <c r="GP30" s="8">
        <f>COUNTIFS('Raw data'!$D:$D,"*Joshua Laotan*", 'Raw data'!$Y:$Y,"*2nd*",'Raw data'!$H:$H,"*Move into Pocket*")</f>
        <v>0</v>
      </c>
      <c r="GQ30" s="8">
        <f>COUNTIFS('Raw data'!$D:$D,"*Joshua Laotan*", 'Raw data'!$Y:$Y,"*2nd*",'Raw data'!$H:$H,"*Wide area*")</f>
        <v>0</v>
      </c>
      <c r="GR30" s="8">
        <f>COUNTIFS('Raw data'!$D:$D,"*Joshua Laotan*", 'Raw data'!$Y:$Y,"*2nd*",'Raw data'!$H:$H,"*Back to goal*")</f>
        <v>0</v>
      </c>
      <c r="GS30" s="8">
        <f>COUNTIFS('Raw data'!$D:$D,"*Joshua Laotan*", 'Raw data'!$Y:$Y,"*2nd*",'Raw data'!$H:$H,"*Over/Underlaps*")</f>
        <v>0</v>
      </c>
      <c r="GT30" s="8">
        <f>COUNTIFS('Raw data'!$D:$D,"*Joshua Laotan*", 'Raw data'!$Y:$Y,"*2nd*",'Raw data'!$H:$H,"*Runs in Behind*")</f>
        <v>0</v>
      </c>
      <c r="GU30" s="8">
        <f>COUNTIFS('Raw data'!$D:$D,"*Joshua Laotan*", 'Raw data'!$Y:$Y,"*2nd*",'Raw data'!$H:$H,"*Half-space Runs*")</f>
        <v>0</v>
      </c>
      <c r="GV30" s="8">
        <f t="shared" si="164"/>
        <v>5</v>
      </c>
      <c r="GW30" s="8">
        <f t="shared" si="165"/>
        <v>2</v>
      </c>
      <c r="GX30" s="8">
        <f t="shared" si="166"/>
        <v>3</v>
      </c>
      <c r="GY30" s="54">
        <f t="shared" si="167"/>
        <v>0.4</v>
      </c>
      <c r="GZ30" s="54">
        <f t="shared" si="168"/>
        <v>0.6</v>
      </c>
      <c r="HA30" s="8">
        <f>COUNTIFS('Raw data'!$D:$D,"*Joshua Laotan*", 'Raw data'!$Y:$Y,"*2nd*",'Raw data'!$K:$K,"*Ground duel*")</f>
        <v>1</v>
      </c>
      <c r="HB30" s="8">
        <f>COUNTIFS('Raw data'!$D:$D,"*Joshua Laotan*", 'Raw data'!$Y:$Y,"*2nd*",'Raw data'!$K:$K,"*Ground duel*",'Raw data'!$M:$M,"*Duel Succeeded*")</f>
        <v>0</v>
      </c>
      <c r="HC30" s="8">
        <f>COUNTIFS('Raw data'!$D:$D,"*Joshua Laotan*", 'Raw data'!$Y:$Y,"*2nd*",'Raw data'!$K:$K,"*Ground duel*",'Raw data'!$M:$M,"*Duel Unsucceeded*")</f>
        <v>1</v>
      </c>
      <c r="HD30" s="54">
        <f t="shared" si="169"/>
        <v>0</v>
      </c>
      <c r="HE30" s="54">
        <f t="shared" si="170"/>
        <v>1</v>
      </c>
      <c r="HF30" s="8">
        <f>COUNTIFS('Raw data'!$D:$D,"*Joshua Laotan*", 'Raw data'!$Y:$Y,"*2nd*",'Raw data'!$K:$K,"*Aerial duel*")</f>
        <v>1</v>
      </c>
      <c r="HG30" s="8">
        <f>COUNTIFS('Raw data'!$D:$D,"*Joshua Laotan*", 'Raw data'!$Y:$Y,"*2nd*",'Raw data'!$K:$K,"*Aerial duel*",'Raw data'!$M:$M,"*Duel Succeeded*")</f>
        <v>0</v>
      </c>
      <c r="HH30" s="8">
        <f>COUNTIFS('Raw data'!$D:$D,"*Joshua Laotan*", 'Raw data'!$Y:$Y,"*2nd*",'Raw data'!$K:$K,"*Aerial duel*",'Raw data'!$M:$M,"*Duel Unsucceeded*")</f>
        <v>1</v>
      </c>
      <c r="HI30" s="54" t="str">
        <f t="shared" si="171"/>
        <v>-</v>
      </c>
      <c r="HJ30" s="54" t="str">
        <f t="shared" si="172"/>
        <v>-</v>
      </c>
      <c r="HK30" s="8">
        <f>COUNTIFS('Raw data'!$D:$D,"*Joshua Laotan*", 'Raw data'!$Y:$Y,"*2nd*",'Raw data'!$K:$K,"*1v1 defense*")</f>
        <v>1</v>
      </c>
      <c r="HL30" s="8">
        <f>COUNTIFS('Raw data'!$D:$D,"*Joshua Laotan*", 'Raw data'!$Y:$Y,"*2nd*",'Raw data'!$K:$K,"*1v1 defense*",'Raw data'!$M:$M,"*Duel Succeeded*")</f>
        <v>0</v>
      </c>
      <c r="HM30" s="8">
        <f>COUNTIFS('Raw data'!$D:$D,"*Joshua Laotan*", 'Raw data'!$Y:$Y,"*2nd*",'Raw data'!$K:$K,"*1v1 defense*",'Raw data'!$M:$M,"*Duel Unsucceeded*")</f>
        <v>1</v>
      </c>
      <c r="HN30" s="54">
        <f t="shared" si="173"/>
        <v>0</v>
      </c>
      <c r="HO30" s="54">
        <f t="shared" si="174"/>
        <v>1</v>
      </c>
      <c r="HP30" s="8">
        <f>COUNTIFS('Raw data'!$D:$D,"*Joshua Laotan*", 'Raw data'!$Y:$Y,"*2nd*",'Raw data'!$J:$J,"*Tackles*")</f>
        <v>1</v>
      </c>
      <c r="HQ30" s="8">
        <f>COUNTIFS('Raw data'!$D:$D,"*Joshua Laotan*", 'Raw data'!$Y:$Y,"*2nd*",'Raw data'!$J:$J,"*Tackles*", 'Raw data'!$M:$M,"*Duel Succeeded*")</f>
        <v>0</v>
      </c>
      <c r="HR30" s="8">
        <f>COUNTIFS('Raw data'!$D:$D,"*Joshua Laotan*", 'Raw data'!$Y:$Y,"*2nd*",'Raw data'!$J:$J,"*Tackles*", 'Raw data'!$M:$M,"*Duel Unsucceeded*")</f>
        <v>1</v>
      </c>
      <c r="HS30" s="54">
        <f t="shared" si="175"/>
        <v>0</v>
      </c>
      <c r="HT30" s="54">
        <f t="shared" si="176"/>
        <v>1</v>
      </c>
      <c r="HU30" s="8">
        <f>COUNTIFS('Raw data'!$D:$D,"*Joshua Laotan*", 'Raw data'!$Y:$Y,"*2nd*",'Raw data'!$K:$K,"*2nd Balls*")</f>
        <v>1</v>
      </c>
      <c r="HV30" s="8">
        <f>COUNTIFS('Raw data'!$D:$D,"*Joshua Laotan*", 'Raw data'!$Y:$Y,"*2nd*",'Raw data'!$K:$K,"*2nd Balls*", 'Raw data'!$M:$M,"*Duel Succeeded*")</f>
        <v>1</v>
      </c>
      <c r="HW30" s="8">
        <f>COUNTIFS('Raw data'!$D:$D,"*Joshua Laotan*", 'Raw data'!$Y:$Y,"*2nd*",'Raw data'!$K:$K,"*2nd Balls*", 'Raw data'!$M:$M,"*Duel Unsucceeded*")</f>
        <v>0</v>
      </c>
      <c r="HX30" s="54">
        <f t="shared" si="177"/>
        <v>1</v>
      </c>
      <c r="HY30" s="54">
        <f t="shared" si="178"/>
        <v>0</v>
      </c>
      <c r="HZ30" s="8">
        <f>COUNTIFS('Raw data'!$D:$D,"*Joshua Laotan*", 'Raw data'!$Y:$Y,"*2nd*",'Raw data'!$J:$J,"*Clearance*")</f>
        <v>1</v>
      </c>
      <c r="IA30" s="8">
        <f>COUNTIFS('Raw data'!$D:$D,"*Joshua Laotan*", 'Raw data'!$Y:$Y,"*2nd*",'Raw data'!$J:$J,"*Interception*")</f>
        <v>0</v>
      </c>
      <c r="IB30" s="8">
        <f>COUNTIFS('Raw data'!$D:$D,"*Joshua Laotan*", 'Raw data'!$Y:$Y,"*2nd*",'Raw data'!$J:$J,"*Turnover Won*")</f>
        <v>0</v>
      </c>
      <c r="IC30" s="8">
        <f>COUNTIFS('Raw data'!$D:$D,"*Joshua Laotan*", 'Raw data'!$Y:$Y,"*2nd*",'Raw data'!$J:$J,"*Recovery*")</f>
        <v>1</v>
      </c>
      <c r="ID30" s="8">
        <f>COUNTIFS('Raw data'!$D:$D,"*Joshua Laotan*", 'Raw data'!$Y:$Y,"*2nd*",'Raw data'!$J:$J,"*Blocked Shots*")</f>
        <v>0</v>
      </c>
      <c r="IE30" s="8">
        <f>COUNTIFS('Raw data'!$D:$D,"*Joshua Laotan*", 'Raw data'!$Y:$Y,"*2nd*",'Raw data'!$J:$J,"*Man-marking*")</f>
        <v>0</v>
      </c>
      <c r="IF30" s="8">
        <f>COUNTIFS('Raw data'!$D:$D,"*Joshua Laotan*", 'Raw data'!$Y:$Y,"*2nd*",'Raw data'!$J:$J,"*Fouls*")</f>
        <v>1</v>
      </c>
      <c r="IG30" s="8">
        <f>COUNTIFS('Raw data'!$D:$D,"*Joshua Laotan*", 'Raw data'!$Y:$Y,"*2nd*",'Raw data'!$J:$J,"*Won F*")</f>
        <v>1</v>
      </c>
      <c r="IH30" s="8">
        <f>COUNTIFS('Raw data'!$D:$D,"*Joshua Laotan*", 'Raw data'!$Y:$Y,"*2nd*",'Raw data'!$G:$G,"*1v1*")</f>
        <v>0</v>
      </c>
      <c r="II30" s="8">
        <f>COUNTIFS('Raw data'!$D:$D,"*Joshua Laotan*", 'Raw data'!$Y:$Y,"*2nd*",'Raw data'!$G:$G,"*On Target*")</f>
        <v>0</v>
      </c>
      <c r="IJ30" s="8">
        <f>COUNTIFS('Raw data'!$D:$D,"*Joshua Laotan*", 'Raw data'!$Y:$Y,"*2nd*",'Raw data'!$G:$G,"*Off Target*")</f>
        <v>0</v>
      </c>
      <c r="IK30" s="8">
        <f>COUNTIFS('Raw data'!$D:$D,"*Joshua Laotan*", 'Raw data'!$Y:$Y,"*2nd*",'Raw data'!$G:$G,"*Defend the Space*")</f>
        <v>0</v>
      </c>
      <c r="IL30" s="8">
        <f>COUNTIFS('Raw data'!$D:$D,"*Joshua Laotan*", 'Raw data'!$Y:$Y,"*2nd*",'Raw data'!$G:$G,"*Conceded*")</f>
        <v>0</v>
      </c>
      <c r="IM30" s="8">
        <f>COUNTIFS('Raw data'!$D:$D,"*Joshua Laotan*", 'Raw data'!$Y:$Y,"*2nd*",'Raw data'!$G:$G,"*Save*")</f>
        <v>0</v>
      </c>
      <c r="IN30" s="8">
        <f>COUNTIFS('Raw data'!$D:$D,"*Joshua Laotan*", 'Raw data'!$Y:$Y,"*2nd*",'Raw data'!$G:$G,"*Defend the line (Cross)*")</f>
        <v>0</v>
      </c>
      <c r="IO30" s="8">
        <f>COUNTIFS('Raw data'!$D:$D,"*Joshua Laotan*", 'Raw data'!$Y:$Y,"*2nd*",'Raw data'!$G:$G,"*Counter Kick*")</f>
        <v>0</v>
      </c>
      <c r="IP30" t="s">
        <v>649</v>
      </c>
    </row>
    <row r="31" spans="2:250">
      <c r="DW31" t="s">
        <v>462</v>
      </c>
      <c r="DX31" t="s">
        <v>651</v>
      </c>
      <c r="DY31">
        <v>40</v>
      </c>
      <c r="DZ31" t="s">
        <v>452</v>
      </c>
      <c r="EA31">
        <f t="shared" si="138"/>
        <v>27</v>
      </c>
      <c r="EB31" s="8">
        <f t="shared" si="139"/>
        <v>22</v>
      </c>
      <c r="EC31" s="8">
        <f t="shared" si="139"/>
        <v>5</v>
      </c>
      <c r="ED31" s="54">
        <f t="shared" si="140"/>
        <v>0.81481481481481477</v>
      </c>
      <c r="EE31" s="54">
        <f t="shared" si="141"/>
        <v>0.18518518518518517</v>
      </c>
      <c r="EF31">
        <f t="shared" si="142"/>
        <v>12</v>
      </c>
      <c r="EG31">
        <f>COUNTIFS('Raw data'!$D:$D,"*Levi Ampofo*", 'Raw data'!$Y:$Y,"*2nd*",'Raw data'!$I:$I,"*Forward Pass*",'Raw data'!$M:$M,"*Pass completed*")</f>
        <v>8</v>
      </c>
      <c r="EH31">
        <f>COUNTIFS('Raw data'!$D:$D,"*Levi Ampofo*", 'Raw data'!$Y:$Y,"*2nd*",'Raw data'!$I:$I,"*Forward Pass*",'Raw data'!$M:$M,"*Pass Uncompleted*")</f>
        <v>4</v>
      </c>
      <c r="EI31" s="54">
        <f t="shared" si="143"/>
        <v>0.66666666666666663</v>
      </c>
      <c r="EJ31" s="54">
        <f t="shared" si="144"/>
        <v>0.33333333333333331</v>
      </c>
      <c r="EK31">
        <f t="shared" si="145"/>
        <v>4</v>
      </c>
      <c r="EL31" s="8">
        <f>COUNTIFS('Raw data'!$D:$D,"*Levi Ampofo*", 'Raw data'!$Y:$Y,"*2nd*",'Raw data'!$I:$I,"*Lateral Pass*",'Raw data'!$M:$M,"*Pass completed*")</f>
        <v>4</v>
      </c>
      <c r="EM31" s="8">
        <f>COUNTIFS('Raw data'!$D:$D,"*Levi Ampofo*", 'Raw data'!$Y:$Y,"*2nd*",'Raw data'!$I:$I,"*Lateral Pass*",'Raw data'!$M:$M,"*Pass Uncompleted*")</f>
        <v>0</v>
      </c>
      <c r="EN31" s="54">
        <f t="shared" si="146"/>
        <v>1</v>
      </c>
      <c r="EO31" s="54">
        <f t="shared" si="147"/>
        <v>0</v>
      </c>
      <c r="EP31">
        <f t="shared" si="148"/>
        <v>11</v>
      </c>
      <c r="EQ31" s="8">
        <f>COUNTIFS('Raw data'!$D:$D,"*Levi Ampofo*", 'Raw data'!$Y:$Y,"*2nd*",'Raw data'!$I:$I,"*Backward Pass*",'Raw data'!$M:$M,"*Pass completed*")</f>
        <v>10</v>
      </c>
      <c r="ER31" s="8">
        <f>COUNTIFS('Raw data'!$D:$D,"*Levi Ampofo*", 'Raw data'!$Y:$Y,"*2nd*",'Raw data'!$I:$I,"*Backward Pass*",'Raw data'!$M:$M,"*Pass Uncompleted*")</f>
        <v>1</v>
      </c>
      <c r="ES31" s="54">
        <f t="shared" si="149"/>
        <v>1</v>
      </c>
      <c r="ET31" s="54">
        <f t="shared" si="150"/>
        <v>0.1</v>
      </c>
      <c r="EU31" s="8">
        <f>COUNTIFS('Raw data'!$D:$D,"*Levi Ampofo*", 'Raw data'!$Y:$Y,"*2nd*",'Raw data'!$I:$I,"*Long Kick*")</f>
        <v>2</v>
      </c>
      <c r="EV31" s="8">
        <f>COUNTIFS('Raw data'!$D:$D,"*Levi Ampofo*", 'Raw data'!$Y:$Y,"*2nd*",'Raw data'!$I:$I,"*Long Kick*",'Raw data'!$M:$M,"*Pass completed*")</f>
        <v>1</v>
      </c>
      <c r="EW31" s="8">
        <f>COUNTIFS('Raw data'!$D:$D,"*Levi Ampofo*", 'Raw data'!$Y:$Y,"*2nd*",'Raw data'!$I:$I,"*Long Kick*",'Raw data'!$M:$M,"*Pass Uncompleted*")</f>
        <v>2</v>
      </c>
      <c r="EX31" s="54">
        <f t="shared" si="151"/>
        <v>0.5</v>
      </c>
      <c r="EY31" s="54">
        <f t="shared" si="152"/>
        <v>1</v>
      </c>
      <c r="EZ31" s="8">
        <f>COUNTIFS('Raw data'!$D:$D,"*Levi Ampofo*", 'Raw data'!$Y:$Y,"*2nd*",'Raw data'!$I:$I,"*Balls in Behind*")</f>
        <v>2</v>
      </c>
      <c r="FA31" s="8">
        <f>COUNTIFS('Raw data'!$D:$D,"*Levi Ampofo*", 'Raw data'!$Y:$Y,"*2nd*",'Raw data'!$I:$I,"*Balls in Behind*",'Raw data'!$M:$M,"*Pass completed*")</f>
        <v>2</v>
      </c>
      <c r="FB31" s="8">
        <f>COUNTIFS('Raw data'!$D:$D,"*Levi Ampofo*", 'Raw data'!$Y:$Y,"*2nd*",'Raw data'!$I:$I,"*Balls in Behind*",'Raw data'!$M:$M,"*Pass Uncompleted*")</f>
        <v>0</v>
      </c>
      <c r="FC31" s="54">
        <f t="shared" si="153"/>
        <v>1</v>
      </c>
      <c r="FD31" s="54">
        <f t="shared" si="154"/>
        <v>0</v>
      </c>
      <c r="FE31" s="8">
        <f>COUNTIFS('Raw data'!$D:$D,"*Levi Ampofo*", 'Raw data'!$Y:$Y,"*2nd*",'Raw data'!$I:$I,"*Key/Through pass*")</f>
        <v>0</v>
      </c>
      <c r="FF31" s="8">
        <f>COUNTIFS('Raw data'!$D:$D,"*Levi Ampofo*", 'Raw data'!$Y:$Y,"*2nd*",'Raw data'!$I:$I,"*Diagonal pass*")</f>
        <v>0</v>
      </c>
      <c r="FG31" s="8">
        <f>COUNTIFS('Raw data'!$D:$D,"*Levi Ampofo*", 'Raw data'!$Y:$Y,"*2nd*",'Raw data'!$I:$I,"*Diagonal pass*",'Raw data'!$M:$M,"*Pass completed*")</f>
        <v>0</v>
      </c>
      <c r="FH31" s="8">
        <f>COUNTIFS('Raw data'!$D:$D,"*Levi Ampofo*", 'Raw data'!$Y:$Y,"*2nd*",'Raw data'!$I:$I,"*Diagonal pass*",'Raw data'!$M:$M,"*Pass Uncompleted*")</f>
        <v>0</v>
      </c>
      <c r="FI31" s="54" t="str">
        <f t="shared" si="155"/>
        <v>-</v>
      </c>
      <c r="FJ31" s="54" t="str">
        <f t="shared" si="156"/>
        <v>-</v>
      </c>
      <c r="FK31" s="8">
        <f>COUNTIFS('Raw data'!$D:$D,"*Levi Ampofo*", 'Raw data'!$Y:$Y,"*2nd*",'Raw data'!$M:$M,"*Pass Received*")</f>
        <v>21</v>
      </c>
      <c r="FL31" s="8">
        <f>COUNTIFS('Raw data'!$D:$D,"*Levi Ampofo*", 'Raw data'!$Y:$Y,"*2nd*",'Raw data'!$M:$M,"*Pass Completed*",'Raw data'!$M:$M,"*Pass Received*")</f>
        <v>15</v>
      </c>
      <c r="FM31" s="8">
        <f>COUNTIFS('Raw data'!$D:$D,"*Levi Ampofo*", 'Raw data'!$Y:$Y,"*2nd*",'Raw data'!$M:$M,"*Pass Uncompleted*",'Raw data'!$M:$M,"*Pass Received*")</f>
        <v>4</v>
      </c>
      <c r="FN31" s="8">
        <f>COUNTIFS('Raw data'!$D:$D,"*Levi Ampofo*", 'Raw data'!$Y:$Y,"*2nd*",'Raw data'!$M:$M,"*Kept Possession*",'Raw data'!$M:$M,"*Pass Received*")</f>
        <v>2</v>
      </c>
      <c r="FO31" s="8">
        <f>COUNTIFS('Raw data'!$D:$D,"*Levi Ampofo*", 'Raw data'!$Y:$Y,"*2nd*",'Raw data'!$M:$M,"*Lost Possession*")</f>
        <v>4</v>
      </c>
      <c r="FP31" s="8">
        <f>COUNTIFS('Raw data'!$D:$D,"*Levi Ampofo*", 'Raw data'!$Y:$Y,"*2nd*",'Raw data'!$M:$M,"*Lost Possession*",'Raw data'!$M:$M,"*Lost Final 1/3*")</f>
        <v>1</v>
      </c>
      <c r="FQ31" s="8">
        <f>COUNTIFS('Raw data'!$D:$D,"*Levi Ampofo*", 'Raw data'!$Y:$Y,"*2nd*",'Raw data'!$M:$M,"*Lost Possession*",'Raw data'!$M:$M,"*Lost Middle 1/3*")</f>
        <v>1</v>
      </c>
      <c r="FR31" s="8">
        <f>COUNTIFS('Raw data'!$D:$D,"*Levi Ampofo*", 'Raw data'!$Y:$Y,"*2nd*",'Raw data'!$M:$M,"*Lost Possession*",'Raw data'!$M:$M,"*Lost Own 1/3*")</f>
        <v>2</v>
      </c>
      <c r="FS31" s="8">
        <f>COUNTIFS('Raw data'!$D:$D,"*Levi Ampofo*", 'Raw data'!$Y:$Y,"*2nd*",'Raw data'!$H:$H,"*Touches in the Box*")</f>
        <v>0</v>
      </c>
      <c r="FT31" s="8">
        <f>COUNTIFS('Raw data'!$D:$D,"*Levi Ampofo*", 'Raw data'!$Y:$Y,"*2nd*",'Raw data'!$H:$H,"*1v1 Attack*")</f>
        <v>3</v>
      </c>
      <c r="FU31" s="8">
        <f>COUNTIFS('Raw data'!$D:$D,"*Levi Ampofo*", 'Raw data'!$Y:$Y,"*2nd*",'Raw data'!$H:$H,"*1v1 Attack*",'Raw data'!$H:$H,"*1v1 Attack*",'Raw data'!$M:$M,"*Kept Possession*")</f>
        <v>2</v>
      </c>
      <c r="FV31" s="8">
        <f>COUNTIFS('Raw data'!$D:$D,"*Levi Ampofo*", 'Raw data'!$Y:$Y,"*2nd*",'Raw data'!$H:$H,"*1v1 Attack*",'Raw data'!$H:$H,"*1v1 Attack*",'Raw data'!$M:$M,"*Lost Possession*")</f>
        <v>1</v>
      </c>
      <c r="FW31" s="54">
        <f t="shared" si="157"/>
        <v>0.66666666666666663</v>
      </c>
      <c r="FX31" s="54">
        <f t="shared" si="158"/>
        <v>0.33333333333333331</v>
      </c>
      <c r="FY31" s="8">
        <f>COUNTIFS('Raw data'!$D:$D,"*Levi Ampofo*", 'Raw data'!$Y:$Y,"*2nd*",'Raw data'!$I:$I,"*Cross*")</f>
        <v>1</v>
      </c>
      <c r="FZ31" s="8">
        <f>COUNTIFS('Raw data'!$D:$D,"*Levi Ampofo*", 'Raw data'!$Y:$Y,"*2nd*",'Raw data'!$I:$I,"*Cross*",'Raw data'!$M:$M,"*Pass Completed*")</f>
        <v>0</v>
      </c>
      <c r="GA31" s="8">
        <f>COUNTIFS('Raw data'!$D:$D,"*Levi Ampofo*", 'Raw data'!$Y:$Y,"*2nd*",'Raw data'!$I:$I,"*Cross*",'Raw data'!$M:$M,"*Pass Uncompleted*")</f>
        <v>1</v>
      </c>
      <c r="GB31" s="54">
        <f t="shared" si="159"/>
        <v>0</v>
      </c>
      <c r="GC31" s="54">
        <f t="shared" si="160"/>
        <v>1</v>
      </c>
      <c r="GD31" s="8">
        <f t="shared" si="161"/>
        <v>1</v>
      </c>
      <c r="GE31" s="8">
        <f>COUNTIFS('Raw data'!$D:$D,"*Levi Ampofo*", 'Raw data'!$Y:$Y,"*2nd*",'Raw data'!$L:$L,"*On Target*")</f>
        <v>0</v>
      </c>
      <c r="GF31" s="8">
        <f>COUNTIFS('Raw data'!$D:$D,"*Levi Ampofo*", 'Raw data'!$Y:$Y,"*2nd*",'Raw data'!$L:$L,"*Off Target*")</f>
        <v>0</v>
      </c>
      <c r="GG31" s="8">
        <f>COUNTIFS('Raw data'!$D:$D,"*Levi Ampofo*", 'Raw data'!$Y:$Y,"*2nd*",'Raw data'!$L:$L,"*Blocked*")</f>
        <v>1</v>
      </c>
      <c r="GH31" s="8">
        <f>COUNTIFS('Raw data'!$D:$D,"*Levi Ampofo*", 'Raw data'!$Y:$Y,"*2nd*",'Raw data'!$M:$M,"*Goal*")</f>
        <v>0</v>
      </c>
      <c r="GI31" s="8">
        <f>COUNTIFS('Raw data'!$D:$D,"*Levi Ampofo*", 'Raw data'!$Y:$Y,"*2nd*",'Raw data'!$M:$M,"*Assist*")</f>
        <v>0</v>
      </c>
      <c r="GJ31" s="8">
        <f>COUNTIFS('Raw data'!$D:$D,"*Levi Ampofo*", 'Raw data'!$Y:$Y,"*2nd*",'Raw data'!$H:$H,"*Offensive duel*")</f>
        <v>0</v>
      </c>
      <c r="GK31" s="8">
        <f>COUNTIFS('Raw data'!$D:$D,"*Levi Ampofo*", 'Raw data'!$Y:$Y,"*2nd*",'Raw data'!$H:$H,"*Offensive Duel*",'Raw data'!$H:$H,"*Offensive Duel*",'Raw data'!$M:$M,"*Kept Possession*")</f>
        <v>0</v>
      </c>
      <c r="GL31" s="8">
        <f>COUNTIFS('Raw data'!$D:$D,"*Levi Ampofo*", 'Raw data'!$Y:$Y,"*2nd*",'Raw data'!$H:$H,"*Offensive Duel*",'Raw data'!$H:$H,"*Offensive Duel*",'Raw data'!$M:$M,"*Lost Possession*")</f>
        <v>0</v>
      </c>
      <c r="GM31" s="54" t="str">
        <f t="shared" si="162"/>
        <v>-</v>
      </c>
      <c r="GN31" s="54" t="str">
        <f t="shared" si="163"/>
        <v>-</v>
      </c>
      <c r="GO31" s="8">
        <f>COUNTIFS('Raw data'!$D:$D,"*Levi Ampofo*", 'Raw data'!$Y:$Y,"*2nd*",'Raw data'!$H:$H,"*Acceleration*")</f>
        <v>0</v>
      </c>
      <c r="GP31" s="8">
        <f>COUNTIFS('Raw data'!$D:$D,"*Levi Ampofo*", 'Raw data'!$Y:$Y,"*2nd*",'Raw data'!$H:$H,"*Move into Pocket*")</f>
        <v>0</v>
      </c>
      <c r="GQ31" s="8">
        <f>COUNTIFS('Raw data'!$D:$D,"*Levi Ampofo*", 'Raw data'!$Y:$Y,"*2nd*",'Raw data'!$H:$H,"*Wide area*")</f>
        <v>14</v>
      </c>
      <c r="GR31" s="8">
        <f>COUNTIFS('Raw data'!$D:$D,"*Levi Ampofo*", 'Raw data'!$Y:$Y,"*2nd*",'Raw data'!$H:$H,"*Back to goal*")</f>
        <v>0</v>
      </c>
      <c r="GS31" s="8">
        <f>COUNTIFS('Raw data'!$D:$D,"*Levi Ampofo*", 'Raw data'!$Y:$Y,"*2nd*",'Raw data'!$H:$H,"*Over/Underlaps*")</f>
        <v>1</v>
      </c>
      <c r="GT31" s="8">
        <f>COUNTIFS('Raw data'!$D:$D,"*Levi Ampofo*", 'Raw data'!$Y:$Y,"*2nd*",'Raw data'!$H:$H,"*Runs in Behind*")</f>
        <v>0</v>
      </c>
      <c r="GU31" s="8">
        <f>COUNTIFS('Raw data'!$D:$D,"*Levi Ampofo*", 'Raw data'!$Y:$Y,"*2nd*",'Raw data'!$H:$H,"*Half-space Runs*")</f>
        <v>0</v>
      </c>
      <c r="GV31" s="8">
        <f t="shared" si="164"/>
        <v>3</v>
      </c>
      <c r="GW31" s="8">
        <f t="shared" si="165"/>
        <v>1</v>
      </c>
      <c r="GX31" s="8">
        <f t="shared" si="166"/>
        <v>2</v>
      </c>
      <c r="GY31" s="54">
        <f t="shared" si="167"/>
        <v>0.33333333333333331</v>
      </c>
      <c r="GZ31" s="54">
        <f t="shared" si="168"/>
        <v>0.66666666666666663</v>
      </c>
      <c r="HA31" s="8">
        <f>COUNTIFS('Raw data'!$D:$D,"*Levi Ampofo*", 'Raw data'!$Y:$Y,"*2nd*",'Raw data'!$K:$K,"*Ground duel*")</f>
        <v>3</v>
      </c>
      <c r="HB31" s="8">
        <f>COUNTIFS('Raw data'!$D:$D,"*Levi Ampofo*", 'Raw data'!$Y:$Y,"*2nd*",'Raw data'!$K:$K,"*Ground duel*",'Raw data'!$M:$M,"*Duel Succeeded*")</f>
        <v>1</v>
      </c>
      <c r="HC31" s="8">
        <f>COUNTIFS('Raw data'!$D:$D,"*Levi Ampofo*", 'Raw data'!$Y:$Y,"*2nd*",'Raw data'!$K:$K,"*Ground duel*",'Raw data'!$M:$M,"*Duel Unsucceeded*")</f>
        <v>2</v>
      </c>
      <c r="HD31" s="54">
        <f t="shared" si="169"/>
        <v>0.33333333333333331</v>
      </c>
      <c r="HE31" s="54">
        <f t="shared" si="170"/>
        <v>0.66666666666666663</v>
      </c>
      <c r="HF31" s="8">
        <f>COUNTIFS('Raw data'!$D:$D,"*Levi Ampofo*", 'Raw data'!$Y:$Y,"*2nd*",'Raw data'!$K:$K,"*Aerial duel*")</f>
        <v>0</v>
      </c>
      <c r="HG31" s="8">
        <f>COUNTIFS('Raw data'!$D:$D,"*Levi Ampofo*", 'Raw data'!$Y:$Y,"*2nd*",'Raw data'!$K:$K,"*Aerial duel*",'Raw data'!$M:$M,"*Duel Succeeded*")</f>
        <v>0</v>
      </c>
      <c r="HH31" s="8">
        <f>COUNTIFS('Raw data'!$D:$D,"*Levi Ampofo*", 'Raw data'!$Y:$Y,"*2nd*",'Raw data'!$K:$K,"*Aerial duel*",'Raw data'!$M:$M,"*Duel Unsucceeded*")</f>
        <v>0</v>
      </c>
      <c r="HI31" s="54" t="str">
        <f t="shared" si="171"/>
        <v>-</v>
      </c>
      <c r="HJ31" s="54" t="str">
        <f t="shared" si="172"/>
        <v>-</v>
      </c>
      <c r="HK31" s="8">
        <f>COUNTIFS('Raw data'!$D:$D,"*Levi Ampofo*", 'Raw data'!$Y:$Y,"*2nd*",'Raw data'!$K:$K,"*1v1 defense*")</f>
        <v>0</v>
      </c>
      <c r="HL31" s="8">
        <f>COUNTIFS('Raw data'!$D:$D,"*Levi Ampofo*", 'Raw data'!$Y:$Y,"*2nd*",'Raw data'!$K:$K,"*1v1 defense*",'Raw data'!$M:$M,"*Duel Succeeded*")</f>
        <v>0</v>
      </c>
      <c r="HM31" s="8">
        <f>COUNTIFS('Raw data'!$D:$D,"*Levi Ampofo*", 'Raw data'!$Y:$Y,"*2nd*",'Raw data'!$K:$K,"*1v1 defense*",'Raw data'!$M:$M,"*Duel Unsucceeded*")</f>
        <v>0</v>
      </c>
      <c r="HN31" s="54" t="str">
        <f t="shared" si="173"/>
        <v>-</v>
      </c>
      <c r="HO31" s="54" t="str">
        <f t="shared" si="174"/>
        <v>-</v>
      </c>
      <c r="HP31" s="8">
        <f>COUNTIFS('Raw data'!$D:$D,"*Levi Ampofo*", 'Raw data'!$Y:$Y,"*2nd*",'Raw data'!$J:$J,"*Tackles*")</f>
        <v>1</v>
      </c>
      <c r="HQ31" s="8">
        <f>COUNTIFS('Raw data'!$D:$D,"*Levi Ampofo*", 'Raw data'!$Y:$Y,"*2nd*",'Raw data'!$J:$J,"*Tackles*", 'Raw data'!$M:$M,"*Duel Succeeded*")</f>
        <v>0</v>
      </c>
      <c r="HR31" s="8">
        <f>COUNTIFS('Raw data'!$D:$D,"*Levi Ampofo*", 'Raw data'!$Y:$Y,"*2nd*",'Raw data'!$J:$J,"*Tackles*", 'Raw data'!$M:$M,"*Duel Unsucceeded*")</f>
        <v>1</v>
      </c>
      <c r="HS31" s="54">
        <f t="shared" si="175"/>
        <v>0</v>
      </c>
      <c r="HT31" s="54">
        <f t="shared" si="176"/>
        <v>1</v>
      </c>
      <c r="HU31" s="8">
        <f>COUNTIFS('Raw data'!$D:$D,"*Levi Ampofo*", 'Raw data'!$Y:$Y,"*2nd*",'Raw data'!$K:$K,"*2nd Balls*")</f>
        <v>1</v>
      </c>
      <c r="HV31" s="8">
        <f>COUNTIFS('Raw data'!$D:$D,"*Levi Ampofo*", 'Raw data'!$Y:$Y,"*2nd*",'Raw data'!$K:$K,"*2nd Balls*", 'Raw data'!$M:$M,"*Duel Succeeded*")</f>
        <v>1</v>
      </c>
      <c r="HW31" s="8">
        <f>COUNTIFS('Raw data'!$D:$D,"*Levi Ampofo*", 'Raw data'!$Y:$Y,"*2nd*",'Raw data'!$K:$K,"*2nd Balls*", 'Raw data'!$M:$M,"*Duel Unsucceeded*")</f>
        <v>0</v>
      </c>
      <c r="HX31" s="54">
        <f t="shared" si="177"/>
        <v>1</v>
      </c>
      <c r="HY31" s="54">
        <f t="shared" si="178"/>
        <v>0</v>
      </c>
      <c r="HZ31" s="8">
        <f>COUNTIFS('Raw data'!$D:$D,"*Levi Ampofo*", 'Raw data'!$Y:$Y,"*2nd*",'Raw data'!$J:$J,"*Clearance*")</f>
        <v>0</v>
      </c>
      <c r="IA31" s="8">
        <f>COUNTIFS('Raw data'!$D:$D,"*Levi Ampofo*", 'Raw data'!$Y:$Y,"*2nd*",'Raw data'!$J:$J,"*Interception*")</f>
        <v>2</v>
      </c>
      <c r="IB31" s="8">
        <f>COUNTIFS('Raw data'!$D:$D,"*Levi Ampofo*", 'Raw data'!$Y:$Y,"*2nd*",'Raw data'!$J:$J,"*Turnover Won*")</f>
        <v>1</v>
      </c>
      <c r="IC31" s="8">
        <f>COUNTIFS('Raw data'!$D:$D,"*Levi Ampofo*", 'Raw data'!$Y:$Y,"*2nd*",'Raw data'!$J:$J,"*Recovery*")</f>
        <v>1</v>
      </c>
      <c r="ID31" s="8">
        <f>COUNTIFS('Raw data'!$D:$D,"*Levi Ampofo*", 'Raw data'!$Y:$Y,"*2nd*",'Raw data'!$J:$J,"*Blocked Shots*")</f>
        <v>0</v>
      </c>
      <c r="IE31" s="8">
        <f>COUNTIFS('Raw data'!$D:$D,"*Levi Ampofo*", 'Raw data'!$Y:$Y,"*2nd*",'Raw data'!$J:$J,"*Man-marking*")</f>
        <v>0</v>
      </c>
      <c r="IF31" s="8">
        <f>COUNTIFS('Raw data'!$D:$D,"*Levi Ampofo*", 'Raw data'!$Y:$Y,"*2nd*",'Raw data'!$J:$J,"*Fouls*")</f>
        <v>3</v>
      </c>
      <c r="IG31" s="8">
        <f>COUNTIFS('Raw data'!$D:$D,"*Levi Ampofo*", 'Raw data'!$Y:$Y,"*2nd*",'Raw data'!$J:$J,"*Won F*")</f>
        <v>2</v>
      </c>
      <c r="IH31" s="8">
        <f>COUNTIFS('Raw data'!$D:$D,"*Levi Ampofo*", 'Raw data'!$Y:$Y,"*2nd*",'Raw data'!$G:$G,"*1v1*")</f>
        <v>0</v>
      </c>
      <c r="II31" s="8">
        <f>COUNTIFS('Raw data'!$D:$D,"*Levi Ampofo*", 'Raw data'!$Y:$Y,"*2nd*",'Raw data'!$G:$G,"*On Target*")</f>
        <v>0</v>
      </c>
      <c r="IJ31" s="8">
        <f>COUNTIFS('Raw data'!$D:$D,"*Levi Ampofo*", 'Raw data'!$Y:$Y,"*2nd*",'Raw data'!$G:$G,"*Off Target*")</f>
        <v>0</v>
      </c>
      <c r="IK31" s="8">
        <f>COUNTIFS('Raw data'!$D:$D,"*Levi Ampofo*", 'Raw data'!$Y:$Y,"*2nd*",'Raw data'!$G:$G,"*Defend the Space*")</f>
        <v>0</v>
      </c>
      <c r="IL31" s="8">
        <f>COUNTIFS('Raw data'!$D:$D,"*Levi Ampofo*", 'Raw data'!$Y:$Y,"*2nd*",'Raw data'!$G:$G,"*Conceded*")</f>
        <v>0</v>
      </c>
      <c r="IM31" s="8">
        <f>COUNTIFS('Raw data'!$D:$D,"*Levi Ampofo*", 'Raw data'!$Y:$Y,"*2nd*",'Raw data'!$G:$G,"*Save*")</f>
        <v>0</v>
      </c>
      <c r="IN31" s="8">
        <f>COUNTIFS('Raw data'!$D:$D,"*Levi Ampofo*", 'Raw data'!$Y:$Y,"*2nd*",'Raw data'!$G:$G,"*Defend the line (Cross)*")</f>
        <v>0</v>
      </c>
      <c r="IO31" s="8">
        <f>COUNTIFS('Raw data'!$D:$D,"*Levi Ampofo*", 'Raw data'!$Y:$Y,"*2nd*",'Raw data'!$G:$G,"*Counter Kick*")</f>
        <v>0</v>
      </c>
      <c r="IP31" t="s">
        <v>651</v>
      </c>
    </row>
    <row r="32" spans="2:250">
      <c r="DW32" t="s">
        <v>462</v>
      </c>
      <c r="DX32" t="s">
        <v>626</v>
      </c>
      <c r="DY32">
        <v>40</v>
      </c>
      <c r="DZ32" t="s">
        <v>538</v>
      </c>
      <c r="EA32">
        <f t="shared" si="138"/>
        <v>10</v>
      </c>
      <c r="EB32" s="8">
        <f t="shared" si="139"/>
        <v>10</v>
      </c>
      <c r="EC32" s="8">
        <f t="shared" si="139"/>
        <v>0</v>
      </c>
      <c r="ED32" s="54">
        <f t="shared" si="140"/>
        <v>1</v>
      </c>
      <c r="EE32" s="54">
        <f t="shared" si="141"/>
        <v>0</v>
      </c>
      <c r="EF32">
        <f t="shared" si="142"/>
        <v>2</v>
      </c>
      <c r="EG32">
        <f>COUNTIFS('Raw data'!$D:$D,"*Romeo Hamilton*", 'Raw data'!$Y:$Y,"*2nd*",'Raw data'!$I:$I,"*Forward Pass*",'Raw data'!$M:$M,"*Pass completed*")</f>
        <v>2</v>
      </c>
      <c r="EH32">
        <f>COUNTIFS('Raw data'!$D:$D,"*Romeo Hamilton*", 'Raw data'!$Y:$Y,"*2nd*",'Raw data'!$I:$I,"*Forward Pass*",'Raw data'!$M:$M,"*Pass Uncompleted*")</f>
        <v>0</v>
      </c>
      <c r="EI32" s="54">
        <f t="shared" si="143"/>
        <v>1</v>
      </c>
      <c r="EJ32" s="54">
        <f t="shared" si="144"/>
        <v>0</v>
      </c>
      <c r="EK32">
        <f t="shared" si="145"/>
        <v>2</v>
      </c>
      <c r="EL32" s="8">
        <f>COUNTIFS('Raw data'!$D:$D,"*Romeo Hamilton*", 'Raw data'!$Y:$Y,"*2nd*",'Raw data'!$I:$I,"*Lateral Pass*",'Raw data'!$M:$M,"*Pass completed*")</f>
        <v>2</v>
      </c>
      <c r="EM32" s="8">
        <f>COUNTIFS('Raw data'!$D:$D,"*Romeo Hamilton*", 'Raw data'!$Y:$Y,"*2nd*",'Raw data'!$I:$I,"*Lateral Pass*",'Raw data'!$M:$M,"*Pass Uncompleted*")</f>
        <v>0</v>
      </c>
      <c r="EN32" s="54">
        <f t="shared" si="146"/>
        <v>1</v>
      </c>
      <c r="EO32" s="54">
        <f t="shared" si="147"/>
        <v>0</v>
      </c>
      <c r="EP32">
        <f t="shared" si="148"/>
        <v>6</v>
      </c>
      <c r="EQ32" s="8">
        <f>COUNTIFS('Raw data'!$D:$D,"*Romeo Hamilton*", 'Raw data'!$Y:$Y,"*2nd*",'Raw data'!$I:$I,"*Backward Pass*",'Raw data'!$M:$M,"*Pass completed*")</f>
        <v>6</v>
      </c>
      <c r="ER32" s="8">
        <f>COUNTIFS('Raw data'!$D:$D,"*Romeo Hamilton*", 'Raw data'!$Y:$Y,"*2nd*",'Raw data'!$I:$I,"*Backward Pass*",'Raw data'!$M:$M,"*Pass Uncompleted*")</f>
        <v>0</v>
      </c>
      <c r="ES32" s="54">
        <f t="shared" si="149"/>
        <v>1</v>
      </c>
      <c r="ET32" s="54">
        <f t="shared" si="150"/>
        <v>0</v>
      </c>
      <c r="EU32" s="8">
        <f>COUNTIFS('Raw data'!$D:$D,"*Romeo Hamilton*", 'Raw data'!$Y:$Y,"*2nd*",'Raw data'!$I:$I,"*Long Kick*")</f>
        <v>0</v>
      </c>
      <c r="EV32" s="8">
        <f>COUNTIFS('Raw data'!$D:$D,"*Romeo Hamilton*", 'Raw data'!$Y:$Y,"*2nd*",'Raw data'!$I:$I,"*Long Kick*",'Raw data'!$M:$M,"*Pass completed*")</f>
        <v>0</v>
      </c>
      <c r="EW32" s="8">
        <f>COUNTIFS('Raw data'!$D:$D,"*Romeo Hamilton*", 'Raw data'!$Y:$Y,"*2nd*",'Raw data'!$I:$I,"*Long Kick*",'Raw data'!$M:$M,"*Pass Uncompleted*")</f>
        <v>0</v>
      </c>
      <c r="EX32" s="54" t="str">
        <f t="shared" si="151"/>
        <v>-</v>
      </c>
      <c r="EY32" s="54" t="str">
        <f t="shared" si="152"/>
        <v>-</v>
      </c>
      <c r="EZ32" s="8">
        <f>COUNTIFS('Raw data'!$D:$D,"*Romeo Hamilton*", 'Raw data'!$Y:$Y,"*2nd*",'Raw data'!$I:$I,"*Balls in Behind*")</f>
        <v>1</v>
      </c>
      <c r="FA32" s="8">
        <f>COUNTIFS('Raw data'!$D:$D,"*Romeo Hamilton*", 'Raw data'!$Y:$Y,"*2nd*",'Raw data'!$I:$I,"*Balls in Behind*",'Raw data'!$M:$M,"*Pass completed*")</f>
        <v>1</v>
      </c>
      <c r="FB32" s="8">
        <f>COUNTIFS('Raw data'!$D:$D,"*Romeo Hamilton*", 'Raw data'!$Y:$Y,"*2nd*",'Raw data'!$I:$I,"*Balls in Behind*",'Raw data'!$M:$M,"*Pass Uncompleted*")</f>
        <v>0</v>
      </c>
      <c r="FC32" s="54">
        <f t="shared" si="153"/>
        <v>1</v>
      </c>
      <c r="FD32" s="54">
        <f t="shared" si="154"/>
        <v>0</v>
      </c>
      <c r="FE32" s="8">
        <f>COUNTIFS('Raw data'!$D:$D,"*Romeo Hamilton*", 'Raw data'!$Y:$Y,"*2nd*",'Raw data'!$I:$I,"*Key/Through pass*")</f>
        <v>1</v>
      </c>
      <c r="FF32" s="8">
        <f>COUNTIFS('Raw data'!$D:$D,"*Romeo Hamilton*", 'Raw data'!$Y:$Y,"*2nd*",'Raw data'!$I:$I,"*Diagonal pass*")</f>
        <v>0</v>
      </c>
      <c r="FG32" s="8">
        <f>COUNTIFS('Raw data'!$D:$D,"*Romeo Hamilton*", 'Raw data'!$Y:$Y,"*2nd*",'Raw data'!$I:$I,"*Diagonal pass*",'Raw data'!$M:$M,"*Pass completed*")</f>
        <v>0</v>
      </c>
      <c r="FH32" s="8">
        <f>COUNTIFS('Raw data'!$D:$D,"*Romeo Hamilton*", 'Raw data'!$Y:$Y,"*2nd*",'Raw data'!$I:$I,"*Diagonal pass*",'Raw data'!$M:$M,"*Pass Uncompleted*")</f>
        <v>0</v>
      </c>
      <c r="FI32" s="54" t="str">
        <f t="shared" si="155"/>
        <v>-</v>
      </c>
      <c r="FJ32" s="54" t="str">
        <f t="shared" si="156"/>
        <v>-</v>
      </c>
      <c r="FK32" s="8">
        <f>COUNTIFS('Raw data'!$D:$D,"*Romeo Hamilton*", 'Raw data'!$Y:$Y,"*2nd*",'Raw data'!$M:$M,"*Pass Received*")</f>
        <v>11</v>
      </c>
      <c r="FL32" s="8">
        <f>COUNTIFS('Raw data'!$D:$D,"*Romeo Hamilton*", 'Raw data'!$Y:$Y,"*2nd*",'Raw data'!$M:$M,"*Pass Completed*",'Raw data'!$M:$M,"*Pass Received*")</f>
        <v>8</v>
      </c>
      <c r="FM32" s="8">
        <f>COUNTIFS('Raw data'!$D:$D,"*Romeo Hamilton*", 'Raw data'!$Y:$Y,"*2nd*",'Raw data'!$M:$M,"*Pass Uncompleted*",'Raw data'!$M:$M,"*Pass Received*")</f>
        <v>0</v>
      </c>
      <c r="FN32" s="8">
        <f>COUNTIFS('Raw data'!$D:$D,"*Romeo Hamilton*", 'Raw data'!$Y:$Y,"*2nd*",'Raw data'!$M:$M,"*Kept Possession*",'Raw data'!$M:$M,"*Pass Received*")</f>
        <v>2</v>
      </c>
      <c r="FO32" s="8">
        <f>COUNTIFS('Raw data'!$D:$D,"*Romeo Hamilton*", 'Raw data'!$Y:$Y,"*2nd*",'Raw data'!$M:$M,"*Lost Possession*")</f>
        <v>2</v>
      </c>
      <c r="FP32" s="8">
        <f>COUNTIFS('Raw data'!$D:$D,"*Romeo Hamilton*", 'Raw data'!$Y:$Y,"*2nd*",'Raw data'!$M:$M,"*Lost Possession*",'Raw data'!$M:$M,"*Lost Final 1/3*")</f>
        <v>1</v>
      </c>
      <c r="FQ32" s="8">
        <f>COUNTIFS('Raw data'!$D:$D,"*Romeo Hamilton*", 'Raw data'!$Y:$Y,"*2nd*",'Raw data'!$M:$M,"*Lost Possession*",'Raw data'!$M:$M,"*Lost Middle 1/3*")</f>
        <v>0</v>
      </c>
      <c r="FR32" s="8">
        <f>COUNTIFS('Raw data'!$D:$D,"*Romeo Hamilton*", 'Raw data'!$Y:$Y,"*2nd*",'Raw data'!$M:$M,"*Lost Possession*",'Raw data'!$M:$M,"*Lost Own 1/3*")</f>
        <v>1</v>
      </c>
      <c r="FS32" s="8">
        <f>COUNTIFS('Raw data'!$D:$D,"*Romeo Hamilton*", 'Raw data'!$Y:$Y,"*2nd*",'Raw data'!$H:$H,"*Touches in the Box*")</f>
        <v>1</v>
      </c>
      <c r="FT32" s="8">
        <f>COUNTIFS('Raw data'!$D:$D,"*Romeo Hamilton*", 'Raw data'!$Y:$Y,"*2nd*",'Raw data'!$H:$H,"*1v1 Attack*")</f>
        <v>4</v>
      </c>
      <c r="FU32" s="8">
        <f>COUNTIFS('Raw data'!$D:$D,"*Romeo Hamilton*", 'Raw data'!$Y:$Y,"*2nd*",'Raw data'!$H:$H,"*1v1 Attack*",'Raw data'!$H:$H,"*1v1 Attack*",'Raw data'!$M:$M,"*Kept Possession*")</f>
        <v>2</v>
      </c>
      <c r="FV32" s="8">
        <f>COUNTIFS('Raw data'!$D:$D,"*Romeo Hamilton*", 'Raw data'!$Y:$Y,"*2nd*",'Raw data'!$H:$H,"*1v1 Attack*",'Raw data'!$H:$H,"*1v1 Attack*",'Raw data'!$M:$M,"*Lost Possession*")</f>
        <v>2</v>
      </c>
      <c r="FW32" s="54">
        <f t="shared" si="157"/>
        <v>0.5</v>
      </c>
      <c r="FX32" s="54">
        <f t="shared" si="158"/>
        <v>0.5</v>
      </c>
      <c r="FY32" s="8">
        <f>COUNTIFS('Raw data'!$D:$D,"*Romeo Hamilton*", 'Raw data'!$Y:$Y,"*2nd*",'Raw data'!$I:$I,"*Cross*")</f>
        <v>1</v>
      </c>
      <c r="FZ32" s="8">
        <f>COUNTIFS('Raw data'!$D:$D,"*Romeo Hamilton*", 'Raw data'!$Y:$Y,"*2nd*",'Raw data'!$I:$I,"*Cross*",'Raw data'!$M:$M,"*Pass Completed*")</f>
        <v>1</v>
      </c>
      <c r="GA32" s="8">
        <f>COUNTIFS('Raw data'!$D:$D,"*Romeo Hamilton*", 'Raw data'!$Y:$Y,"*2nd*",'Raw data'!$I:$I,"*Cross*",'Raw data'!$M:$M,"*Pass Uncompleted*")</f>
        <v>0</v>
      </c>
      <c r="GB32" s="54">
        <f t="shared" si="159"/>
        <v>1</v>
      </c>
      <c r="GC32" s="54">
        <f t="shared" si="160"/>
        <v>0</v>
      </c>
      <c r="GD32" s="8">
        <f t="shared" si="161"/>
        <v>0</v>
      </c>
      <c r="GE32" s="8">
        <f>COUNTIFS('Raw data'!$D:$D,"*Romeo Hamilton*", 'Raw data'!$Y:$Y,"*2nd*",'Raw data'!$L:$L,"*On Target*")</f>
        <v>0</v>
      </c>
      <c r="GF32" s="8">
        <f>COUNTIFS('Raw data'!$D:$D,"*Romeo Hamilton*", 'Raw data'!$Y:$Y,"*2nd*",'Raw data'!$L:$L,"*Off Target*")</f>
        <v>0</v>
      </c>
      <c r="GG32" s="8">
        <f>COUNTIFS('Raw data'!$D:$D,"*Romeo Hamilton*", 'Raw data'!$Y:$Y,"*2nd*",'Raw data'!$L:$L,"*Blocked*")</f>
        <v>0</v>
      </c>
      <c r="GH32" s="8">
        <f>COUNTIFS('Raw data'!$D:$D,"*Romeo Hamilton*", 'Raw data'!$Y:$Y,"*2nd*",'Raw data'!$M:$M,"*Goal*")</f>
        <v>0</v>
      </c>
      <c r="GI32" s="8">
        <f>COUNTIFS('Raw data'!$D:$D,"*Romeo Hamilton*", 'Raw data'!$Y:$Y,"*2nd*",'Raw data'!$M:$M,"*Assist*")</f>
        <v>1</v>
      </c>
      <c r="GJ32" s="8">
        <f>COUNTIFS('Raw data'!$D:$D,"*Romeo Hamilton*", 'Raw data'!$Y:$Y,"*2nd*",'Raw data'!$H:$H,"*Offensive duel*")</f>
        <v>2</v>
      </c>
      <c r="GK32" s="8">
        <f>COUNTIFS('Raw data'!$D:$D,"*Romeo Hamilton*", 'Raw data'!$Y:$Y,"*2nd*",'Raw data'!$H:$H,"*Offensive Duel*",'Raw data'!$H:$H,"*Offensive Duel*",'Raw data'!$M:$M,"*Kept Possession*")</f>
        <v>2</v>
      </c>
      <c r="GL32" s="8">
        <f>COUNTIFS('Raw data'!$D:$D,"*Romeo Hamilton*", 'Raw data'!$Y:$Y,"*2nd*",'Raw data'!$H:$H,"*Offensive Duel*",'Raw data'!$H:$H,"*Offensive Duel*",'Raw data'!$M:$M,"*Lost Possession*")</f>
        <v>0</v>
      </c>
      <c r="GM32" s="54">
        <f t="shared" si="162"/>
        <v>1</v>
      </c>
      <c r="GN32" s="54">
        <f t="shared" si="163"/>
        <v>0</v>
      </c>
      <c r="GO32" s="8">
        <f>COUNTIFS('Raw data'!$D:$D,"*Romeo Hamilton*", 'Raw data'!$Y:$Y,"*2nd*",'Raw data'!$H:$H,"*Acceleration*")</f>
        <v>2</v>
      </c>
      <c r="GP32" s="8">
        <f>COUNTIFS('Raw data'!$D:$D,"*Romeo Hamilton*", 'Raw data'!$Y:$Y,"*2nd*",'Raw data'!$H:$H,"*Move into Pocket*")</f>
        <v>2</v>
      </c>
      <c r="GQ32" s="8">
        <f>COUNTIFS('Raw data'!$D:$D,"*Romeo Hamilton*", 'Raw data'!$Y:$Y,"*2nd*",'Raw data'!$H:$H,"*Wide area*")</f>
        <v>6</v>
      </c>
      <c r="GR32" s="8">
        <f>COUNTIFS('Raw data'!$D:$D,"*Romeo Hamilton*", 'Raw data'!$Y:$Y,"*2nd*",'Raw data'!$H:$H,"*Back to goal*")</f>
        <v>0</v>
      </c>
      <c r="GS32" s="8">
        <f>COUNTIFS('Raw data'!$D:$D,"*Romeo Hamilton*", 'Raw data'!$Y:$Y,"*2nd*",'Raw data'!$H:$H,"*Over/Underlaps*")</f>
        <v>0</v>
      </c>
      <c r="GT32" s="8">
        <f>COUNTIFS('Raw data'!$D:$D,"*Romeo Hamilton*", 'Raw data'!$Y:$Y,"*2nd*",'Raw data'!$H:$H,"*Runs in Behind*")</f>
        <v>1</v>
      </c>
      <c r="GU32" s="8">
        <f>COUNTIFS('Raw data'!$D:$D,"*Romeo Hamilton*", 'Raw data'!$Y:$Y,"*2nd*",'Raw data'!$H:$H,"*Half-space Runs*")</f>
        <v>0</v>
      </c>
      <c r="GV32" s="8">
        <f t="shared" si="164"/>
        <v>3</v>
      </c>
      <c r="GW32" s="8">
        <f t="shared" si="165"/>
        <v>3</v>
      </c>
      <c r="GX32" s="8">
        <f t="shared" si="166"/>
        <v>0</v>
      </c>
      <c r="GY32" s="54">
        <f t="shared" si="167"/>
        <v>1</v>
      </c>
      <c r="GZ32" s="54">
        <f t="shared" si="168"/>
        <v>0</v>
      </c>
      <c r="HA32" s="8">
        <f>COUNTIFS('Raw data'!$D:$D,"*Romeo Hamilton*", 'Raw data'!$Y:$Y,"*2nd*",'Raw data'!$K:$K,"*Ground duel*")</f>
        <v>1</v>
      </c>
      <c r="HB32" s="8">
        <f>COUNTIFS('Raw data'!$D:$D,"*Romeo Hamilton*", 'Raw data'!$Y:$Y,"*2nd*",'Raw data'!$K:$K,"*Ground duel*",'Raw data'!$M:$M,"*Duel Succeeded*")</f>
        <v>1</v>
      </c>
      <c r="HC32" s="8">
        <f>COUNTIFS('Raw data'!$D:$D,"*Romeo Hamilton*", 'Raw data'!$Y:$Y,"*2nd*",'Raw data'!$K:$K,"*Ground duel*",'Raw data'!$M:$M,"*Duel Unsucceeded*")</f>
        <v>0</v>
      </c>
      <c r="HD32" s="54">
        <f t="shared" si="169"/>
        <v>1</v>
      </c>
      <c r="HE32" s="54">
        <f t="shared" si="170"/>
        <v>0</v>
      </c>
      <c r="HF32" s="8">
        <f>COUNTIFS('Raw data'!$D:$D,"*Romeo Hamilton*", 'Raw data'!$Y:$Y,"*2nd*",'Raw data'!$K:$K,"*Aerial duel*")</f>
        <v>0</v>
      </c>
      <c r="HG32" s="8">
        <f>COUNTIFS('Raw data'!$D:$D,"*Romeo Hamilton*", 'Raw data'!$Y:$Y,"*2nd*",'Raw data'!$K:$K,"*Aerial duel*",'Raw data'!$M:$M,"*Duel Succeeded*")</f>
        <v>0</v>
      </c>
      <c r="HH32" s="8">
        <f>COUNTIFS('Raw data'!$D:$D,"*Romeo Hamilton*", 'Raw data'!$Y:$Y,"*2nd*",'Raw data'!$K:$K,"*Aerial duel*",'Raw data'!$M:$M,"*Duel Unsucceeded*")</f>
        <v>0</v>
      </c>
      <c r="HI32" s="54" t="str">
        <f t="shared" si="171"/>
        <v>-</v>
      </c>
      <c r="HJ32" s="54" t="str">
        <f t="shared" si="172"/>
        <v>-</v>
      </c>
      <c r="HK32" s="8">
        <f>COUNTIFS('Raw data'!$D:$D,"*Romeo Hamilton*", 'Raw data'!$Y:$Y,"*2nd*",'Raw data'!$K:$K,"*1v1 defense*")</f>
        <v>2</v>
      </c>
      <c r="HL32" s="8">
        <f>COUNTIFS('Raw data'!$D:$D,"*Romeo Hamilton*", 'Raw data'!$Y:$Y,"*2nd*",'Raw data'!$K:$K,"*1v1 defense*",'Raw data'!$M:$M,"*Duel Succeeded*")</f>
        <v>1</v>
      </c>
      <c r="HM32" s="8">
        <f>COUNTIFS('Raw data'!$D:$D,"*Romeo Hamilton*", 'Raw data'!$Y:$Y,"*2nd*",'Raw data'!$K:$K,"*1v1 defense*",'Raw data'!$M:$M,"*Duel Unsucceeded*")</f>
        <v>1</v>
      </c>
      <c r="HN32" s="54">
        <f t="shared" si="173"/>
        <v>0.5</v>
      </c>
      <c r="HO32" s="54">
        <f t="shared" si="174"/>
        <v>0.5</v>
      </c>
      <c r="HP32" s="8">
        <f>COUNTIFS('Raw data'!$D:$D,"*Romeo Hamilton*", 'Raw data'!$Y:$Y,"*2nd*",'Raw data'!$J:$J,"*Tackles*")</f>
        <v>1</v>
      </c>
      <c r="HQ32" s="8">
        <f>COUNTIFS('Raw data'!$D:$D,"*Romeo Hamilton*", 'Raw data'!$Y:$Y,"*2nd*",'Raw data'!$J:$J,"*Tackles*", 'Raw data'!$M:$M,"*Duel Succeeded*")</f>
        <v>1</v>
      </c>
      <c r="HR32" s="8">
        <f>COUNTIFS('Raw data'!$D:$D,"*Romeo Hamilton*", 'Raw data'!$Y:$Y,"*2nd*",'Raw data'!$J:$J,"*Tackles*", 'Raw data'!$M:$M,"*Duel Unsucceeded*")</f>
        <v>0</v>
      </c>
      <c r="HS32" s="54">
        <f t="shared" si="175"/>
        <v>1</v>
      </c>
      <c r="HT32" s="54">
        <f t="shared" si="176"/>
        <v>0</v>
      </c>
      <c r="HU32" s="8">
        <f>COUNTIFS('Raw data'!$D:$D,"*Romeo Hamilton*", 'Raw data'!$Y:$Y,"*2nd*",'Raw data'!$K:$K,"*2nd Balls*")</f>
        <v>0</v>
      </c>
      <c r="HV32" s="8">
        <f>COUNTIFS('Raw data'!$D:$D,"*Romeo Hamilton*", 'Raw data'!$Y:$Y,"*2nd*",'Raw data'!$K:$K,"*2nd Balls*", 'Raw data'!$M:$M,"*Duel Succeeded*")</f>
        <v>0</v>
      </c>
      <c r="HW32" s="8">
        <f>COUNTIFS('Raw data'!$D:$D,"*Romeo Hamilton*", 'Raw data'!$Y:$Y,"*2nd*",'Raw data'!$K:$K,"*2nd Balls*", 'Raw data'!$M:$M,"*Duel Unsucceeded*")</f>
        <v>0</v>
      </c>
      <c r="HX32" s="54" t="str">
        <f t="shared" si="177"/>
        <v>-</v>
      </c>
      <c r="HY32" s="54" t="str">
        <f t="shared" si="178"/>
        <v>-</v>
      </c>
      <c r="HZ32" s="8">
        <f>COUNTIFS('Raw data'!$D:$D,"*Romeo Hamilton*", 'Raw data'!$Y:$Y,"*2nd*",'Raw data'!$J:$J,"*Clearance*")</f>
        <v>2</v>
      </c>
      <c r="IA32" s="8">
        <f>COUNTIFS('Raw data'!$D:$D,"*Romeo Hamilton*", 'Raw data'!$Y:$Y,"*2nd*",'Raw data'!$J:$J,"*Interception*")</f>
        <v>1</v>
      </c>
      <c r="IB32" s="8">
        <f>COUNTIFS('Raw data'!$D:$D,"*Romeo Hamilton*", 'Raw data'!$Y:$Y,"*2nd*",'Raw data'!$J:$J,"*Turnover Won*")</f>
        <v>2</v>
      </c>
      <c r="IC32" s="8">
        <f>COUNTIFS('Raw data'!$D:$D,"*Romeo Hamilton*", 'Raw data'!$Y:$Y,"*2nd*",'Raw data'!$J:$J,"*Recovery*")</f>
        <v>1</v>
      </c>
      <c r="ID32" s="8">
        <f>COUNTIFS('Raw data'!$D:$D,"*Romeo Hamilton*", 'Raw data'!$Y:$Y,"*2nd*",'Raw data'!$J:$J,"*Blocked Shots*")</f>
        <v>0</v>
      </c>
      <c r="IE32" s="8">
        <f>COUNTIFS('Raw data'!$D:$D,"*Romeo Hamilton*", 'Raw data'!$Y:$Y,"*2nd*",'Raw data'!$J:$J,"*Man-marking*")</f>
        <v>0</v>
      </c>
      <c r="IF32" s="8">
        <f>COUNTIFS('Raw data'!$D:$D,"*Romeo Hamilton*", 'Raw data'!$Y:$Y,"*2nd*",'Raw data'!$J:$J,"*Fouls*")</f>
        <v>0</v>
      </c>
      <c r="IG32" s="8">
        <f>COUNTIFS('Raw data'!$D:$D,"*Romeo Hamilton*", 'Raw data'!$Y:$Y,"*2nd*",'Raw data'!$J:$J,"*Won F*")</f>
        <v>0</v>
      </c>
      <c r="IH32" s="8">
        <f>COUNTIFS('Raw data'!$D:$D,"*Romeo Hamilton*", 'Raw data'!$Y:$Y,"*2nd*",'Raw data'!$G:$G,"*1v1*")</f>
        <v>0</v>
      </c>
      <c r="II32" s="8">
        <f>COUNTIFS('Raw data'!$D:$D,"*Romeo Hamilton*", 'Raw data'!$Y:$Y,"*2nd*",'Raw data'!$G:$G,"*On Target*")</f>
        <v>0</v>
      </c>
      <c r="IJ32" s="8">
        <f>COUNTIFS('Raw data'!$D:$D,"*Romeo Hamilton*", 'Raw data'!$Y:$Y,"*2nd*",'Raw data'!$G:$G,"*Off Target*")</f>
        <v>0</v>
      </c>
      <c r="IK32" s="8">
        <f>COUNTIFS('Raw data'!$D:$D,"*Romeo Hamilton*", 'Raw data'!$Y:$Y,"*2nd*",'Raw data'!$G:$G,"*Defend the Space*")</f>
        <v>0</v>
      </c>
      <c r="IL32" s="8">
        <f>COUNTIFS('Raw data'!$D:$D,"*Romeo Hamilton*", 'Raw data'!$Y:$Y,"*2nd*",'Raw data'!$G:$G,"*Conceded*")</f>
        <v>0</v>
      </c>
      <c r="IM32" s="8">
        <f>COUNTIFS('Raw data'!$D:$D,"*Romeo Hamilton*", 'Raw data'!$Y:$Y,"*2nd*",'Raw data'!$G:$G,"*Save*")</f>
        <v>0</v>
      </c>
      <c r="IN32" s="8">
        <f>COUNTIFS('Raw data'!$D:$D,"*Romeo Hamilton*", 'Raw data'!$Y:$Y,"*2nd*",'Raw data'!$G:$G,"*Defend the line (Cross)*")</f>
        <v>0</v>
      </c>
      <c r="IO32" s="8">
        <f>COUNTIFS('Raw data'!$D:$D,"*Romeo Hamilton*", 'Raw data'!$Y:$Y,"*2nd*",'Raw data'!$G:$G,"*Counter Kick*")</f>
        <v>0</v>
      </c>
      <c r="IP32" t="s">
        <v>626</v>
      </c>
    </row>
    <row r="33" spans="3:250">
      <c r="C33" s="7"/>
      <c r="DW33" t="s">
        <v>462</v>
      </c>
      <c r="DX33" t="s">
        <v>761</v>
      </c>
      <c r="DY33">
        <v>30</v>
      </c>
      <c r="DZ33" t="s">
        <v>539</v>
      </c>
      <c r="EA33">
        <f t="shared" si="138"/>
        <v>7</v>
      </c>
      <c r="EB33" s="8">
        <f t="shared" si="139"/>
        <v>7</v>
      </c>
      <c r="EC33" s="8">
        <f t="shared" si="139"/>
        <v>0</v>
      </c>
      <c r="ED33" s="54">
        <f t="shared" si="140"/>
        <v>1</v>
      </c>
      <c r="EE33" s="54">
        <f t="shared" si="141"/>
        <v>0</v>
      </c>
      <c r="EF33">
        <f t="shared" si="142"/>
        <v>1</v>
      </c>
      <c r="EG33">
        <f>COUNTIFS('Raw data'!$D:$D,"*Harley Moyes*", 'Raw data'!$Y:$Y,"*2nd*",'Raw data'!$I:$I,"*Forward Pass*",'Raw data'!$M:$M,"*Pass completed*")</f>
        <v>1</v>
      </c>
      <c r="EH33">
        <f>COUNTIFS('Raw data'!$D:$D,"*Harley Moyes*", 'Raw data'!$Y:$Y,"*2nd*",'Raw data'!$I:$I,"*Forward Pass*",'Raw data'!$M:$M,"*Pass Uncompleted*")</f>
        <v>0</v>
      </c>
      <c r="EI33" s="54">
        <f t="shared" si="143"/>
        <v>1</v>
      </c>
      <c r="EJ33" s="54">
        <f t="shared" si="144"/>
        <v>0</v>
      </c>
      <c r="EK33">
        <f t="shared" si="145"/>
        <v>5</v>
      </c>
      <c r="EL33" s="8">
        <f>COUNTIFS('Raw data'!$D:$D,"*Harley Moyes*", 'Raw data'!$Y:$Y,"*2nd*",'Raw data'!$I:$I,"*Lateral Pass*",'Raw data'!$M:$M,"*Pass completed*")</f>
        <v>5</v>
      </c>
      <c r="EM33" s="8">
        <f>COUNTIFS('Raw data'!$D:$D,"*Harley Moyes*", 'Raw data'!$Y:$Y,"*2nd*",'Raw data'!$I:$I,"*Lateral Pass*",'Raw data'!$M:$M,"*Pass Uncompleted*")</f>
        <v>0</v>
      </c>
      <c r="EN33" s="54">
        <f t="shared" si="146"/>
        <v>1</v>
      </c>
      <c r="EO33" s="54">
        <f t="shared" si="147"/>
        <v>0</v>
      </c>
      <c r="EP33">
        <f t="shared" si="148"/>
        <v>1</v>
      </c>
      <c r="EQ33" s="8">
        <f>COUNTIFS('Raw data'!$D:$D,"*Harley Moyes*", 'Raw data'!$Y:$Y,"*2nd*",'Raw data'!$I:$I,"*Backward Pass*",'Raw data'!$M:$M,"*Pass completed*")</f>
        <v>1</v>
      </c>
      <c r="ER33" s="8">
        <f>COUNTIFS('Raw data'!$D:$D,"*Harley Moyes*", 'Raw data'!$Y:$Y,"*2nd*",'Raw data'!$I:$I,"*Backward Pass*",'Raw data'!$M:$M,"*Pass Uncompleted*")</f>
        <v>0</v>
      </c>
      <c r="ES33" s="54">
        <f t="shared" si="149"/>
        <v>1</v>
      </c>
      <c r="ET33" s="54">
        <f t="shared" si="150"/>
        <v>0</v>
      </c>
      <c r="EU33" s="8">
        <f>COUNTIFS('Raw data'!$D:$D,"*Harley Moyes*", 'Raw data'!$Y:$Y,"*2nd*",'Raw data'!$I:$I,"*Long Kick*")</f>
        <v>0</v>
      </c>
      <c r="EV33" s="8">
        <f>COUNTIFS('Raw data'!$D:$D,"*Harley Moyes*", 'Raw data'!$Y:$Y,"*2nd*",'Raw data'!$I:$I,"*Long Kick*",'Raw data'!$M:$M,"*Pass completed*")</f>
        <v>0</v>
      </c>
      <c r="EW33" s="8">
        <f>COUNTIFS('Raw data'!$D:$D,"*Harley Moyes*", 'Raw data'!$Y:$Y,"*2nd*",'Raw data'!$I:$I,"*Long Kick*",'Raw data'!$M:$M,"*Pass Uncompleted*")</f>
        <v>0</v>
      </c>
      <c r="EX33" s="54" t="str">
        <f t="shared" si="151"/>
        <v>-</v>
      </c>
      <c r="EY33" s="54" t="str">
        <f t="shared" si="152"/>
        <v>-</v>
      </c>
      <c r="EZ33" s="8">
        <f>COUNTIFS('Raw data'!$D:$D,"*Harley Moyes*", 'Raw data'!$Y:$Y,"*2nd*",'Raw data'!$I:$I,"*Balls in Behind*")</f>
        <v>1</v>
      </c>
      <c r="FA33" s="8">
        <f>COUNTIFS('Raw data'!$D:$D,"*Harley Moyes*", 'Raw data'!$Y:$Y,"*2nd*",'Raw data'!$I:$I,"*Balls in Behind*",'Raw data'!$M:$M,"*Pass completed*")</f>
        <v>1</v>
      </c>
      <c r="FB33" s="8">
        <f>COUNTIFS('Raw data'!$D:$D,"*Harley Moyes*", 'Raw data'!$Y:$Y,"*2nd*",'Raw data'!$I:$I,"*Balls in Behind*",'Raw data'!$M:$M,"*Pass Uncompleted*")</f>
        <v>0</v>
      </c>
      <c r="FC33" s="54">
        <f t="shared" si="153"/>
        <v>1</v>
      </c>
      <c r="FD33" s="54">
        <f t="shared" si="154"/>
        <v>0</v>
      </c>
      <c r="FE33" s="8">
        <f>COUNTIFS('Raw data'!$D:$D,"*Harley Moyes*", 'Raw data'!$Y:$Y,"*2nd*",'Raw data'!$I:$I,"*Key/Through pass*")</f>
        <v>0</v>
      </c>
      <c r="FF33" s="8">
        <f>COUNTIFS('Raw data'!$D:$D,"*Harley Moyes*", 'Raw data'!$Y:$Y,"*2nd*",'Raw data'!$I:$I,"*Diagonal pass*")</f>
        <v>0</v>
      </c>
      <c r="FG33" s="8">
        <f>COUNTIFS('Raw data'!$D:$D,"*Harley Moyes*", 'Raw data'!$Y:$Y,"*2nd*",'Raw data'!$I:$I,"*Diagonal pass*",'Raw data'!$M:$M,"*Pass completed*")</f>
        <v>0</v>
      </c>
      <c r="FH33" s="8">
        <f>COUNTIFS('Raw data'!$D:$D,"*Harley Moyes*", 'Raw data'!$Y:$Y,"*2nd*",'Raw data'!$I:$I,"*Diagonal pass*",'Raw data'!$M:$M,"*Pass Uncompleted*")</f>
        <v>0</v>
      </c>
      <c r="FI33" s="54" t="str">
        <f t="shared" si="155"/>
        <v>-</v>
      </c>
      <c r="FJ33" s="54" t="str">
        <f t="shared" si="156"/>
        <v>-</v>
      </c>
      <c r="FK33" s="8">
        <f>COUNTIFS('Raw data'!$D:$D,"*Harley Moyes*", 'Raw data'!$Y:$Y,"*2nd*",'Raw data'!$M:$M,"*Pass Received*")</f>
        <v>8</v>
      </c>
      <c r="FL33" s="8">
        <f>COUNTIFS('Raw data'!$D:$D,"*Harley Moyes*", 'Raw data'!$Y:$Y,"*2nd*",'Raw data'!$M:$M,"*Pass Completed*",'Raw data'!$M:$M,"*Pass Received*")</f>
        <v>7</v>
      </c>
      <c r="FM33" s="8">
        <f>COUNTIFS('Raw data'!$D:$D,"*Harley Moyes*", 'Raw data'!$Y:$Y,"*2nd*",'Raw data'!$M:$M,"*Pass Uncompleted*",'Raw data'!$M:$M,"*Pass Received*")</f>
        <v>0</v>
      </c>
      <c r="FN33" s="8">
        <f>COUNTIFS('Raw data'!$D:$D,"*Harley Moyes*", 'Raw data'!$Y:$Y,"*2nd*",'Raw data'!$M:$M,"*Kept Possession*",'Raw data'!$M:$M,"*Pass Received*")</f>
        <v>0</v>
      </c>
      <c r="FO33" s="8">
        <f>COUNTIFS('Raw data'!$D:$D,"*Harley Moyes*", 'Raw data'!$Y:$Y,"*2nd*",'Raw data'!$M:$M,"*Lost Possession*")</f>
        <v>1</v>
      </c>
      <c r="FP33" s="8">
        <f>COUNTIFS('Raw data'!$D:$D,"*Harley Moyes*", 'Raw data'!$Y:$Y,"*2nd*",'Raw data'!$M:$M,"*Lost Possession*",'Raw data'!$M:$M,"*Lost Final 1/3*")</f>
        <v>1</v>
      </c>
      <c r="FQ33" s="8">
        <f>COUNTIFS('Raw data'!$D:$D,"*Harley Moyes*", 'Raw data'!$Y:$Y,"*2nd*",'Raw data'!$M:$M,"*Lost Possession*",'Raw data'!$M:$M,"*Lost Middle 1/3*")</f>
        <v>0</v>
      </c>
      <c r="FR33" s="8">
        <f>COUNTIFS('Raw data'!$D:$D,"*Harley Moyes*", 'Raw data'!$Y:$Y,"*2nd*",'Raw data'!$M:$M,"*Lost Possession*",'Raw data'!$M:$M,"*Lost Own 1/3*")</f>
        <v>0</v>
      </c>
      <c r="FS33" s="8">
        <f>COUNTIFS('Raw data'!$D:$D,"*Harley Moyes*", 'Raw data'!$Y:$Y,"*2nd*",'Raw data'!$H:$H,"*Touches in the Box*")</f>
        <v>1</v>
      </c>
      <c r="FT33" s="8">
        <f>COUNTIFS('Raw data'!$D:$D,"*Harley Moyes*", 'Raw data'!$Y:$Y,"*2nd*",'Raw data'!$H:$H,"*1v1 Attack*")</f>
        <v>0</v>
      </c>
      <c r="FU33" s="8">
        <f>COUNTIFS('Raw data'!$D:$D,"*Harley Moyes*", 'Raw data'!$Y:$Y,"*2nd*",'Raw data'!$H:$H,"*1v1 Attack*",'Raw data'!$H:$H,"*1v1 Attack*",'Raw data'!$M:$M,"*Kept Possession*")</f>
        <v>0</v>
      </c>
      <c r="FV33" s="8">
        <f>COUNTIFS('Raw data'!$D:$D,"*Harley Moyes*", 'Raw data'!$Y:$Y,"*2nd*",'Raw data'!$H:$H,"*1v1 Attack*",'Raw data'!$H:$H,"*1v1 Attack*",'Raw data'!$M:$M,"*Lost Possession*")</f>
        <v>0</v>
      </c>
      <c r="FW33" s="54" t="str">
        <f t="shared" si="157"/>
        <v>-</v>
      </c>
      <c r="FX33" s="54" t="str">
        <f t="shared" si="158"/>
        <v>-</v>
      </c>
      <c r="FY33" s="8">
        <f>COUNTIFS('Raw data'!$D:$D,"*Harley Moyes*", 'Raw data'!$Y:$Y,"*2nd*",'Raw data'!$I:$I,"*Cross*")</f>
        <v>0</v>
      </c>
      <c r="FZ33" s="8">
        <f>COUNTIFS('Raw data'!$D:$D,"*Harley Moyes*", 'Raw data'!$Y:$Y,"*2nd*",'Raw data'!$I:$I,"*Cross*",'Raw data'!$M:$M,"*Pass Completed*")</f>
        <v>0</v>
      </c>
      <c r="GA33" s="8">
        <f>COUNTIFS('Raw data'!$D:$D,"*Harley Moyes*", 'Raw data'!$Y:$Y,"*2nd*",'Raw data'!$I:$I,"*Cross*",'Raw data'!$M:$M,"*Pass Uncompleted*")</f>
        <v>0</v>
      </c>
      <c r="GB33" s="54" t="str">
        <f t="shared" si="159"/>
        <v>-</v>
      </c>
      <c r="GC33" s="54" t="str">
        <f t="shared" si="160"/>
        <v>-</v>
      </c>
      <c r="GD33" s="8">
        <f t="shared" si="161"/>
        <v>1</v>
      </c>
      <c r="GE33" s="8">
        <f>COUNTIFS('Raw data'!$D:$D,"*Harley Moyes*", 'Raw data'!$Y:$Y,"*2nd*",'Raw data'!$L:$L,"*On Target*")</f>
        <v>0</v>
      </c>
      <c r="GF33" s="8">
        <f>COUNTIFS('Raw data'!$D:$D,"*Harley Moyes*", 'Raw data'!$Y:$Y,"*2nd*",'Raw data'!$L:$L,"*Off Target*")</f>
        <v>1</v>
      </c>
      <c r="GG33" s="8">
        <f>COUNTIFS('Raw data'!$D:$D,"*Harley Moyes*", 'Raw data'!$Y:$Y,"*2nd*",'Raw data'!$L:$L,"*Blocked*")</f>
        <v>0</v>
      </c>
      <c r="GH33" s="8">
        <f>COUNTIFS('Raw data'!$D:$D,"*Harley Moyes*", 'Raw data'!$Y:$Y,"*2nd*",'Raw data'!$M:$M,"*Goal*")</f>
        <v>2</v>
      </c>
      <c r="GI33" s="8">
        <f>COUNTIFS('Raw data'!$D:$D,"*Harley Moyes*", 'Raw data'!$Y:$Y,"*2nd*",'Raw data'!$M:$M,"*Assist*")</f>
        <v>1</v>
      </c>
      <c r="GJ33" s="8">
        <f>COUNTIFS('Raw data'!$D:$D,"*Harley Moyes*", 'Raw data'!$Y:$Y,"*2nd*",'Raw data'!$H:$H,"*Offensive duel*")</f>
        <v>0</v>
      </c>
      <c r="GK33" s="8">
        <f>COUNTIFS('Raw data'!$D:$D,"*Harley Moyes*", 'Raw data'!$Y:$Y,"*2nd*",'Raw data'!$H:$H,"*Offensive Duel*",'Raw data'!$H:$H,"*Offensive Duel*",'Raw data'!$M:$M,"*Kept Possession*")</f>
        <v>0</v>
      </c>
      <c r="GL33" s="8">
        <f>COUNTIFS('Raw data'!$D:$D,"*Harley Moyes*", 'Raw data'!$Y:$Y,"*2nd*",'Raw data'!$H:$H,"*Offensive Duel*",'Raw data'!$H:$H,"*Offensive Duel*",'Raw data'!$M:$M,"*Lost Possession*")</f>
        <v>0</v>
      </c>
      <c r="GM33" s="54" t="str">
        <f t="shared" si="162"/>
        <v>-</v>
      </c>
      <c r="GN33" s="54" t="str">
        <f t="shared" si="163"/>
        <v>-</v>
      </c>
      <c r="GO33" s="8">
        <f>COUNTIFS('Raw data'!$D:$D,"*Harley Moyes*", 'Raw data'!$Y:$Y,"*2nd*",'Raw data'!$H:$H,"*Acceleration*")</f>
        <v>0</v>
      </c>
      <c r="GP33" s="8">
        <f>COUNTIFS('Raw data'!$D:$D,"*Harley Moyes*", 'Raw data'!$Y:$Y,"*2nd*",'Raw data'!$H:$H,"*Move into Pocket*")</f>
        <v>3</v>
      </c>
      <c r="GQ33" s="8">
        <f>COUNTIFS('Raw data'!$D:$D,"*Harley Moyes*", 'Raw data'!$Y:$Y,"*2nd*",'Raw data'!$H:$H,"*Wide area*")</f>
        <v>2</v>
      </c>
      <c r="GR33" s="8">
        <f>COUNTIFS('Raw data'!$D:$D,"*Harley Moyes*", 'Raw data'!$Y:$Y,"*2nd*",'Raw data'!$H:$H,"*Back to goal*")</f>
        <v>0</v>
      </c>
      <c r="GS33" s="8">
        <f>COUNTIFS('Raw data'!$D:$D,"*Harley Moyes*", 'Raw data'!$Y:$Y,"*2nd*",'Raw data'!$H:$H,"*Over/Underlaps*")</f>
        <v>0</v>
      </c>
      <c r="GT33" s="8">
        <f>COUNTIFS('Raw data'!$D:$D,"*Harley Moyes*", 'Raw data'!$Y:$Y,"*2nd*",'Raw data'!$H:$H,"*Runs in Behind*")</f>
        <v>0</v>
      </c>
      <c r="GU33" s="8">
        <f>COUNTIFS('Raw data'!$D:$D,"*Harley Moyes*", 'Raw data'!$Y:$Y,"*2nd*",'Raw data'!$H:$H,"*Half-space Runs*")</f>
        <v>0</v>
      </c>
      <c r="GV33" s="8">
        <f t="shared" si="164"/>
        <v>3</v>
      </c>
      <c r="GW33" s="8">
        <f t="shared" si="165"/>
        <v>1</v>
      </c>
      <c r="GX33" s="8">
        <f t="shared" si="166"/>
        <v>2</v>
      </c>
      <c r="GY33" s="54">
        <f t="shared" si="167"/>
        <v>0.33333333333333331</v>
      </c>
      <c r="GZ33" s="54">
        <f t="shared" si="168"/>
        <v>0.66666666666666663</v>
      </c>
      <c r="HA33" s="8">
        <f>COUNTIFS('Raw data'!$D:$D,"*Harley Moyes*", 'Raw data'!$Y:$Y,"*2nd*",'Raw data'!$K:$K,"*Ground duel*")</f>
        <v>1</v>
      </c>
      <c r="HB33" s="8">
        <f>COUNTIFS('Raw data'!$D:$D,"*Harley Moyes*", 'Raw data'!$Y:$Y,"*2nd*",'Raw data'!$K:$K,"*Ground duel*",'Raw data'!$M:$M,"*Duel Succeeded*")</f>
        <v>1</v>
      </c>
      <c r="HC33" s="8">
        <f>COUNTIFS('Raw data'!$D:$D,"*Harley Moyes*", 'Raw data'!$Y:$Y,"*2nd*",'Raw data'!$K:$K,"*Ground duel*",'Raw data'!$M:$M,"*Duel Unsucceeded*")</f>
        <v>0</v>
      </c>
      <c r="HD33" s="54">
        <f t="shared" si="169"/>
        <v>1</v>
      </c>
      <c r="HE33" s="54">
        <f t="shared" si="170"/>
        <v>0</v>
      </c>
      <c r="HF33" s="8">
        <f>COUNTIFS('Raw data'!$D:$D,"*Harley Moyes*", 'Raw data'!$Y:$Y,"*2nd*",'Raw data'!$K:$K,"*Aerial duel*")</f>
        <v>2</v>
      </c>
      <c r="HG33" s="8">
        <f>COUNTIFS('Raw data'!$D:$D,"*Harley Moyes*", 'Raw data'!$Y:$Y,"*2nd*",'Raw data'!$K:$K,"*Aerial duel*",'Raw data'!$M:$M,"*Duel Succeeded*")</f>
        <v>0</v>
      </c>
      <c r="HH33" s="8">
        <f>COUNTIFS('Raw data'!$D:$D,"*Harley Moyes*", 'Raw data'!$Y:$Y,"*2nd*",'Raw data'!$K:$K,"*Aerial duel*",'Raw data'!$M:$M,"*Duel Unsucceeded*")</f>
        <v>2</v>
      </c>
      <c r="HI33" s="54" t="str">
        <f t="shared" si="171"/>
        <v>-</v>
      </c>
      <c r="HJ33" s="54" t="str">
        <f t="shared" si="172"/>
        <v>-</v>
      </c>
      <c r="HK33" s="8">
        <f>COUNTIFS('Raw data'!$D:$D,"*Harley Moyes*", 'Raw data'!$Y:$Y,"*2nd*",'Raw data'!$K:$K,"*1v1 defense*")</f>
        <v>0</v>
      </c>
      <c r="HL33" s="8">
        <f>COUNTIFS('Raw data'!$D:$D,"*Harley Moyes*", 'Raw data'!$Y:$Y,"*2nd*",'Raw data'!$K:$K,"*1v1 defense*",'Raw data'!$M:$M,"*Duel Succeeded*")</f>
        <v>0</v>
      </c>
      <c r="HM33" s="8">
        <f>COUNTIFS('Raw data'!$D:$D,"*Harley Moyes*", 'Raw data'!$Y:$Y,"*2nd*",'Raw data'!$K:$K,"*1v1 defense*",'Raw data'!$M:$M,"*Duel Unsucceeded*")</f>
        <v>0</v>
      </c>
      <c r="HN33" s="54" t="str">
        <f t="shared" si="173"/>
        <v>-</v>
      </c>
      <c r="HO33" s="54" t="str">
        <f t="shared" si="174"/>
        <v>-</v>
      </c>
      <c r="HP33" s="8">
        <f>COUNTIFS('Raw data'!$D:$D,"*Harley Moyes*", 'Raw data'!$Y:$Y,"*2nd*",'Raw data'!$J:$J,"*Tackles*")</f>
        <v>0</v>
      </c>
      <c r="HQ33" s="8">
        <f>COUNTIFS('Raw data'!$D:$D,"*Harley Moyes*", 'Raw data'!$Y:$Y,"*2nd*",'Raw data'!$J:$J,"*Tackles*", 'Raw data'!$M:$M,"*Duel Succeeded*")</f>
        <v>0</v>
      </c>
      <c r="HR33" s="8">
        <f>COUNTIFS('Raw data'!$D:$D,"*Harley Moyes*", 'Raw data'!$Y:$Y,"*2nd*",'Raw data'!$J:$J,"*Tackles*", 'Raw data'!$M:$M,"*Duel Unsucceeded*")</f>
        <v>0</v>
      </c>
      <c r="HS33" s="54" t="str">
        <f t="shared" si="175"/>
        <v>-</v>
      </c>
      <c r="HT33" s="54" t="str">
        <f t="shared" si="176"/>
        <v>-</v>
      </c>
      <c r="HU33" s="8">
        <f>COUNTIFS('Raw data'!$D:$D,"*Harley Moyes*", 'Raw data'!$Y:$Y,"*2nd*",'Raw data'!$K:$K,"*2nd Balls*")</f>
        <v>0</v>
      </c>
      <c r="HV33" s="8">
        <f>COUNTIFS('Raw data'!$D:$D,"*Harley Moyes*", 'Raw data'!$Y:$Y,"*2nd*",'Raw data'!$K:$K,"*2nd Balls*", 'Raw data'!$M:$M,"*Duel Succeeded*")</f>
        <v>0</v>
      </c>
      <c r="HW33" s="8">
        <f>COUNTIFS('Raw data'!$D:$D,"*Harley Moyes*", 'Raw data'!$Y:$Y,"*2nd*",'Raw data'!$K:$K,"*2nd Balls*", 'Raw data'!$M:$M,"*Duel Unsucceeded*")</f>
        <v>0</v>
      </c>
      <c r="HX33" s="54" t="str">
        <f t="shared" si="177"/>
        <v>-</v>
      </c>
      <c r="HY33" s="54" t="str">
        <f t="shared" si="178"/>
        <v>-</v>
      </c>
      <c r="HZ33" s="8">
        <f>COUNTIFS('Raw data'!$D:$D,"*Harley Moyes*", 'Raw data'!$Y:$Y,"*2nd*",'Raw data'!$J:$J,"*Clearance*")</f>
        <v>0</v>
      </c>
      <c r="IA33" s="8">
        <f>COUNTIFS('Raw data'!$D:$D,"*Harley Moyes*", 'Raw data'!$Y:$Y,"*2nd*",'Raw data'!$J:$J,"*Interception*")</f>
        <v>1</v>
      </c>
      <c r="IB33" s="8">
        <f>COUNTIFS('Raw data'!$D:$D,"*Harley Moyes*", 'Raw data'!$Y:$Y,"*2nd*",'Raw data'!$J:$J,"*Turnover Won*")</f>
        <v>2</v>
      </c>
      <c r="IC33" s="8">
        <f>COUNTIFS('Raw data'!$D:$D,"*Harley Moyes*", 'Raw data'!$Y:$Y,"*2nd*",'Raw data'!$J:$J,"*Recovery*")</f>
        <v>0</v>
      </c>
      <c r="ID33" s="8">
        <f>COUNTIFS('Raw data'!$D:$D,"*Harley Moyes*", 'Raw data'!$Y:$Y,"*2nd*",'Raw data'!$J:$J,"*Blocked Shots*")</f>
        <v>0</v>
      </c>
      <c r="IE33" s="8">
        <f>COUNTIFS('Raw data'!$D:$D,"*Harley Moyes*", 'Raw data'!$Y:$Y,"*2nd*",'Raw data'!$J:$J,"*Man-marking*")</f>
        <v>0</v>
      </c>
      <c r="IF33" s="8">
        <f>COUNTIFS('Raw data'!$D:$D,"*Harley Moyes*", 'Raw data'!$Y:$Y,"*2nd*",'Raw data'!$J:$J,"*Fouls*")</f>
        <v>0</v>
      </c>
      <c r="IG33" s="8">
        <f>COUNTIFS('Raw data'!$D:$D,"*Harley Moyes*", 'Raw data'!$Y:$Y,"*2nd*",'Raw data'!$J:$J,"*Won F*")</f>
        <v>0</v>
      </c>
      <c r="IH33" s="8">
        <f>COUNTIFS('Raw data'!$D:$D,"*Harley Moyes*", 'Raw data'!$Y:$Y,"*2nd*",'Raw data'!$G:$G,"*1v1*")</f>
        <v>0</v>
      </c>
      <c r="II33" s="8">
        <f>COUNTIFS('Raw data'!$D:$D,"*Harley Moyes*", 'Raw data'!$Y:$Y,"*2nd*",'Raw data'!$G:$G,"*On Target*")</f>
        <v>0</v>
      </c>
      <c r="IJ33" s="8">
        <f>COUNTIFS('Raw data'!$D:$D,"*Harley Moyes*", 'Raw data'!$Y:$Y,"*2nd*",'Raw data'!$G:$G,"*Off Target*")</f>
        <v>0</v>
      </c>
      <c r="IK33" s="8">
        <f>COUNTIFS('Raw data'!$D:$D,"*Harley Moyes*", 'Raw data'!$Y:$Y,"*2nd*",'Raw data'!$G:$G,"*Defend the Space*")</f>
        <v>0</v>
      </c>
      <c r="IL33" s="8">
        <f>COUNTIFS('Raw data'!$D:$D,"*Harley Moyes*", 'Raw data'!$Y:$Y,"*2nd*",'Raw data'!$G:$G,"*Conceded*")</f>
        <v>0</v>
      </c>
      <c r="IM33" s="8">
        <f>COUNTIFS('Raw data'!$D:$D,"*Harley Moyes*", 'Raw data'!$Y:$Y,"*2nd*",'Raw data'!$G:$G,"*Save*")</f>
        <v>0</v>
      </c>
      <c r="IN33" s="8">
        <f>COUNTIFS('Raw data'!$D:$D,"*Harley Moyes*", 'Raw data'!$Y:$Y,"*2nd*",'Raw data'!$G:$G,"*Defend the line (Cross)*")</f>
        <v>0</v>
      </c>
      <c r="IO33" s="8">
        <f>COUNTIFS('Raw data'!$D:$D,"*Harley Moyes*", 'Raw data'!$Y:$Y,"*2nd*",'Raw data'!$G:$G,"*Counter Kick*")</f>
        <v>0</v>
      </c>
      <c r="IP33" t="s">
        <v>761</v>
      </c>
    </row>
    <row r="34" spans="3:250">
      <c r="C34" s="7"/>
      <c r="DW34" t="s">
        <v>462</v>
      </c>
      <c r="DX34" t="s">
        <v>653</v>
      </c>
      <c r="DY34">
        <v>40</v>
      </c>
      <c r="DZ34" t="s">
        <v>539</v>
      </c>
      <c r="EA34">
        <f t="shared" si="138"/>
        <v>22</v>
      </c>
      <c r="EB34" s="8">
        <f t="shared" si="139"/>
        <v>17</v>
      </c>
      <c r="EC34" s="8">
        <f t="shared" si="139"/>
        <v>5</v>
      </c>
      <c r="ED34" s="54">
        <f t="shared" si="140"/>
        <v>0.77272727272727271</v>
      </c>
      <c r="EE34" s="54">
        <f t="shared" si="141"/>
        <v>0.22727272727272727</v>
      </c>
      <c r="EF34">
        <f t="shared" si="142"/>
        <v>8</v>
      </c>
      <c r="EG34">
        <f>COUNTIFS('Raw data'!$D:$D,"*Jayden To*", 'Raw data'!$Y:$Y,"*2nd*",'Raw data'!$I:$I,"*Forward Pass*",'Raw data'!$M:$M,"*Pass completed*")</f>
        <v>4</v>
      </c>
      <c r="EH34">
        <f>COUNTIFS('Raw data'!$D:$D,"*Jayden To*", 'Raw data'!$Y:$Y,"*2nd*",'Raw data'!$I:$I,"*Forward Pass*",'Raw data'!$M:$M,"*Pass Uncompleted*")</f>
        <v>4</v>
      </c>
      <c r="EI34" s="54">
        <f t="shared" si="143"/>
        <v>0.5</v>
      </c>
      <c r="EJ34" s="54">
        <f t="shared" si="144"/>
        <v>0.5</v>
      </c>
      <c r="EK34">
        <f t="shared" si="145"/>
        <v>4</v>
      </c>
      <c r="EL34" s="8">
        <f>COUNTIFS('Raw data'!$D:$D,"*Jayden To*", 'Raw data'!$Y:$Y,"*2nd*",'Raw data'!$I:$I,"*Lateral Pass*",'Raw data'!$M:$M,"*Pass completed*")</f>
        <v>3</v>
      </c>
      <c r="EM34" s="8">
        <f>COUNTIFS('Raw data'!$D:$D,"*Jayden To*", 'Raw data'!$Y:$Y,"*2nd*",'Raw data'!$I:$I,"*Lateral Pass*",'Raw data'!$M:$M,"*Pass Uncompleted*")</f>
        <v>1</v>
      </c>
      <c r="EN34" s="54">
        <f t="shared" si="146"/>
        <v>0.75</v>
      </c>
      <c r="EO34" s="54">
        <f t="shared" si="147"/>
        <v>0.25</v>
      </c>
      <c r="EP34">
        <f t="shared" si="148"/>
        <v>10</v>
      </c>
      <c r="EQ34" s="8">
        <f>COUNTIFS('Raw data'!$D:$D,"*Jayden To*", 'Raw data'!$Y:$Y,"*2nd*",'Raw data'!$I:$I,"*Backward Pass*",'Raw data'!$M:$M,"*Pass completed*")</f>
        <v>10</v>
      </c>
      <c r="ER34" s="8">
        <f>COUNTIFS('Raw data'!$D:$D,"*Jayden To*", 'Raw data'!$Y:$Y,"*2nd*",'Raw data'!$I:$I,"*Backward Pass*",'Raw data'!$M:$M,"*Pass Uncompleted*")</f>
        <v>0</v>
      </c>
      <c r="ES34" s="54">
        <f t="shared" si="149"/>
        <v>1</v>
      </c>
      <c r="ET34" s="54">
        <f t="shared" si="150"/>
        <v>0</v>
      </c>
      <c r="EU34" s="8">
        <f>COUNTIFS('Raw data'!$D:$D,"*Jayden To*", 'Raw data'!$Y:$Y,"*2nd*",'Raw data'!$I:$I,"*Long Kick*")</f>
        <v>0</v>
      </c>
      <c r="EV34" s="8">
        <f>COUNTIFS('Raw data'!$D:$D,"*Jayden To*", 'Raw data'!$Y:$Y,"*2nd*",'Raw data'!$I:$I,"*Long Kick*",'Raw data'!$M:$M,"*Pass completed*")</f>
        <v>0</v>
      </c>
      <c r="EW34" s="8">
        <f>COUNTIFS('Raw data'!$D:$D,"*Jayden To*", 'Raw data'!$Y:$Y,"*2nd*",'Raw data'!$I:$I,"*Long Kick*",'Raw data'!$M:$M,"*Pass Uncompleted*")</f>
        <v>0</v>
      </c>
      <c r="EX34" s="54" t="str">
        <f t="shared" si="151"/>
        <v>-</v>
      </c>
      <c r="EY34" s="54" t="str">
        <f t="shared" si="152"/>
        <v>-</v>
      </c>
      <c r="EZ34" s="8">
        <f>COUNTIFS('Raw data'!$D:$D,"*Jayden To*", 'Raw data'!$Y:$Y,"*2nd*",'Raw data'!$I:$I,"*Balls in Behind*")</f>
        <v>2</v>
      </c>
      <c r="FA34" s="8">
        <f>COUNTIFS('Raw data'!$D:$D,"*Jayden To*", 'Raw data'!$Y:$Y,"*2nd*",'Raw data'!$I:$I,"*Balls in Behind*",'Raw data'!$M:$M,"*Pass completed*")</f>
        <v>0</v>
      </c>
      <c r="FB34" s="8">
        <f>COUNTIFS('Raw data'!$D:$D,"*Jayden To*", 'Raw data'!$Y:$Y,"*2nd*",'Raw data'!$I:$I,"*Balls in Behind*",'Raw data'!$M:$M,"*Pass Uncompleted*")</f>
        <v>2</v>
      </c>
      <c r="FC34" s="54">
        <f t="shared" si="153"/>
        <v>0</v>
      </c>
      <c r="FD34" s="54">
        <f t="shared" si="154"/>
        <v>1</v>
      </c>
      <c r="FE34" s="8">
        <f>COUNTIFS('Raw data'!$D:$D,"*Jayden To*", 'Raw data'!$Y:$Y,"*2nd*",'Raw data'!$I:$I,"*Key/Through pass*")</f>
        <v>2</v>
      </c>
      <c r="FF34" s="8">
        <f>COUNTIFS('Raw data'!$D:$D,"*Jayden To*", 'Raw data'!$Y:$Y,"*2nd*",'Raw data'!$I:$I,"*Diagonal pass*")</f>
        <v>0</v>
      </c>
      <c r="FG34" s="8">
        <f>COUNTIFS('Raw data'!$D:$D,"*Jayden To*", 'Raw data'!$Y:$Y,"*2nd*",'Raw data'!$I:$I,"*Diagonal pass*",'Raw data'!$M:$M,"*Pass completed*")</f>
        <v>0</v>
      </c>
      <c r="FH34" s="8">
        <f>COUNTIFS('Raw data'!$D:$D,"*Jayden To*", 'Raw data'!$Y:$Y,"*2nd*",'Raw data'!$I:$I,"*Diagonal pass*",'Raw data'!$M:$M,"*Pass Uncompleted*")</f>
        <v>0</v>
      </c>
      <c r="FI34" s="54" t="str">
        <f t="shared" si="155"/>
        <v>-</v>
      </c>
      <c r="FJ34" s="54" t="str">
        <f t="shared" si="156"/>
        <v>-</v>
      </c>
      <c r="FK34" s="8">
        <f>COUNTIFS('Raw data'!$D:$D,"*Jayden To*", 'Raw data'!$Y:$Y,"*2nd*",'Raw data'!$M:$M,"*Pass Received*")</f>
        <v>11</v>
      </c>
      <c r="FL34" s="8">
        <f>COUNTIFS('Raw data'!$D:$D,"*Jayden To*", 'Raw data'!$Y:$Y,"*2nd*",'Raw data'!$M:$M,"*Pass Completed*",'Raw data'!$M:$M,"*Pass Received*")</f>
        <v>8</v>
      </c>
      <c r="FM34" s="8">
        <f>COUNTIFS('Raw data'!$D:$D,"*Jayden To*", 'Raw data'!$Y:$Y,"*2nd*",'Raw data'!$M:$M,"*Pass Uncompleted*",'Raw data'!$M:$M,"*Pass Received*")</f>
        <v>3</v>
      </c>
      <c r="FN34" s="8">
        <f>COUNTIFS('Raw data'!$D:$D,"*Jayden To*", 'Raw data'!$Y:$Y,"*2nd*",'Raw data'!$M:$M,"*Kept Possession*",'Raw data'!$M:$M,"*Pass Received*")</f>
        <v>1</v>
      </c>
      <c r="FO34" s="8">
        <f>COUNTIFS('Raw data'!$D:$D,"*Jayden To*", 'Raw data'!$Y:$Y,"*2nd*",'Raw data'!$M:$M,"*Lost Possession*")</f>
        <v>4</v>
      </c>
      <c r="FP34" s="8">
        <f>COUNTIFS('Raw data'!$D:$D,"*Jayden To*", 'Raw data'!$Y:$Y,"*2nd*",'Raw data'!$M:$M,"*Lost Possession*",'Raw data'!$M:$M,"*Lost Final 1/3*")</f>
        <v>2</v>
      </c>
      <c r="FQ34" s="8">
        <f>COUNTIFS('Raw data'!$D:$D,"*Jayden To*", 'Raw data'!$Y:$Y,"*2nd*",'Raw data'!$M:$M,"*Lost Possession*",'Raw data'!$M:$M,"*Lost Middle 1/3*")</f>
        <v>1</v>
      </c>
      <c r="FR34" s="8">
        <f>COUNTIFS('Raw data'!$D:$D,"*Jayden To*", 'Raw data'!$Y:$Y,"*2nd*",'Raw data'!$M:$M,"*Lost Possession*",'Raw data'!$M:$M,"*Lost Own 1/3*")</f>
        <v>1</v>
      </c>
      <c r="FS34" s="8">
        <f>COUNTIFS('Raw data'!$D:$D,"*Jayden To*", 'Raw data'!$Y:$Y,"*2nd*",'Raw data'!$H:$H,"*Touches in the Box*")</f>
        <v>0</v>
      </c>
      <c r="FT34" s="8">
        <f>COUNTIFS('Raw data'!$D:$D,"*Jayden To*", 'Raw data'!$Y:$Y,"*2nd*",'Raw data'!$H:$H,"*1v1 Attack*")</f>
        <v>1</v>
      </c>
      <c r="FU34" s="8">
        <f>COUNTIFS('Raw data'!$D:$D,"*Jayden To*", 'Raw data'!$Y:$Y,"*2nd*",'Raw data'!$H:$H,"*1v1 Attack*",'Raw data'!$H:$H,"*1v1 Attack*",'Raw data'!$M:$M,"*Kept Possession*")</f>
        <v>1</v>
      </c>
      <c r="FV34" s="8">
        <f>COUNTIFS('Raw data'!$D:$D,"*Jayden To*", 'Raw data'!$Y:$Y,"*2nd*",'Raw data'!$H:$H,"*1v1 Attack*",'Raw data'!$H:$H,"*1v1 Attack*",'Raw data'!$M:$M,"*Lost Possession*")</f>
        <v>0</v>
      </c>
      <c r="FW34" s="54">
        <f t="shared" si="157"/>
        <v>1</v>
      </c>
      <c r="FX34" s="54">
        <f t="shared" si="158"/>
        <v>0</v>
      </c>
      <c r="FY34" s="8">
        <f>COUNTIFS('Raw data'!$D:$D,"*Jayden To*", 'Raw data'!$Y:$Y,"*2nd*",'Raw data'!$I:$I,"*Cross*")</f>
        <v>0</v>
      </c>
      <c r="FZ34" s="8">
        <f>COUNTIFS('Raw data'!$D:$D,"*Jayden To*", 'Raw data'!$Y:$Y,"*2nd*",'Raw data'!$I:$I,"*Cross*",'Raw data'!$M:$M,"*Pass Completed*")</f>
        <v>0</v>
      </c>
      <c r="GA34" s="8">
        <f>COUNTIFS('Raw data'!$D:$D,"*Jayden To*", 'Raw data'!$Y:$Y,"*2nd*",'Raw data'!$I:$I,"*Cross*",'Raw data'!$M:$M,"*Pass Uncompleted*")</f>
        <v>0</v>
      </c>
      <c r="GB34" s="54" t="str">
        <f t="shared" si="159"/>
        <v>-</v>
      </c>
      <c r="GC34" s="54" t="str">
        <f t="shared" si="160"/>
        <v>-</v>
      </c>
      <c r="GD34" s="8">
        <f t="shared" si="161"/>
        <v>0</v>
      </c>
      <c r="GE34" s="8">
        <f>COUNTIFS('Raw data'!$D:$D,"*Jayden To*", 'Raw data'!$Y:$Y,"*2nd*",'Raw data'!$L:$L,"*On Target*")</f>
        <v>0</v>
      </c>
      <c r="GF34" s="8">
        <f>COUNTIFS('Raw data'!$D:$D,"*Jayden To*", 'Raw data'!$Y:$Y,"*2nd*",'Raw data'!$L:$L,"*Off Target*")</f>
        <v>0</v>
      </c>
      <c r="GG34" s="8">
        <f>COUNTIFS('Raw data'!$D:$D,"*Jayden To*", 'Raw data'!$Y:$Y,"*2nd*",'Raw data'!$L:$L,"*Blocked*")</f>
        <v>0</v>
      </c>
      <c r="GH34" s="8">
        <f>COUNTIFS('Raw data'!$D:$D,"*Jayden To*", 'Raw data'!$Y:$Y,"*2nd*",'Raw data'!$M:$M,"*Goal*")</f>
        <v>0</v>
      </c>
      <c r="GI34" s="8">
        <f>COUNTIFS('Raw data'!$D:$D,"*Jayden To*", 'Raw data'!$Y:$Y,"*2nd*",'Raw data'!$M:$M,"*Assist*")</f>
        <v>0</v>
      </c>
      <c r="GJ34" s="8">
        <f>COUNTIFS('Raw data'!$D:$D,"*Jayden To*", 'Raw data'!$Y:$Y,"*2nd*",'Raw data'!$H:$H,"*Offensive duel*")</f>
        <v>3</v>
      </c>
      <c r="GK34" s="8">
        <f>COUNTIFS('Raw data'!$D:$D,"*Jayden To*", 'Raw data'!$Y:$Y,"*2nd*",'Raw data'!$H:$H,"*Offensive Duel*",'Raw data'!$H:$H,"*Offensive Duel*",'Raw data'!$M:$M,"*Kept Possession*")</f>
        <v>2</v>
      </c>
      <c r="GL34" s="8">
        <f>COUNTIFS('Raw data'!$D:$D,"*Jayden To*", 'Raw data'!$Y:$Y,"*2nd*",'Raw data'!$H:$H,"*Offensive Duel*",'Raw data'!$H:$H,"*Offensive Duel*",'Raw data'!$M:$M,"*Lost Possession*")</f>
        <v>1</v>
      </c>
      <c r="GM34" s="54">
        <f t="shared" si="162"/>
        <v>0.66666666666666663</v>
      </c>
      <c r="GN34" s="54">
        <f t="shared" si="163"/>
        <v>0.33333333333333331</v>
      </c>
      <c r="GO34" s="8">
        <f>COUNTIFS('Raw data'!$D:$D,"*Jayden To*", 'Raw data'!$Y:$Y,"*2nd*",'Raw data'!$H:$H,"*Acceleration*")</f>
        <v>1</v>
      </c>
      <c r="GP34" s="8">
        <f>COUNTIFS('Raw data'!$D:$D,"*Jayden To*", 'Raw data'!$Y:$Y,"*2nd*",'Raw data'!$H:$H,"*Move into Pocket*")</f>
        <v>3</v>
      </c>
      <c r="GQ34" s="8">
        <f>COUNTIFS('Raw data'!$D:$D,"*Jayden To*", 'Raw data'!$Y:$Y,"*2nd*",'Raw data'!$H:$H,"*Wide area*")</f>
        <v>1</v>
      </c>
      <c r="GR34" s="8">
        <f>COUNTIFS('Raw data'!$D:$D,"*Jayden To*", 'Raw data'!$Y:$Y,"*2nd*",'Raw data'!$H:$H,"*Back to goal*")</f>
        <v>1</v>
      </c>
      <c r="GS34" s="8">
        <f>COUNTIFS('Raw data'!$D:$D,"*Jayden To*", 'Raw data'!$Y:$Y,"*2nd*",'Raw data'!$H:$H,"*Over/Underlaps*")</f>
        <v>0</v>
      </c>
      <c r="GT34" s="8">
        <f>COUNTIFS('Raw data'!$D:$D,"*Jayden To*", 'Raw data'!$Y:$Y,"*2nd*",'Raw data'!$H:$H,"*Runs in Behind*")</f>
        <v>0</v>
      </c>
      <c r="GU34" s="8">
        <f>COUNTIFS('Raw data'!$D:$D,"*Jayden To*", 'Raw data'!$Y:$Y,"*2nd*",'Raw data'!$H:$H,"*Half-space Runs*")</f>
        <v>0</v>
      </c>
      <c r="GV34" s="8">
        <f t="shared" si="164"/>
        <v>3</v>
      </c>
      <c r="GW34" s="8">
        <f t="shared" si="165"/>
        <v>2</v>
      </c>
      <c r="GX34" s="8">
        <f t="shared" si="166"/>
        <v>1</v>
      </c>
      <c r="GY34" s="54">
        <f t="shared" si="167"/>
        <v>0.66666666666666663</v>
      </c>
      <c r="GZ34" s="54">
        <f t="shared" si="168"/>
        <v>0.33333333333333331</v>
      </c>
      <c r="HA34" s="8">
        <f>COUNTIFS('Raw data'!$D:$D,"*Jayden To*", 'Raw data'!$Y:$Y,"*2nd*",'Raw data'!$K:$K,"*Ground duel*")</f>
        <v>0</v>
      </c>
      <c r="HB34" s="8">
        <f>COUNTIFS('Raw data'!$D:$D,"*Jayden To*", 'Raw data'!$Y:$Y,"*2nd*",'Raw data'!$K:$K,"*Ground duel*",'Raw data'!$M:$M,"*Duel Succeeded*")</f>
        <v>0</v>
      </c>
      <c r="HC34" s="8">
        <f>COUNTIFS('Raw data'!$D:$D,"*Jayden To*", 'Raw data'!$Y:$Y,"*2nd*",'Raw data'!$K:$K,"*Ground duel*",'Raw data'!$M:$M,"*Duel Unsucceeded*")</f>
        <v>0</v>
      </c>
      <c r="HD34" s="54" t="str">
        <f t="shared" si="169"/>
        <v>-</v>
      </c>
      <c r="HE34" s="54" t="str">
        <f t="shared" si="170"/>
        <v>-</v>
      </c>
      <c r="HF34" s="8">
        <f>COUNTIFS('Raw data'!$D:$D,"*Jayden To*", 'Raw data'!$Y:$Y,"*2nd*",'Raw data'!$K:$K,"*Aerial duel*")</f>
        <v>0</v>
      </c>
      <c r="HG34" s="8">
        <f>COUNTIFS('Raw data'!$D:$D,"*Jayden To*", 'Raw data'!$Y:$Y,"*2nd*",'Raw data'!$K:$K,"*Aerial duel*",'Raw data'!$M:$M,"*Duel Succeeded*")</f>
        <v>0</v>
      </c>
      <c r="HH34" s="8">
        <f>COUNTIFS('Raw data'!$D:$D,"*Jayden To*", 'Raw data'!$Y:$Y,"*2nd*",'Raw data'!$K:$K,"*Aerial duel*",'Raw data'!$M:$M,"*Duel Unsucceeded*")</f>
        <v>0</v>
      </c>
      <c r="HI34" s="54" t="str">
        <f t="shared" si="171"/>
        <v>-</v>
      </c>
      <c r="HJ34" s="54" t="str">
        <f t="shared" si="172"/>
        <v>-</v>
      </c>
      <c r="HK34" s="8">
        <f>COUNTIFS('Raw data'!$D:$D,"*Jayden To*", 'Raw data'!$Y:$Y,"*2nd*",'Raw data'!$K:$K,"*1v1 defense*")</f>
        <v>0</v>
      </c>
      <c r="HL34" s="8">
        <f>COUNTIFS('Raw data'!$D:$D,"*Jayden To*", 'Raw data'!$Y:$Y,"*2nd*",'Raw data'!$K:$K,"*1v1 defense*",'Raw data'!$M:$M,"*Duel Succeeded*")</f>
        <v>0</v>
      </c>
      <c r="HM34" s="8">
        <f>COUNTIFS('Raw data'!$D:$D,"*Jayden To*", 'Raw data'!$Y:$Y,"*2nd*",'Raw data'!$K:$K,"*1v1 defense*",'Raw data'!$M:$M,"*Duel Unsucceeded*")</f>
        <v>0</v>
      </c>
      <c r="HN34" s="54" t="str">
        <f t="shared" si="173"/>
        <v>-</v>
      </c>
      <c r="HO34" s="54" t="str">
        <f t="shared" si="174"/>
        <v>-</v>
      </c>
      <c r="HP34" s="8">
        <f>COUNTIFS('Raw data'!$D:$D,"*Jayden To*", 'Raw data'!$Y:$Y,"*2nd*",'Raw data'!$J:$J,"*Tackles*")</f>
        <v>1</v>
      </c>
      <c r="HQ34" s="8">
        <f>COUNTIFS('Raw data'!$D:$D,"*Jayden To*", 'Raw data'!$Y:$Y,"*2nd*",'Raw data'!$J:$J,"*Tackles*", 'Raw data'!$M:$M,"*Duel Succeeded*")</f>
        <v>0</v>
      </c>
      <c r="HR34" s="8">
        <f>COUNTIFS('Raw data'!$D:$D,"*Jayden To*", 'Raw data'!$Y:$Y,"*2nd*",'Raw data'!$J:$J,"*Tackles*", 'Raw data'!$M:$M,"*Duel Unsucceeded*")</f>
        <v>1</v>
      </c>
      <c r="HS34" s="54">
        <f t="shared" si="175"/>
        <v>0</v>
      </c>
      <c r="HT34" s="54">
        <f t="shared" si="176"/>
        <v>1</v>
      </c>
      <c r="HU34" s="8">
        <f>COUNTIFS('Raw data'!$D:$D,"*Jayden To*", 'Raw data'!$Y:$Y,"*2nd*",'Raw data'!$K:$K,"*2nd Balls*")</f>
        <v>3</v>
      </c>
      <c r="HV34" s="8">
        <f>COUNTIFS('Raw data'!$D:$D,"*Jayden To*", 'Raw data'!$Y:$Y,"*2nd*",'Raw data'!$K:$K,"*2nd Balls*", 'Raw data'!$M:$M,"*Duel Succeeded*")</f>
        <v>2</v>
      </c>
      <c r="HW34" s="8">
        <f>COUNTIFS('Raw data'!$D:$D,"*Jayden To*", 'Raw data'!$Y:$Y,"*2nd*",'Raw data'!$K:$K,"*2nd Balls*", 'Raw data'!$M:$M,"*Duel Unsucceeded*")</f>
        <v>1</v>
      </c>
      <c r="HX34" s="54">
        <f t="shared" si="177"/>
        <v>0.66666666666666663</v>
      </c>
      <c r="HY34" s="54">
        <f t="shared" si="178"/>
        <v>0.33333333333333331</v>
      </c>
      <c r="HZ34" s="8">
        <f>COUNTIFS('Raw data'!$D:$D,"*Jayden To*", 'Raw data'!$Y:$Y,"*2nd*",'Raw data'!$J:$J,"*Clearance*")</f>
        <v>0</v>
      </c>
      <c r="IA34" s="8">
        <f>COUNTIFS('Raw data'!$D:$D,"*Jayden To*", 'Raw data'!$Y:$Y,"*2nd*",'Raw data'!$J:$J,"*Interception*")</f>
        <v>4</v>
      </c>
      <c r="IB34" s="8">
        <f>COUNTIFS('Raw data'!$D:$D,"*Jayden To*", 'Raw data'!$Y:$Y,"*2nd*",'Raw data'!$J:$J,"*Turnover Won*")</f>
        <v>5</v>
      </c>
      <c r="IC34" s="8">
        <f>COUNTIFS('Raw data'!$D:$D,"*Jayden To*", 'Raw data'!$Y:$Y,"*2nd*",'Raw data'!$J:$J,"*Recovery*")</f>
        <v>0</v>
      </c>
      <c r="ID34" s="8">
        <f>COUNTIFS('Raw data'!$D:$D,"*Jayden To*", 'Raw data'!$Y:$Y,"*2nd*",'Raw data'!$J:$J,"*Blocked Shots*")</f>
        <v>0</v>
      </c>
      <c r="IE34" s="8">
        <f>COUNTIFS('Raw data'!$D:$D,"*Jayden To*", 'Raw data'!$Y:$Y,"*2nd*",'Raw data'!$J:$J,"*Man-marking*")</f>
        <v>0</v>
      </c>
      <c r="IF34" s="8">
        <f>COUNTIFS('Raw data'!$D:$D,"*Jayden To*", 'Raw data'!$Y:$Y,"*2nd*",'Raw data'!$J:$J,"*Fouls*")</f>
        <v>2</v>
      </c>
      <c r="IG34" s="8">
        <f>COUNTIFS('Raw data'!$D:$D,"*Jayden To*", 'Raw data'!$Y:$Y,"*2nd*",'Raw data'!$J:$J,"*Won F*")</f>
        <v>2</v>
      </c>
      <c r="IH34" s="8">
        <f>COUNTIFS('Raw data'!$D:$D,"*Jayden To*", 'Raw data'!$Y:$Y,"*2nd*",'Raw data'!$G:$G,"*1v1*")</f>
        <v>0</v>
      </c>
      <c r="II34" s="8">
        <f>COUNTIFS('Raw data'!$D:$D,"*Jayden To*", 'Raw data'!$Y:$Y,"*2nd*",'Raw data'!$G:$G,"*On Target*")</f>
        <v>0</v>
      </c>
      <c r="IJ34" s="8">
        <f>COUNTIFS('Raw data'!$D:$D,"*Jayden To*", 'Raw data'!$Y:$Y,"*2nd*",'Raw data'!$G:$G,"*Off Target*")</f>
        <v>0</v>
      </c>
      <c r="IK34" s="8">
        <f>COUNTIFS('Raw data'!$D:$D,"*Jayden To*", 'Raw data'!$Y:$Y,"*2nd*",'Raw data'!$G:$G,"*Defend the Space*")</f>
        <v>0</v>
      </c>
      <c r="IL34" s="8">
        <f>COUNTIFS('Raw data'!$D:$D,"*Jayden To*", 'Raw data'!$Y:$Y,"*2nd*",'Raw data'!$G:$G,"*Conceded*")</f>
        <v>0</v>
      </c>
      <c r="IM34" s="8">
        <f>COUNTIFS('Raw data'!$D:$D,"*Jayden To*", 'Raw data'!$Y:$Y,"*2nd*",'Raw data'!$G:$G,"*Save*")</f>
        <v>0</v>
      </c>
      <c r="IN34" s="8">
        <f>COUNTIFS('Raw data'!$D:$D,"*Jayden To*", 'Raw data'!$Y:$Y,"*2nd*",'Raw data'!$G:$G,"*Defend the line (Cross)*")</f>
        <v>0</v>
      </c>
      <c r="IO34" s="8">
        <f>COUNTIFS('Raw data'!$D:$D,"*Jayden To*", 'Raw data'!$Y:$Y,"*2nd*",'Raw data'!$G:$G,"*Counter Kick*")</f>
        <v>0</v>
      </c>
      <c r="IP34" t="s">
        <v>653</v>
      </c>
    </row>
    <row r="35" spans="3:250">
      <c r="C35" s="7"/>
      <c r="DW35" t="s">
        <v>462</v>
      </c>
      <c r="DX35" t="s">
        <v>645</v>
      </c>
      <c r="DY35">
        <v>20</v>
      </c>
      <c r="DZ35" t="s">
        <v>539</v>
      </c>
      <c r="EA35">
        <f t="shared" si="138"/>
        <v>26</v>
      </c>
      <c r="EB35" s="8">
        <f t="shared" si="139"/>
        <v>26</v>
      </c>
      <c r="EC35" s="8">
        <f t="shared" si="139"/>
        <v>0</v>
      </c>
      <c r="ED35" s="54">
        <f t="shared" si="140"/>
        <v>1</v>
      </c>
      <c r="EE35" s="54">
        <f t="shared" si="141"/>
        <v>0</v>
      </c>
      <c r="EF35">
        <f t="shared" si="142"/>
        <v>8</v>
      </c>
      <c r="EG35">
        <f>COUNTIFS('Raw data'!$D:$D,"*Ethan Lake*", 'Raw data'!$Y:$Y,"*2nd*",'Raw data'!$I:$I,"*Forward Pass*",'Raw data'!$M:$M,"*Pass completed*")</f>
        <v>8</v>
      </c>
      <c r="EH35">
        <f>COUNTIFS('Raw data'!$D:$D,"*Ethan Lake*", 'Raw data'!$Y:$Y,"*2nd*",'Raw data'!$I:$I,"*Forward Pass*",'Raw data'!$M:$M,"*Pass Uncompleted*")</f>
        <v>0</v>
      </c>
      <c r="EI35" s="54">
        <f t="shared" si="143"/>
        <v>1</v>
      </c>
      <c r="EJ35" s="54">
        <f t="shared" si="144"/>
        <v>0</v>
      </c>
      <c r="EK35">
        <f t="shared" si="145"/>
        <v>5</v>
      </c>
      <c r="EL35" s="8">
        <f>COUNTIFS('Raw data'!$D:$D,"*Ethan Lake*", 'Raw data'!$Y:$Y,"*2nd*",'Raw data'!$I:$I,"*Lateral Pass*",'Raw data'!$M:$M,"*Pass completed*")</f>
        <v>5</v>
      </c>
      <c r="EM35" s="8">
        <f>COUNTIFS('Raw data'!$D:$D,"*Ethan Lake*", 'Raw data'!$Y:$Y,"*2nd*",'Raw data'!$I:$I,"*Lateral Pass*",'Raw data'!$M:$M,"*Pass Uncompleted*")</f>
        <v>0</v>
      </c>
      <c r="EN35" s="54">
        <f t="shared" si="146"/>
        <v>1</v>
      </c>
      <c r="EO35" s="54">
        <f t="shared" si="147"/>
        <v>0</v>
      </c>
      <c r="EP35">
        <f t="shared" si="148"/>
        <v>13</v>
      </c>
      <c r="EQ35" s="8">
        <f>COUNTIFS('Raw data'!$D:$D,"*Ethan Lake*", 'Raw data'!$Y:$Y,"*2nd*",'Raw data'!$I:$I,"*Backward Pass*",'Raw data'!$M:$M,"*Pass completed*")</f>
        <v>13</v>
      </c>
      <c r="ER35" s="8">
        <f>COUNTIFS('Raw data'!$D:$D,"*Ethan Lake*", 'Raw data'!$Y:$Y,"*2nd*",'Raw data'!$I:$I,"*Backward Pass*",'Raw data'!$M:$M,"*Pass Uncompleted*")</f>
        <v>0</v>
      </c>
      <c r="ES35" s="54">
        <f t="shared" si="149"/>
        <v>1</v>
      </c>
      <c r="ET35" s="54">
        <f t="shared" si="150"/>
        <v>0</v>
      </c>
      <c r="EU35" s="8">
        <f>COUNTIFS('Raw data'!$D:$D,"*Ethan Lake*", 'Raw data'!$Y:$Y,"*2nd*",'Raw data'!$I:$I,"*Long Kick*")</f>
        <v>3</v>
      </c>
      <c r="EV35" s="8">
        <f>COUNTIFS('Raw data'!$D:$D,"*Ethan Lake*", 'Raw data'!$Y:$Y,"*2nd*",'Raw data'!$I:$I,"*Long Kick*",'Raw data'!$M:$M,"*Pass completed*")</f>
        <v>3</v>
      </c>
      <c r="EW35" s="8">
        <f>COUNTIFS('Raw data'!$D:$D,"*Ethan Lake*", 'Raw data'!$Y:$Y,"*2nd*",'Raw data'!$I:$I,"*Long Kick*",'Raw data'!$M:$M,"*Pass Uncompleted*")</f>
        <v>0</v>
      </c>
      <c r="EX35" s="54">
        <f t="shared" si="151"/>
        <v>1</v>
      </c>
      <c r="EY35" s="54">
        <f t="shared" si="152"/>
        <v>0</v>
      </c>
      <c r="EZ35" s="8">
        <f>COUNTIFS('Raw data'!$D:$D,"*Ethan Lake*", 'Raw data'!$Y:$Y,"*2nd*",'Raw data'!$I:$I,"*Balls in Behind*")</f>
        <v>2</v>
      </c>
      <c r="FA35" s="8">
        <f>COUNTIFS('Raw data'!$D:$D,"*Ethan Lake*", 'Raw data'!$Y:$Y,"*2nd*",'Raw data'!$I:$I,"*Balls in Behind*",'Raw data'!$M:$M,"*Pass completed*")</f>
        <v>2</v>
      </c>
      <c r="FB35" s="8">
        <f>COUNTIFS('Raw data'!$D:$D,"*Ethan Lake*", 'Raw data'!$Y:$Y,"*2nd*",'Raw data'!$I:$I,"*Balls in Behind*",'Raw data'!$M:$M,"*Pass Uncompleted*")</f>
        <v>0</v>
      </c>
      <c r="FC35" s="54">
        <f t="shared" si="153"/>
        <v>1</v>
      </c>
      <c r="FD35" s="54">
        <f t="shared" si="154"/>
        <v>0</v>
      </c>
      <c r="FE35" s="8">
        <f>COUNTIFS('Raw data'!$D:$D,"*Ethan Lake*", 'Raw data'!$Y:$Y,"*2nd*",'Raw data'!$I:$I,"*Key/Through pass*")</f>
        <v>2</v>
      </c>
      <c r="FF35" s="8">
        <f>COUNTIFS('Raw data'!$D:$D,"*Ethan Lake*", 'Raw data'!$Y:$Y,"*2nd*",'Raw data'!$I:$I,"*Diagonal pass*")</f>
        <v>0</v>
      </c>
      <c r="FG35" s="8">
        <f>COUNTIFS('Raw data'!$D:$D,"*Ethan Lake*", 'Raw data'!$Y:$Y,"*2nd*",'Raw data'!$I:$I,"*Diagonal pass*",'Raw data'!$M:$M,"*Pass completed*")</f>
        <v>0</v>
      </c>
      <c r="FH35" s="8">
        <f>COUNTIFS('Raw data'!$D:$D,"*Ethan Lake*", 'Raw data'!$Y:$Y,"*2nd*",'Raw data'!$I:$I,"*Diagonal pass*",'Raw data'!$M:$M,"*Pass Uncompleted*")</f>
        <v>0</v>
      </c>
      <c r="FI35" s="54" t="str">
        <f t="shared" si="155"/>
        <v>-</v>
      </c>
      <c r="FJ35" s="54" t="str">
        <f t="shared" si="156"/>
        <v>-</v>
      </c>
      <c r="FK35" s="8">
        <f>COUNTIFS('Raw data'!$D:$D,"*Ethan Lake*", 'Raw data'!$Y:$Y,"*2nd*",'Raw data'!$M:$M,"*Pass Received*")</f>
        <v>22</v>
      </c>
      <c r="FL35" s="8">
        <f>COUNTIFS('Raw data'!$D:$D,"*Ethan Lake*", 'Raw data'!$Y:$Y,"*2nd*",'Raw data'!$M:$M,"*Pass Completed*",'Raw data'!$M:$M,"*Pass Received*")</f>
        <v>21</v>
      </c>
      <c r="FM35" s="8">
        <f>COUNTIFS('Raw data'!$D:$D,"*Ethan Lake*", 'Raw data'!$Y:$Y,"*2nd*",'Raw data'!$M:$M,"*Pass Uncompleted*",'Raw data'!$M:$M,"*Pass Received*")</f>
        <v>0</v>
      </c>
      <c r="FN35" s="8">
        <f>COUNTIFS('Raw data'!$D:$D,"*Ethan Lake*", 'Raw data'!$Y:$Y,"*2nd*",'Raw data'!$M:$M,"*Kept Possession*",'Raw data'!$M:$M,"*Pass Received*")</f>
        <v>1</v>
      </c>
      <c r="FO35" s="8">
        <f>COUNTIFS('Raw data'!$D:$D,"*Ethan Lake*", 'Raw data'!$Y:$Y,"*2nd*",'Raw data'!$M:$M,"*Lost Possession*")</f>
        <v>2</v>
      </c>
      <c r="FP35" s="8">
        <f>COUNTIFS('Raw data'!$D:$D,"*Ethan Lake*", 'Raw data'!$Y:$Y,"*2nd*",'Raw data'!$M:$M,"*Lost Possession*",'Raw data'!$M:$M,"*Lost Final 1/3*")</f>
        <v>0</v>
      </c>
      <c r="FQ35" s="8">
        <f>COUNTIFS('Raw data'!$D:$D,"*Ethan Lake*", 'Raw data'!$Y:$Y,"*2nd*",'Raw data'!$M:$M,"*Lost Possession*",'Raw data'!$M:$M,"*Lost Middle 1/3*")</f>
        <v>0</v>
      </c>
      <c r="FR35" s="8">
        <f>COUNTIFS('Raw data'!$D:$D,"*Ethan Lake*", 'Raw data'!$Y:$Y,"*2nd*",'Raw data'!$M:$M,"*Lost Possession*",'Raw data'!$M:$M,"*Lost Own 1/3*")</f>
        <v>2</v>
      </c>
      <c r="FS35" s="8">
        <f>COUNTIFS('Raw data'!$D:$D,"*Ethan Lake*", 'Raw data'!$Y:$Y,"*2nd*",'Raw data'!$H:$H,"*Touches in the Box*")</f>
        <v>0</v>
      </c>
      <c r="FT35" s="8">
        <f>COUNTIFS('Raw data'!$D:$D,"*Ethan Lake*", 'Raw data'!$Y:$Y,"*2nd*",'Raw data'!$H:$H,"*1v1 Attack*")</f>
        <v>1</v>
      </c>
      <c r="FU35" s="8">
        <f>COUNTIFS('Raw data'!$D:$D,"*Ethan Lake*", 'Raw data'!$Y:$Y,"*2nd*",'Raw data'!$H:$H,"*1v1 Attack*",'Raw data'!$H:$H,"*1v1 Attack*",'Raw data'!$M:$M,"*Kept Possession*")</f>
        <v>1</v>
      </c>
      <c r="FV35" s="8">
        <f>COUNTIFS('Raw data'!$D:$D,"*Ethan Lake*", 'Raw data'!$Y:$Y,"*2nd*",'Raw data'!$H:$H,"*1v1 Attack*",'Raw data'!$H:$H,"*1v1 Attack*",'Raw data'!$M:$M,"*Lost Possession*")</f>
        <v>0</v>
      </c>
      <c r="FW35" s="54">
        <f t="shared" si="157"/>
        <v>1</v>
      </c>
      <c r="FX35" s="54">
        <f t="shared" si="158"/>
        <v>0</v>
      </c>
      <c r="FY35" s="8">
        <f>COUNTIFS('Raw data'!$D:$D,"*Ethan Lake*", 'Raw data'!$Y:$Y,"*2nd*",'Raw data'!$I:$I,"*Cross*")</f>
        <v>0</v>
      </c>
      <c r="FZ35" s="8">
        <f>COUNTIFS('Raw data'!$D:$D,"*Ethan Lake*", 'Raw data'!$Y:$Y,"*2nd*",'Raw data'!$I:$I,"*Cross*",'Raw data'!$M:$M,"*Pass Completed*")</f>
        <v>0</v>
      </c>
      <c r="GA35" s="8">
        <f>COUNTIFS('Raw data'!$D:$D,"*Ethan Lake*", 'Raw data'!$Y:$Y,"*2nd*",'Raw data'!$I:$I,"*Cross*",'Raw data'!$M:$M,"*Pass Uncompleted*")</f>
        <v>0</v>
      </c>
      <c r="GB35" s="54" t="str">
        <f t="shared" si="159"/>
        <v>-</v>
      </c>
      <c r="GC35" s="54" t="str">
        <f t="shared" si="160"/>
        <v>-</v>
      </c>
      <c r="GD35" s="8">
        <f t="shared" si="161"/>
        <v>0</v>
      </c>
      <c r="GE35" s="8">
        <f>COUNTIFS('Raw data'!$D:$D,"*Ethan Lake*", 'Raw data'!$Y:$Y,"*2nd*",'Raw data'!$L:$L,"*On Target*")</f>
        <v>0</v>
      </c>
      <c r="GF35" s="8">
        <f>COUNTIFS('Raw data'!$D:$D,"*Ethan Lake*", 'Raw data'!$Y:$Y,"*2nd*",'Raw data'!$L:$L,"*Off Target*")</f>
        <v>0</v>
      </c>
      <c r="GG35" s="8">
        <f>COUNTIFS('Raw data'!$D:$D,"*Ethan Lake*", 'Raw data'!$Y:$Y,"*2nd*",'Raw data'!$L:$L,"*Blocked*")</f>
        <v>0</v>
      </c>
      <c r="GH35" s="8">
        <f>COUNTIFS('Raw data'!$D:$D,"*Ethan Lake*", 'Raw data'!$Y:$Y,"*2nd*",'Raw data'!$M:$M,"*Goal*")</f>
        <v>0</v>
      </c>
      <c r="GI35" s="8">
        <f>COUNTIFS('Raw data'!$D:$D,"*Ethan Lake*", 'Raw data'!$Y:$Y,"*2nd*",'Raw data'!$M:$M,"*Assist*")</f>
        <v>0</v>
      </c>
      <c r="GJ35" s="8">
        <f>COUNTIFS('Raw data'!$D:$D,"*Ethan Lake*", 'Raw data'!$Y:$Y,"*2nd*",'Raw data'!$H:$H,"*Offensive duel*")</f>
        <v>0</v>
      </c>
      <c r="GK35" s="8">
        <f>COUNTIFS('Raw data'!$D:$D,"*Ethan Lake*", 'Raw data'!$Y:$Y,"*2nd*",'Raw data'!$H:$H,"*Offensive Duel*",'Raw data'!$H:$H,"*Offensive Duel*",'Raw data'!$M:$M,"*Kept Possession*")</f>
        <v>0</v>
      </c>
      <c r="GL35" s="8">
        <f>COUNTIFS('Raw data'!$D:$D,"*Ethan Lake*", 'Raw data'!$Y:$Y,"*2nd*",'Raw data'!$H:$H,"*Offensive Duel*",'Raw data'!$H:$H,"*Offensive Duel*",'Raw data'!$M:$M,"*Lost Possession*")</f>
        <v>0</v>
      </c>
      <c r="GM35" s="54" t="str">
        <f t="shared" si="162"/>
        <v>-</v>
      </c>
      <c r="GN35" s="54" t="str">
        <f t="shared" si="163"/>
        <v>-</v>
      </c>
      <c r="GO35" s="8">
        <f>COUNTIFS('Raw data'!$D:$D,"*Ethan Lake*", 'Raw data'!$Y:$Y,"*2nd*",'Raw data'!$H:$H,"*Acceleration*")</f>
        <v>0</v>
      </c>
      <c r="GP35" s="8">
        <f>COUNTIFS('Raw data'!$D:$D,"*Ethan Lake*", 'Raw data'!$Y:$Y,"*2nd*",'Raw data'!$H:$H,"*Move into Pocket*")</f>
        <v>8</v>
      </c>
      <c r="GQ35" s="8">
        <f>COUNTIFS('Raw data'!$D:$D,"*Ethan Lake*", 'Raw data'!$Y:$Y,"*2nd*",'Raw data'!$H:$H,"*Wide area*")</f>
        <v>1</v>
      </c>
      <c r="GR35" s="8">
        <f>COUNTIFS('Raw data'!$D:$D,"*Ethan Lake*", 'Raw data'!$Y:$Y,"*2nd*",'Raw data'!$H:$H,"*Back to goal*")</f>
        <v>0</v>
      </c>
      <c r="GS35" s="8">
        <f>COUNTIFS('Raw data'!$D:$D,"*Ethan Lake*", 'Raw data'!$Y:$Y,"*2nd*",'Raw data'!$H:$H,"*Over/Underlaps*")</f>
        <v>0</v>
      </c>
      <c r="GT35" s="8">
        <f>COUNTIFS('Raw data'!$D:$D,"*Ethan Lake*", 'Raw data'!$Y:$Y,"*2nd*",'Raw data'!$H:$H,"*Runs in Behind*")</f>
        <v>0</v>
      </c>
      <c r="GU35" s="8">
        <f>COUNTIFS('Raw data'!$D:$D,"*Ethan Lake*", 'Raw data'!$Y:$Y,"*2nd*",'Raw data'!$H:$H,"*Half-space Runs*")</f>
        <v>0</v>
      </c>
      <c r="GV35" s="8">
        <f t="shared" si="164"/>
        <v>1</v>
      </c>
      <c r="GW35" s="8">
        <f t="shared" si="165"/>
        <v>1</v>
      </c>
      <c r="GX35" s="8">
        <f t="shared" si="166"/>
        <v>0</v>
      </c>
      <c r="GY35" s="54">
        <f t="shared" si="167"/>
        <v>1</v>
      </c>
      <c r="GZ35" s="54">
        <f t="shared" si="168"/>
        <v>0</v>
      </c>
      <c r="HA35" s="8">
        <f>COUNTIFS('Raw data'!$D:$D,"*Ethan Lake*", 'Raw data'!$Y:$Y,"*2nd*",'Raw data'!$K:$K,"*Ground duel*")</f>
        <v>0</v>
      </c>
      <c r="HB35" s="8">
        <f>COUNTIFS('Raw data'!$D:$D,"*Ethan Lake*", 'Raw data'!$Y:$Y,"*2nd*",'Raw data'!$K:$K,"*Ground duel*",'Raw data'!$M:$M,"*Duel Succeeded*")</f>
        <v>0</v>
      </c>
      <c r="HC35" s="8">
        <f>COUNTIFS('Raw data'!$D:$D,"*Ethan Lake*", 'Raw data'!$Y:$Y,"*2nd*",'Raw data'!$K:$K,"*Ground duel*",'Raw data'!$M:$M,"*Duel Unsucceeded*")</f>
        <v>0</v>
      </c>
      <c r="HD35" s="54" t="str">
        <f t="shared" si="169"/>
        <v>-</v>
      </c>
      <c r="HE35" s="54" t="str">
        <f t="shared" si="170"/>
        <v>-</v>
      </c>
      <c r="HF35" s="8">
        <f>COUNTIFS('Raw data'!$D:$D,"*Ethan Lake*", 'Raw data'!$Y:$Y,"*2nd*",'Raw data'!$K:$K,"*Aerial duel*")</f>
        <v>1</v>
      </c>
      <c r="HG35" s="8">
        <f>COUNTIFS('Raw data'!$D:$D,"*Ethan Lake*", 'Raw data'!$Y:$Y,"*2nd*",'Raw data'!$K:$K,"*Aerial duel*",'Raw data'!$M:$M,"*Duel Succeeded*")</f>
        <v>1</v>
      </c>
      <c r="HH35" s="8">
        <f>COUNTIFS('Raw data'!$D:$D,"*Ethan Lake*", 'Raw data'!$Y:$Y,"*2nd*",'Raw data'!$K:$K,"*Aerial duel*",'Raw data'!$M:$M,"*Duel Unsucceeded*")</f>
        <v>0</v>
      </c>
      <c r="HI35" s="54">
        <f t="shared" si="171"/>
        <v>1</v>
      </c>
      <c r="HJ35" s="54">
        <f t="shared" si="172"/>
        <v>0</v>
      </c>
      <c r="HK35" s="8">
        <f>COUNTIFS('Raw data'!$D:$D,"*Ethan Lake*", 'Raw data'!$Y:$Y,"*2nd*",'Raw data'!$K:$K,"*1v1 defense*")</f>
        <v>1</v>
      </c>
      <c r="HL35" s="8">
        <f>COUNTIFS('Raw data'!$D:$D,"*Ethan Lake*", 'Raw data'!$Y:$Y,"*2nd*",'Raw data'!$K:$K,"*1v1 defense*",'Raw data'!$M:$M,"*Duel Succeeded*")</f>
        <v>0</v>
      </c>
      <c r="HM35" s="8">
        <f>COUNTIFS('Raw data'!$D:$D,"*Ethan Lake*", 'Raw data'!$Y:$Y,"*2nd*",'Raw data'!$K:$K,"*1v1 defense*",'Raw data'!$M:$M,"*Duel Unsucceeded*")</f>
        <v>1</v>
      </c>
      <c r="HN35" s="54">
        <f t="shared" si="173"/>
        <v>0</v>
      </c>
      <c r="HO35" s="54">
        <f t="shared" si="174"/>
        <v>1</v>
      </c>
      <c r="HP35" s="8">
        <f>COUNTIFS('Raw data'!$D:$D,"*Ethan Lake*", 'Raw data'!$Y:$Y,"*2nd*",'Raw data'!$J:$J,"*Tackles*")</f>
        <v>1</v>
      </c>
      <c r="HQ35" s="8">
        <f>COUNTIFS('Raw data'!$D:$D,"*Ethan Lake*", 'Raw data'!$Y:$Y,"*2nd*",'Raw data'!$J:$J,"*Tackles*", 'Raw data'!$M:$M,"*Duel Succeeded*")</f>
        <v>0</v>
      </c>
      <c r="HR35" s="8">
        <f>COUNTIFS('Raw data'!$D:$D,"*Ethan Lake*", 'Raw data'!$Y:$Y,"*2nd*",'Raw data'!$J:$J,"*Tackles*", 'Raw data'!$M:$M,"*Duel Unsucceeded*")</f>
        <v>1</v>
      </c>
      <c r="HS35" s="54">
        <f t="shared" si="175"/>
        <v>0</v>
      </c>
      <c r="HT35" s="54">
        <f t="shared" si="176"/>
        <v>1</v>
      </c>
      <c r="HU35" s="8">
        <f>COUNTIFS('Raw data'!$D:$D,"*Ethan Lake*", 'Raw data'!$Y:$Y,"*2nd*",'Raw data'!$K:$K,"*2nd Balls*")</f>
        <v>1</v>
      </c>
      <c r="HV35" s="8">
        <f>COUNTIFS('Raw data'!$D:$D,"*Ethan Lake*", 'Raw data'!$Y:$Y,"*2nd*",'Raw data'!$K:$K,"*2nd Balls*", 'Raw data'!$M:$M,"*Duel Succeeded*")</f>
        <v>0</v>
      </c>
      <c r="HW35" s="8">
        <f>COUNTIFS('Raw data'!$D:$D,"*Ethan Lake*", 'Raw data'!$Y:$Y,"*2nd*",'Raw data'!$K:$K,"*2nd Balls*", 'Raw data'!$M:$M,"*Duel Unsucceeded*")</f>
        <v>1</v>
      </c>
      <c r="HX35" s="54">
        <f t="shared" si="177"/>
        <v>0</v>
      </c>
      <c r="HY35" s="54">
        <f t="shared" si="178"/>
        <v>1</v>
      </c>
      <c r="HZ35" s="8">
        <f>COUNTIFS('Raw data'!$D:$D,"*Ethan Lake*", 'Raw data'!$Y:$Y,"*2nd*",'Raw data'!$J:$J,"*Clearance*")</f>
        <v>1</v>
      </c>
      <c r="IA35" s="8">
        <f>COUNTIFS('Raw data'!$D:$D,"*Ethan Lake*", 'Raw data'!$Y:$Y,"*2nd*",'Raw data'!$J:$J,"*Interception*")</f>
        <v>0</v>
      </c>
      <c r="IB35" s="8">
        <f>COUNTIFS('Raw data'!$D:$D,"*Ethan Lake*", 'Raw data'!$Y:$Y,"*2nd*",'Raw data'!$J:$J,"*Turnover Won*")</f>
        <v>1</v>
      </c>
      <c r="IC35" s="8">
        <f>COUNTIFS('Raw data'!$D:$D,"*Ethan Lake*", 'Raw data'!$Y:$Y,"*2nd*",'Raw data'!$J:$J,"*Recovery*")</f>
        <v>0</v>
      </c>
      <c r="ID35" s="8">
        <f>COUNTIFS('Raw data'!$D:$D,"*Ethan Lake*", 'Raw data'!$Y:$Y,"*2nd*",'Raw data'!$J:$J,"*Blocked Shots*")</f>
        <v>0</v>
      </c>
      <c r="IE35" s="8">
        <f>COUNTIFS('Raw data'!$D:$D,"*Ethan Lake*", 'Raw data'!$Y:$Y,"*2nd*",'Raw data'!$J:$J,"*Man-marking*")</f>
        <v>0</v>
      </c>
      <c r="IF35" s="8">
        <f>COUNTIFS('Raw data'!$D:$D,"*Ethan Lake*", 'Raw data'!$Y:$Y,"*2nd*",'Raw data'!$J:$J,"*Fouls*")</f>
        <v>0</v>
      </c>
      <c r="IG35" s="8">
        <f>COUNTIFS('Raw data'!$D:$D,"*Ethan Lake*", 'Raw data'!$Y:$Y,"*2nd*",'Raw data'!$J:$J,"*Won F*")</f>
        <v>0</v>
      </c>
      <c r="IH35" s="8">
        <f>COUNTIFS('Raw data'!$D:$D,"*Ethan Lake*", 'Raw data'!$Y:$Y,"*2nd*",'Raw data'!$G:$G,"*1v1*")</f>
        <v>0</v>
      </c>
      <c r="II35" s="8">
        <f>COUNTIFS('Raw data'!$D:$D,"*Ethan Lake*", 'Raw data'!$Y:$Y,"*2nd*",'Raw data'!$G:$G,"*On Target*")</f>
        <v>0</v>
      </c>
      <c r="IJ35" s="8">
        <f>COUNTIFS('Raw data'!$D:$D,"*Ethan Lake*", 'Raw data'!$Y:$Y,"*2nd*",'Raw data'!$G:$G,"*Off Target*")</f>
        <v>0</v>
      </c>
      <c r="IK35" s="8">
        <f>COUNTIFS('Raw data'!$D:$D,"*Ethan Lake*", 'Raw data'!$Y:$Y,"*2nd*",'Raw data'!$G:$G,"*Defend the Space*")</f>
        <v>0</v>
      </c>
      <c r="IL35" s="8">
        <f>COUNTIFS('Raw data'!$D:$D,"*Ethan Lake*", 'Raw data'!$Y:$Y,"*2nd*",'Raw data'!$G:$G,"*Conceded*")</f>
        <v>0</v>
      </c>
      <c r="IM35" s="8">
        <f>COUNTIFS('Raw data'!$D:$D,"*Ethan Lake*", 'Raw data'!$Y:$Y,"*2nd*",'Raw data'!$G:$G,"*Save*")</f>
        <v>0</v>
      </c>
      <c r="IN35" s="8">
        <f>COUNTIFS('Raw data'!$D:$D,"*Ethan Lake*", 'Raw data'!$Y:$Y,"*2nd*",'Raw data'!$G:$G,"*Defend the line (Cross)*")</f>
        <v>0</v>
      </c>
      <c r="IO35" s="8">
        <f>COUNTIFS('Raw data'!$D:$D,"*Ethan Lake*", 'Raw data'!$Y:$Y,"*2nd*",'Raw data'!$G:$G,"*Counter Kick*")</f>
        <v>0</v>
      </c>
      <c r="IP35" t="s">
        <v>645</v>
      </c>
    </row>
    <row r="36" spans="3:250">
      <c r="C36" s="7"/>
      <c r="DW36" t="s">
        <v>462</v>
      </c>
      <c r="DX36" t="s">
        <v>654</v>
      </c>
      <c r="DY36">
        <v>40</v>
      </c>
      <c r="DZ36" t="s">
        <v>541</v>
      </c>
      <c r="EA36">
        <f t="shared" si="138"/>
        <v>1</v>
      </c>
      <c r="EB36" s="8">
        <f t="shared" si="139"/>
        <v>1</v>
      </c>
      <c r="EC36" s="8">
        <f t="shared" si="139"/>
        <v>0</v>
      </c>
      <c r="ED36" s="54">
        <f t="shared" si="140"/>
        <v>1</v>
      </c>
      <c r="EE36" s="54">
        <f t="shared" si="141"/>
        <v>0</v>
      </c>
      <c r="EF36">
        <f t="shared" si="142"/>
        <v>1</v>
      </c>
      <c r="EG36">
        <f>COUNTIFS('Raw data'!$D:$D,"*Usim Ijere*", 'Raw data'!$Y:$Y,"*2nd*",'Raw data'!$I:$I,"*Forward Pass*",'Raw data'!$M:$M,"*Pass completed*")</f>
        <v>1</v>
      </c>
      <c r="EH36">
        <f>COUNTIFS('Raw data'!$D:$D,"*Usim Ijere*", 'Raw data'!$Y:$Y,"*2nd*",'Raw data'!$I:$I,"*Forward Pass*",'Raw data'!$M:$M,"*Pass Uncompleted*")</f>
        <v>0</v>
      </c>
      <c r="EI36" s="54">
        <f t="shared" si="143"/>
        <v>1</v>
      </c>
      <c r="EJ36" s="54">
        <f t="shared" si="144"/>
        <v>0</v>
      </c>
      <c r="EK36">
        <f t="shared" si="145"/>
        <v>0</v>
      </c>
      <c r="EL36" s="8">
        <f>COUNTIFS('Raw data'!$D:$D,"*Usim Ijere*", 'Raw data'!$Y:$Y,"*2nd*",'Raw data'!$I:$I,"*Lateral Pass*",'Raw data'!$M:$M,"*Pass completed*")</f>
        <v>0</v>
      </c>
      <c r="EM36" s="8">
        <f>COUNTIFS('Raw data'!$D:$D,"*Usim Ijere*", 'Raw data'!$Y:$Y,"*2nd*",'Raw data'!$I:$I,"*Lateral Pass*",'Raw data'!$M:$M,"*Pass Uncompleted*")</f>
        <v>0</v>
      </c>
      <c r="EN36" s="54" t="str">
        <f t="shared" si="146"/>
        <v>-</v>
      </c>
      <c r="EO36" s="54" t="str">
        <f t="shared" si="147"/>
        <v>-</v>
      </c>
      <c r="EP36">
        <f t="shared" si="148"/>
        <v>0</v>
      </c>
      <c r="EQ36" s="8">
        <f>COUNTIFS('Raw data'!$D:$D,"*Usim Ijere*", 'Raw data'!$Y:$Y,"*2nd*",'Raw data'!$I:$I,"*Backward Pass*",'Raw data'!$M:$M,"*Pass completed*")</f>
        <v>0</v>
      </c>
      <c r="ER36" s="8">
        <f>COUNTIFS('Raw data'!$D:$D,"*Usim Ijere*", 'Raw data'!$Y:$Y,"*2nd*",'Raw data'!$I:$I,"*Backward Pass*",'Raw data'!$M:$M,"*Pass Uncompleted*")</f>
        <v>0</v>
      </c>
      <c r="ES36" s="54" t="str">
        <f t="shared" si="149"/>
        <v>-</v>
      </c>
      <c r="ET36" s="54" t="str">
        <f t="shared" si="150"/>
        <v>-</v>
      </c>
      <c r="EU36" s="8">
        <f>COUNTIFS('Raw data'!$D:$D,"*Usim Ijere*", 'Raw data'!$Y:$Y,"*2nd*",'Raw data'!$I:$I,"*Long Kick*")</f>
        <v>0</v>
      </c>
      <c r="EV36" s="8">
        <f>COUNTIFS('Raw data'!$D:$D,"*Usim Ijere*", 'Raw data'!$Y:$Y,"*2nd*",'Raw data'!$I:$I,"*Long Kick*",'Raw data'!$M:$M,"*Pass completed*")</f>
        <v>0</v>
      </c>
      <c r="EW36" s="8">
        <f>COUNTIFS('Raw data'!$D:$D,"*Usim Ijere*", 'Raw data'!$Y:$Y,"*2nd*",'Raw data'!$I:$I,"*Long Kick*",'Raw data'!$M:$M,"*Pass Uncompleted*")</f>
        <v>0</v>
      </c>
      <c r="EX36" s="54" t="str">
        <f t="shared" si="151"/>
        <v>-</v>
      </c>
      <c r="EY36" s="54" t="str">
        <f t="shared" si="152"/>
        <v>-</v>
      </c>
      <c r="EZ36" s="8">
        <f>COUNTIFS('Raw data'!$D:$D,"*Usim Ijere*", 'Raw data'!$Y:$Y,"*2nd*",'Raw data'!$I:$I,"*Balls in Behind*")</f>
        <v>1</v>
      </c>
      <c r="FA36" s="8">
        <f>COUNTIFS('Raw data'!$D:$D,"*Usim Ijere*", 'Raw data'!$Y:$Y,"*2nd*",'Raw data'!$I:$I,"*Balls in Behind*",'Raw data'!$M:$M,"*Pass completed*")</f>
        <v>1</v>
      </c>
      <c r="FB36" s="8">
        <f>COUNTIFS('Raw data'!$D:$D,"*Usim Ijere*", 'Raw data'!$Y:$Y,"*2nd*",'Raw data'!$I:$I,"*Balls in Behind*",'Raw data'!$M:$M,"*Pass Uncompleted*")</f>
        <v>0</v>
      </c>
      <c r="FC36" s="54">
        <f t="shared" si="153"/>
        <v>1</v>
      </c>
      <c r="FD36" s="54">
        <f t="shared" si="154"/>
        <v>0</v>
      </c>
      <c r="FE36" s="8">
        <f>COUNTIFS('Raw data'!$D:$D,"*Usim Ijere*", 'Raw data'!$Y:$Y,"*2nd*",'Raw data'!$I:$I,"*Key/Through pass*")</f>
        <v>1</v>
      </c>
      <c r="FF36" s="8">
        <f>COUNTIFS('Raw data'!$D:$D,"*Usim Ijere*", 'Raw data'!$Y:$Y,"*2nd*",'Raw data'!$I:$I,"*Diagonal pass*")</f>
        <v>0</v>
      </c>
      <c r="FG36" s="8">
        <f>COUNTIFS('Raw data'!$D:$D,"*Usim Ijere*", 'Raw data'!$Y:$Y,"*2nd*",'Raw data'!$I:$I,"*Diagonal pass*",'Raw data'!$M:$M,"*Pass completed*")</f>
        <v>0</v>
      </c>
      <c r="FH36" s="8">
        <f>COUNTIFS('Raw data'!$D:$D,"*Usim Ijere*", 'Raw data'!$Y:$Y,"*2nd*",'Raw data'!$I:$I,"*Diagonal pass*",'Raw data'!$M:$M,"*Pass Uncompleted*")</f>
        <v>0</v>
      </c>
      <c r="FI36" s="54" t="str">
        <f t="shared" si="155"/>
        <v>-</v>
      </c>
      <c r="FJ36" s="54" t="str">
        <f t="shared" si="156"/>
        <v>-</v>
      </c>
      <c r="FK36" s="8">
        <f>COUNTIFS('Raw data'!$D:$D,"*Usim Ijere*", 'Raw data'!$Y:$Y,"*2nd*",'Raw data'!$M:$M,"*Pass Received*")</f>
        <v>7</v>
      </c>
      <c r="FL36" s="8">
        <f>COUNTIFS('Raw data'!$D:$D,"*Usim Ijere*", 'Raw data'!$Y:$Y,"*2nd*",'Raw data'!$M:$M,"*Pass Completed*",'Raw data'!$M:$M,"*Pass Received*")</f>
        <v>1</v>
      </c>
      <c r="FM36" s="8">
        <f>COUNTIFS('Raw data'!$D:$D,"*Usim Ijere*", 'Raw data'!$Y:$Y,"*2nd*",'Raw data'!$M:$M,"*Pass Uncompleted*",'Raw data'!$M:$M,"*Pass Received*")</f>
        <v>1</v>
      </c>
      <c r="FN36" s="8">
        <f>COUNTIFS('Raw data'!$D:$D,"*Usim Ijere*", 'Raw data'!$Y:$Y,"*2nd*",'Raw data'!$M:$M,"*Kept Possession*",'Raw data'!$M:$M,"*Pass Received*")</f>
        <v>3</v>
      </c>
      <c r="FO36" s="8">
        <f>COUNTIFS('Raw data'!$D:$D,"*Usim Ijere*", 'Raw data'!$Y:$Y,"*2nd*",'Raw data'!$M:$M,"*Lost Possession*")</f>
        <v>3</v>
      </c>
      <c r="FP36" s="8">
        <f>COUNTIFS('Raw data'!$D:$D,"*Usim Ijere*", 'Raw data'!$Y:$Y,"*2nd*",'Raw data'!$M:$M,"*Lost Possession*",'Raw data'!$M:$M,"*Lost Final 1/3*")</f>
        <v>2</v>
      </c>
      <c r="FQ36" s="8">
        <f>COUNTIFS('Raw data'!$D:$D,"*Usim Ijere*", 'Raw data'!$Y:$Y,"*2nd*",'Raw data'!$M:$M,"*Lost Possession*",'Raw data'!$M:$M,"*Lost Middle 1/3*")</f>
        <v>1</v>
      </c>
      <c r="FR36" s="8">
        <f>COUNTIFS('Raw data'!$D:$D,"*Usim Ijere*", 'Raw data'!$Y:$Y,"*2nd*",'Raw data'!$M:$M,"*Lost Possession*",'Raw data'!$M:$M,"*Lost Own 1/3*")</f>
        <v>0</v>
      </c>
      <c r="FS36" s="8">
        <f>COUNTIFS('Raw data'!$D:$D,"*Usim Ijere*", 'Raw data'!$Y:$Y,"*2nd*",'Raw data'!$H:$H,"*Touches in the Box*")</f>
        <v>1</v>
      </c>
      <c r="FT36" s="8">
        <f>COUNTIFS('Raw data'!$D:$D,"*Usim Ijere*", 'Raw data'!$Y:$Y,"*2nd*",'Raw data'!$H:$H,"*1v1 Attack*")</f>
        <v>3</v>
      </c>
      <c r="FU36" s="8">
        <f>COUNTIFS('Raw data'!$D:$D,"*Usim Ijere*", 'Raw data'!$Y:$Y,"*2nd*",'Raw data'!$H:$H,"*1v1 Attack*",'Raw data'!$H:$H,"*1v1 Attack*",'Raw data'!$M:$M,"*Kept Possession*")</f>
        <v>2</v>
      </c>
      <c r="FV36" s="8">
        <f>COUNTIFS('Raw data'!$D:$D,"*Usim Ijere*", 'Raw data'!$Y:$Y,"*2nd*",'Raw data'!$H:$H,"*1v1 Attack*",'Raw data'!$H:$H,"*1v1 Attack*",'Raw data'!$M:$M,"*Lost Possession*")</f>
        <v>1</v>
      </c>
      <c r="FW36" s="54">
        <f t="shared" si="157"/>
        <v>0.66666666666666663</v>
      </c>
      <c r="FX36" s="54">
        <f t="shared" si="158"/>
        <v>0.33333333333333331</v>
      </c>
      <c r="FY36" s="8">
        <f>COUNTIFS('Raw data'!$D:$D,"*Usim Ijere*", 'Raw data'!$Y:$Y,"*2nd*",'Raw data'!$I:$I,"*Cross*")</f>
        <v>1</v>
      </c>
      <c r="FZ36" s="8">
        <f>COUNTIFS('Raw data'!$D:$D,"*Usim Ijere*", 'Raw data'!$Y:$Y,"*2nd*",'Raw data'!$I:$I,"*Cross*",'Raw data'!$M:$M,"*Pass Completed*")</f>
        <v>0</v>
      </c>
      <c r="GA36" s="8">
        <f>COUNTIFS('Raw data'!$D:$D,"*Usim Ijere*", 'Raw data'!$Y:$Y,"*2nd*",'Raw data'!$I:$I,"*Cross*",'Raw data'!$M:$M,"*Pass Uncompleted*")</f>
        <v>1</v>
      </c>
      <c r="GB36" s="54">
        <f t="shared" si="159"/>
        <v>0</v>
      </c>
      <c r="GC36" s="54">
        <f t="shared" si="160"/>
        <v>1</v>
      </c>
      <c r="GD36" s="8">
        <f t="shared" si="161"/>
        <v>1</v>
      </c>
      <c r="GE36" s="8">
        <f>COUNTIFS('Raw data'!$D:$D,"*Usim Ijere*", 'Raw data'!$Y:$Y,"*2nd*",'Raw data'!$L:$L,"*On Target*")</f>
        <v>0</v>
      </c>
      <c r="GF36" s="8">
        <f>COUNTIFS('Raw data'!$D:$D,"*Usim Ijere*", 'Raw data'!$Y:$Y,"*2nd*",'Raw data'!$L:$L,"*Off Target*")</f>
        <v>1</v>
      </c>
      <c r="GG36" s="8">
        <f>COUNTIFS('Raw data'!$D:$D,"*Usim Ijere*", 'Raw data'!$Y:$Y,"*2nd*",'Raw data'!$L:$L,"*Blocked*")</f>
        <v>0</v>
      </c>
      <c r="GH36" s="8">
        <f>COUNTIFS('Raw data'!$D:$D,"*Usim Ijere*", 'Raw data'!$Y:$Y,"*2nd*",'Raw data'!$M:$M,"*Goal*")</f>
        <v>0</v>
      </c>
      <c r="GI36" s="8">
        <f>COUNTIFS('Raw data'!$D:$D,"*Usim Ijere*", 'Raw data'!$Y:$Y,"*2nd*",'Raw data'!$M:$M,"*Assist*")</f>
        <v>0</v>
      </c>
      <c r="GJ36" s="8">
        <f>COUNTIFS('Raw data'!$D:$D,"*Usim Ijere*", 'Raw data'!$Y:$Y,"*2nd*",'Raw data'!$H:$H,"*Offensive duel*")</f>
        <v>1</v>
      </c>
      <c r="GK36" s="8">
        <f>COUNTIFS('Raw data'!$D:$D,"*Usim Ijere*", 'Raw data'!$Y:$Y,"*2nd*",'Raw data'!$H:$H,"*Offensive Duel*",'Raw data'!$H:$H,"*Offensive Duel*",'Raw data'!$M:$M,"*Kept Possession*")</f>
        <v>1</v>
      </c>
      <c r="GL36" s="8">
        <f>COUNTIFS('Raw data'!$D:$D,"*Usim Ijere*", 'Raw data'!$Y:$Y,"*2nd*",'Raw data'!$H:$H,"*Offensive Duel*",'Raw data'!$H:$H,"*Offensive Duel*",'Raw data'!$M:$M,"*Lost Possession*")</f>
        <v>0</v>
      </c>
      <c r="GM36" s="54">
        <f t="shared" si="162"/>
        <v>1</v>
      </c>
      <c r="GN36" s="54">
        <f t="shared" si="163"/>
        <v>0</v>
      </c>
      <c r="GO36" s="8">
        <f>COUNTIFS('Raw data'!$D:$D,"*Usim Ijere*", 'Raw data'!$Y:$Y,"*2nd*",'Raw data'!$H:$H,"*Acceleration*")</f>
        <v>1</v>
      </c>
      <c r="GP36" s="8">
        <f>COUNTIFS('Raw data'!$D:$D,"*Usim Ijere*", 'Raw data'!$Y:$Y,"*2nd*",'Raw data'!$H:$H,"*Move into Pocket*")</f>
        <v>0</v>
      </c>
      <c r="GQ36" s="8">
        <f>COUNTIFS('Raw data'!$D:$D,"*Usim Ijere*", 'Raw data'!$Y:$Y,"*2nd*",'Raw data'!$H:$H,"*Wide area*")</f>
        <v>4</v>
      </c>
      <c r="GR36" s="8">
        <f>COUNTIFS('Raw data'!$D:$D,"*Usim Ijere*", 'Raw data'!$Y:$Y,"*2nd*",'Raw data'!$H:$H,"*Back to goal*")</f>
        <v>0</v>
      </c>
      <c r="GS36" s="8">
        <f>COUNTIFS('Raw data'!$D:$D,"*Usim Ijere*", 'Raw data'!$Y:$Y,"*2nd*",'Raw data'!$H:$H,"*Over/Underlaps*")</f>
        <v>0</v>
      </c>
      <c r="GT36" s="8">
        <f>COUNTIFS('Raw data'!$D:$D,"*Usim Ijere*", 'Raw data'!$Y:$Y,"*2nd*",'Raw data'!$H:$H,"*Runs in Behind*")</f>
        <v>1</v>
      </c>
      <c r="GU36" s="8">
        <f>COUNTIFS('Raw data'!$D:$D,"*Usim Ijere*", 'Raw data'!$Y:$Y,"*2nd*",'Raw data'!$H:$H,"*Half-space Runs*")</f>
        <v>0</v>
      </c>
      <c r="GV36" s="8">
        <f t="shared" si="164"/>
        <v>2</v>
      </c>
      <c r="GW36" s="8">
        <f t="shared" si="165"/>
        <v>1</v>
      </c>
      <c r="GX36" s="8">
        <f t="shared" si="166"/>
        <v>1</v>
      </c>
      <c r="GY36" s="54">
        <f t="shared" si="167"/>
        <v>0.5</v>
      </c>
      <c r="GZ36" s="54">
        <f t="shared" si="168"/>
        <v>0.5</v>
      </c>
      <c r="HA36" s="8">
        <f>COUNTIFS('Raw data'!$D:$D,"*Usim Ijere*", 'Raw data'!$Y:$Y,"*2nd*",'Raw data'!$K:$K,"*Ground duel*")</f>
        <v>1</v>
      </c>
      <c r="HB36" s="8">
        <f>COUNTIFS('Raw data'!$D:$D,"*Usim Ijere*", 'Raw data'!$Y:$Y,"*2nd*",'Raw data'!$K:$K,"*Ground duel*",'Raw data'!$M:$M,"*Duel Succeeded*")</f>
        <v>0</v>
      </c>
      <c r="HC36" s="8">
        <f>COUNTIFS('Raw data'!$D:$D,"*Usim Ijere*", 'Raw data'!$Y:$Y,"*2nd*",'Raw data'!$K:$K,"*Ground duel*",'Raw data'!$M:$M,"*Duel Unsucceeded*")</f>
        <v>1</v>
      </c>
      <c r="HD36" s="54">
        <f t="shared" si="169"/>
        <v>0</v>
      </c>
      <c r="HE36" s="54">
        <f t="shared" si="170"/>
        <v>1</v>
      </c>
      <c r="HF36" s="8">
        <f>COUNTIFS('Raw data'!$D:$D,"*Usim Ijere*", 'Raw data'!$Y:$Y,"*2nd*",'Raw data'!$K:$K,"*Aerial duel*")</f>
        <v>0</v>
      </c>
      <c r="HG36" s="8">
        <f>COUNTIFS('Raw data'!$D:$D,"*Usim Ijere*", 'Raw data'!$Y:$Y,"*2nd*",'Raw data'!$K:$K,"*Aerial duel*",'Raw data'!$M:$M,"*Duel Succeeded*")</f>
        <v>0</v>
      </c>
      <c r="HH36" s="8">
        <f>COUNTIFS('Raw data'!$D:$D,"*Usim Ijere*", 'Raw data'!$Y:$Y,"*2nd*",'Raw data'!$K:$K,"*Aerial duel*",'Raw data'!$M:$M,"*Duel Unsucceeded*")</f>
        <v>0</v>
      </c>
      <c r="HI36" s="54" t="str">
        <f t="shared" si="171"/>
        <v>-</v>
      </c>
      <c r="HJ36" s="54" t="str">
        <f t="shared" si="172"/>
        <v>-</v>
      </c>
      <c r="HK36" s="8">
        <f>COUNTIFS('Raw data'!$D:$D,"*Usim Ijere*", 'Raw data'!$Y:$Y,"*2nd*",'Raw data'!$K:$K,"*1v1 defense*")</f>
        <v>0</v>
      </c>
      <c r="HL36" s="8">
        <f>COUNTIFS('Raw data'!$D:$D,"*Usim Ijere*", 'Raw data'!$Y:$Y,"*2nd*",'Raw data'!$K:$K,"*1v1 defense*",'Raw data'!$M:$M,"*Duel Succeeded*")</f>
        <v>0</v>
      </c>
      <c r="HM36" s="8">
        <f>COUNTIFS('Raw data'!$D:$D,"*Usim Ijere*", 'Raw data'!$Y:$Y,"*2nd*",'Raw data'!$K:$K,"*1v1 defense*",'Raw data'!$M:$M,"*Duel Unsucceeded*")</f>
        <v>0</v>
      </c>
      <c r="HN36" s="54" t="str">
        <f t="shared" si="173"/>
        <v>-</v>
      </c>
      <c r="HO36" s="54" t="str">
        <f t="shared" si="174"/>
        <v>-</v>
      </c>
      <c r="HP36" s="8">
        <f>COUNTIFS('Raw data'!$D:$D,"*Usim Ijere*", 'Raw data'!$Y:$Y,"*2nd*",'Raw data'!$J:$J,"*Tackles*")</f>
        <v>0</v>
      </c>
      <c r="HQ36" s="8">
        <f>COUNTIFS('Raw data'!$D:$D,"*Usim Ijere*", 'Raw data'!$Y:$Y,"*2nd*",'Raw data'!$J:$J,"*Tackles*", 'Raw data'!$M:$M,"*Duel Succeeded*")</f>
        <v>0</v>
      </c>
      <c r="HR36" s="8">
        <f>COUNTIFS('Raw data'!$D:$D,"*Usim Ijere*", 'Raw data'!$Y:$Y,"*2nd*",'Raw data'!$J:$J,"*Tackles*", 'Raw data'!$M:$M,"*Duel Unsucceeded*")</f>
        <v>0</v>
      </c>
      <c r="HS36" s="54" t="str">
        <f t="shared" si="175"/>
        <v>-</v>
      </c>
      <c r="HT36" s="54" t="str">
        <f t="shared" si="176"/>
        <v>-</v>
      </c>
      <c r="HU36" s="8">
        <f>COUNTIFS('Raw data'!$D:$D,"*Usim Ijere*", 'Raw data'!$Y:$Y,"*2nd*",'Raw data'!$K:$K,"*2nd Balls*")</f>
        <v>0</v>
      </c>
      <c r="HV36" s="8">
        <f>COUNTIFS('Raw data'!$D:$D,"*Usim Ijere*", 'Raw data'!$Y:$Y,"*2nd*",'Raw data'!$K:$K,"*2nd Balls*", 'Raw data'!$M:$M,"*Duel Succeeded*")</f>
        <v>0</v>
      </c>
      <c r="HW36" s="8">
        <f>COUNTIFS('Raw data'!$D:$D,"*Usim Ijere*", 'Raw data'!$Y:$Y,"*2nd*",'Raw data'!$K:$K,"*2nd Balls*", 'Raw data'!$M:$M,"*Duel Unsucceeded*")</f>
        <v>0</v>
      </c>
      <c r="HX36" s="54" t="str">
        <f t="shared" si="177"/>
        <v>-</v>
      </c>
      <c r="HY36" s="54" t="str">
        <f t="shared" si="178"/>
        <v>-</v>
      </c>
      <c r="HZ36" s="8">
        <f>COUNTIFS('Raw data'!$D:$D,"*Usim Ijere*", 'Raw data'!$Y:$Y,"*2nd*",'Raw data'!$J:$J,"*Clearance*")</f>
        <v>0</v>
      </c>
      <c r="IA36" s="8">
        <f>COUNTIFS('Raw data'!$D:$D,"*Usim Ijere*", 'Raw data'!$Y:$Y,"*2nd*",'Raw data'!$J:$J,"*Interception*")</f>
        <v>0</v>
      </c>
      <c r="IB36" s="8">
        <f>COUNTIFS('Raw data'!$D:$D,"*Usim Ijere*", 'Raw data'!$Y:$Y,"*2nd*",'Raw data'!$J:$J,"*Turnover Won*")</f>
        <v>0</v>
      </c>
      <c r="IC36" s="8">
        <f>COUNTIFS('Raw data'!$D:$D,"*Usim Ijere*", 'Raw data'!$Y:$Y,"*2nd*",'Raw data'!$J:$J,"*Recovery*")</f>
        <v>0</v>
      </c>
      <c r="ID36" s="8">
        <f>COUNTIFS('Raw data'!$D:$D,"*Usim Ijere*", 'Raw data'!$Y:$Y,"*2nd*",'Raw data'!$J:$J,"*Blocked Shots*")</f>
        <v>0</v>
      </c>
      <c r="IE36" s="8">
        <f>COUNTIFS('Raw data'!$D:$D,"*Usim Ijere*", 'Raw data'!$Y:$Y,"*2nd*",'Raw data'!$J:$J,"*Man-marking*")</f>
        <v>0</v>
      </c>
      <c r="IF36" s="8">
        <f>COUNTIFS('Raw data'!$D:$D,"*Usim Ijere*", 'Raw data'!$Y:$Y,"*2nd*",'Raw data'!$J:$J,"*Fouls*")</f>
        <v>1</v>
      </c>
      <c r="IG36" s="8">
        <f>COUNTIFS('Raw data'!$D:$D,"*Usim Ijere*", 'Raw data'!$Y:$Y,"*2nd*",'Raw data'!$J:$J,"*Won F*")</f>
        <v>0</v>
      </c>
      <c r="IH36" s="8">
        <f>COUNTIFS('Raw data'!$D:$D,"*Usim Ijere*", 'Raw data'!$Y:$Y,"*2nd*",'Raw data'!$G:$G,"*1v1*")</f>
        <v>0</v>
      </c>
      <c r="II36" s="8">
        <f>COUNTIFS('Raw data'!$D:$D,"*Usim Ijere*", 'Raw data'!$Y:$Y,"*2nd*",'Raw data'!$G:$G,"*On Target*")</f>
        <v>0</v>
      </c>
      <c r="IJ36" s="8">
        <f>COUNTIFS('Raw data'!$D:$D,"*Usim Ijere*", 'Raw data'!$Y:$Y,"*2nd*",'Raw data'!$G:$G,"*Off Target*")</f>
        <v>0</v>
      </c>
      <c r="IK36" s="8">
        <f>COUNTIFS('Raw data'!$D:$D,"*Usim Ijere*", 'Raw data'!$Y:$Y,"*2nd*",'Raw data'!$G:$G,"*Defend the Space*")</f>
        <v>0</v>
      </c>
      <c r="IL36" s="8">
        <f>COUNTIFS('Raw data'!$D:$D,"*Usim Ijere*", 'Raw data'!$Y:$Y,"*2nd*",'Raw data'!$G:$G,"*Conceded*")</f>
        <v>0</v>
      </c>
      <c r="IM36" s="8">
        <f>COUNTIFS('Raw data'!$D:$D,"*Usim Ijere*", 'Raw data'!$Y:$Y,"*2nd*",'Raw data'!$G:$G,"*Save*")</f>
        <v>0</v>
      </c>
      <c r="IN36" s="8">
        <f>COUNTIFS('Raw data'!$D:$D,"*Usim Ijere*", 'Raw data'!$Y:$Y,"*2nd*",'Raw data'!$G:$G,"*Defend the line (Cross)*")</f>
        <v>0</v>
      </c>
      <c r="IO36" s="8">
        <f>COUNTIFS('Raw data'!$D:$D,"*Usim Ijere*", 'Raw data'!$Y:$Y,"*2nd*",'Raw data'!$G:$G,"*Counter Kick*")</f>
        <v>0</v>
      </c>
      <c r="IP36" t="s">
        <v>654</v>
      </c>
    </row>
    <row r="37" spans="3:250">
      <c r="DW37" t="s">
        <v>462</v>
      </c>
      <c r="DX37" t="s">
        <v>764</v>
      </c>
      <c r="DY37">
        <v>20</v>
      </c>
      <c r="DZ37" t="s">
        <v>659</v>
      </c>
      <c r="EA37">
        <f t="shared" si="138"/>
        <v>9</v>
      </c>
      <c r="EB37" s="8">
        <f t="shared" si="139"/>
        <v>6</v>
      </c>
      <c r="EC37" s="8">
        <f t="shared" si="139"/>
        <v>3</v>
      </c>
      <c r="ED37" s="54">
        <f t="shared" si="140"/>
        <v>0.66666666666666663</v>
      </c>
      <c r="EE37" s="54">
        <f t="shared" si="141"/>
        <v>0.33333333333333331</v>
      </c>
      <c r="EF37">
        <f t="shared" si="142"/>
        <v>4</v>
      </c>
      <c r="EG37">
        <f>COUNTIFS('Raw data'!$D:$D,"*Sebastian Bixby-Gutierrez*", 'Raw data'!$Y:$Y,"*2nd*",'Raw data'!$I:$I,"*Forward Pass*",'Raw data'!$M:$M,"*Pass completed*")</f>
        <v>2</v>
      </c>
      <c r="EH37">
        <f>COUNTIFS('Raw data'!$D:$D,"*Sebastian Bixby-Gutierrez*", 'Raw data'!$Y:$Y,"*2nd*",'Raw data'!$I:$I,"*Forward Pass*",'Raw data'!$M:$M,"*Pass Uncompleted*")</f>
        <v>2</v>
      </c>
      <c r="EI37" s="54">
        <f t="shared" si="143"/>
        <v>0.5</v>
      </c>
      <c r="EJ37" s="54">
        <f t="shared" si="144"/>
        <v>0.5</v>
      </c>
      <c r="EK37">
        <f t="shared" si="145"/>
        <v>2</v>
      </c>
      <c r="EL37" s="8">
        <f>COUNTIFS('Raw data'!$D:$D,"*Sebastian Bixby-Gutierrez*", 'Raw data'!$Y:$Y,"*2nd*",'Raw data'!$I:$I,"*Lateral Pass*",'Raw data'!$M:$M,"*Pass completed*")</f>
        <v>1</v>
      </c>
      <c r="EM37" s="8">
        <f>COUNTIFS('Raw data'!$D:$D,"*Sebastian Bixby-Gutierrez*", 'Raw data'!$Y:$Y,"*2nd*",'Raw data'!$I:$I,"*Lateral Pass*",'Raw data'!$M:$M,"*Pass Uncompleted*")</f>
        <v>1</v>
      </c>
      <c r="EN37" s="54">
        <f t="shared" si="146"/>
        <v>0.5</v>
      </c>
      <c r="EO37" s="54">
        <f t="shared" si="147"/>
        <v>0.5</v>
      </c>
      <c r="EP37">
        <f t="shared" si="148"/>
        <v>3</v>
      </c>
      <c r="EQ37" s="8">
        <f>COUNTIFS('Raw data'!$D:$D,"*Sebastian Bixby-Gutierrez*", 'Raw data'!$Y:$Y,"*2nd*",'Raw data'!$I:$I,"*Backward Pass*",'Raw data'!$M:$M,"*Pass completed*")</f>
        <v>3</v>
      </c>
      <c r="ER37" s="8">
        <f>COUNTIFS('Raw data'!$D:$D,"*Sebastian Bixby-Gutierrez*", 'Raw data'!$Y:$Y,"*2nd*",'Raw data'!$I:$I,"*Backward Pass*",'Raw data'!$M:$M,"*Pass Uncompleted*")</f>
        <v>0</v>
      </c>
      <c r="ES37" s="54">
        <f t="shared" si="149"/>
        <v>1</v>
      </c>
      <c r="ET37" s="54">
        <f t="shared" si="150"/>
        <v>0</v>
      </c>
      <c r="EU37" s="8">
        <f>COUNTIFS('Raw data'!$D:$D,"*Sebastian Bixby-Gutierrez*", 'Raw data'!$Y:$Y,"*2nd*",'Raw data'!$I:$I,"*Long Kick*")</f>
        <v>0</v>
      </c>
      <c r="EV37" s="8">
        <f>COUNTIFS('Raw data'!$D:$D,"*Sebastian Bixby-Gutierrez*", 'Raw data'!$Y:$Y,"*2nd*",'Raw data'!$I:$I,"*Long Kick*",'Raw data'!$M:$M,"*Pass completed*")</f>
        <v>0</v>
      </c>
      <c r="EW37" s="8">
        <f>COUNTIFS('Raw data'!$D:$D,"*Sebastian Bixby-Gutierrez*", 'Raw data'!$Y:$Y,"*2nd*",'Raw data'!$I:$I,"*Long Kick*",'Raw data'!$M:$M,"*Pass Uncompleted*")</f>
        <v>0</v>
      </c>
      <c r="EX37" s="54" t="str">
        <f t="shared" si="151"/>
        <v>-</v>
      </c>
      <c r="EY37" s="54" t="str">
        <f t="shared" si="152"/>
        <v>-</v>
      </c>
      <c r="EZ37" s="8">
        <f>COUNTIFS('Raw data'!$D:$D,"*Sebastian Bixby-Gutierrez*", 'Raw data'!$Y:$Y,"*2nd*",'Raw data'!$I:$I,"*Balls in Behind*")</f>
        <v>0</v>
      </c>
      <c r="FA37" s="8">
        <f>COUNTIFS('Raw data'!$D:$D,"*Sebastian Bixby-Gutierrez*", 'Raw data'!$Y:$Y,"*2nd*",'Raw data'!$I:$I,"*Balls in Behind*",'Raw data'!$M:$M,"*Pass completed*")</f>
        <v>0</v>
      </c>
      <c r="FB37" s="8">
        <f>COUNTIFS('Raw data'!$D:$D,"*Sebastian Bixby-Gutierrez*", 'Raw data'!$Y:$Y,"*2nd*",'Raw data'!$I:$I,"*Balls in Behind*",'Raw data'!$M:$M,"*Pass Uncompleted*")</f>
        <v>0</v>
      </c>
      <c r="FC37" s="54" t="str">
        <f t="shared" si="153"/>
        <v>-</v>
      </c>
      <c r="FD37" s="54" t="str">
        <f t="shared" si="154"/>
        <v>-</v>
      </c>
      <c r="FE37" s="8">
        <f>COUNTIFS('Raw data'!$D:$D,"*Sebastian Bixby-Gutierrez*", 'Raw data'!$Y:$Y,"*2nd*",'Raw data'!$I:$I,"*Key/Through pass*")</f>
        <v>1</v>
      </c>
      <c r="FF37" s="8">
        <f>COUNTIFS('Raw data'!$D:$D,"*Sebastian Bixby-Gutierrez*", 'Raw data'!$Y:$Y,"*2nd*",'Raw data'!$I:$I,"*Diagonal pass*")</f>
        <v>0</v>
      </c>
      <c r="FG37" s="8">
        <f>COUNTIFS('Raw data'!$D:$D,"*Sebastian Bixby-Gutierrez*", 'Raw data'!$Y:$Y,"*2nd*",'Raw data'!$I:$I,"*Diagonal pass*",'Raw data'!$M:$M,"*Pass completed*")</f>
        <v>0</v>
      </c>
      <c r="FH37" s="8">
        <f>COUNTIFS('Raw data'!$D:$D,"*Sebastian Bixby-Gutierrez*", 'Raw data'!$Y:$Y,"*2nd*",'Raw data'!$I:$I,"*Diagonal pass*",'Raw data'!$M:$M,"*Pass Uncompleted*")</f>
        <v>0</v>
      </c>
      <c r="FI37" s="54" t="str">
        <f t="shared" si="155"/>
        <v>-</v>
      </c>
      <c r="FJ37" s="54" t="str">
        <f t="shared" si="156"/>
        <v>-</v>
      </c>
      <c r="FK37" s="8">
        <f>COUNTIFS('Raw data'!$D:$D,"*Sebastian Bixby-Gutierrez*", 'Raw data'!$Y:$Y,"*2nd*",'Raw data'!$M:$M,"*Pass Received*")</f>
        <v>6</v>
      </c>
      <c r="FL37" s="8">
        <f>COUNTIFS('Raw data'!$D:$D,"*Sebastian Bixby-Gutierrez*", 'Raw data'!$Y:$Y,"*2nd*",'Raw data'!$M:$M,"*Pass Completed*",'Raw data'!$M:$M,"*Pass Received*")</f>
        <v>3</v>
      </c>
      <c r="FM37" s="8">
        <f>COUNTIFS('Raw data'!$D:$D,"*Sebastian Bixby-Gutierrez*", 'Raw data'!$Y:$Y,"*2nd*",'Raw data'!$M:$M,"*Pass Uncompleted*",'Raw data'!$M:$M,"*Pass Received*")</f>
        <v>3</v>
      </c>
      <c r="FN37" s="8">
        <f>COUNTIFS('Raw data'!$D:$D,"*Sebastian Bixby-Gutierrez*", 'Raw data'!$Y:$Y,"*2nd*",'Raw data'!$M:$M,"*Kept Possession*",'Raw data'!$M:$M,"*Pass Received*")</f>
        <v>1</v>
      </c>
      <c r="FO37" s="8">
        <f>COUNTIFS('Raw data'!$D:$D,"*Sebastian Bixby-Gutierrez*", 'Raw data'!$Y:$Y,"*2nd*",'Raw data'!$M:$M,"*Lost Possession*")</f>
        <v>0</v>
      </c>
      <c r="FP37" s="8">
        <f>COUNTIFS('Raw data'!$D:$D,"*Sebastian Bixby-Gutierrez*", 'Raw data'!$Y:$Y,"*2nd*",'Raw data'!$M:$M,"*Lost Possession*",'Raw data'!$M:$M,"*Lost Final 1/3*")</f>
        <v>0</v>
      </c>
      <c r="FQ37" s="8">
        <f>COUNTIFS('Raw data'!$D:$D,"*Sebastian Bixby-Gutierrez*", 'Raw data'!$Y:$Y,"*2nd*",'Raw data'!$M:$M,"*Lost Possession*",'Raw data'!$M:$M,"*Lost Middle 1/3*")</f>
        <v>0</v>
      </c>
      <c r="FR37" s="8">
        <f>COUNTIFS('Raw data'!$D:$D,"*Sebastian Bixby-Gutierrez*", 'Raw data'!$Y:$Y,"*2nd*",'Raw data'!$M:$M,"*Lost Possession*",'Raw data'!$M:$M,"*Lost Own 1/3*")</f>
        <v>0</v>
      </c>
      <c r="FS37" s="8">
        <f>COUNTIFS('Raw data'!$D:$D,"*Sebastian Bixby-Gutierrez*", 'Raw data'!$Y:$Y,"*2nd*",'Raw data'!$H:$H,"*Touches in the Box*")</f>
        <v>2</v>
      </c>
      <c r="FT37" s="8">
        <f>COUNTIFS('Raw data'!$D:$D,"*Sebastian Bixby-Gutierrez*", 'Raw data'!$Y:$Y,"*2nd*",'Raw data'!$H:$H,"*1v1 Attack*")</f>
        <v>1</v>
      </c>
      <c r="FU37" s="8">
        <f>COUNTIFS('Raw data'!$D:$D,"*Sebastian Bixby-Gutierrez*", 'Raw data'!$Y:$Y,"*2nd*",'Raw data'!$H:$H,"*1v1 Attack*",'Raw data'!$H:$H,"*1v1 Attack*",'Raw data'!$M:$M,"*Kept Possession*")</f>
        <v>1</v>
      </c>
      <c r="FV37" s="8">
        <f>COUNTIFS('Raw data'!$D:$D,"*Sebastian Bixby-Gutierrez*", 'Raw data'!$Y:$Y,"*2nd*",'Raw data'!$H:$H,"*1v1 Attack*",'Raw data'!$H:$H,"*1v1 Attack*",'Raw data'!$M:$M,"*Lost Possession*")</f>
        <v>0</v>
      </c>
      <c r="FW37" s="54">
        <f t="shared" si="157"/>
        <v>1</v>
      </c>
      <c r="FX37" s="54">
        <f t="shared" si="158"/>
        <v>0</v>
      </c>
      <c r="FY37" s="8">
        <f>COUNTIFS('Raw data'!$D:$D,"*Sebastian Bixby-Gutierrez*", 'Raw data'!$Y:$Y,"*2nd*",'Raw data'!$I:$I,"*Cross*")</f>
        <v>3</v>
      </c>
      <c r="FZ37" s="8">
        <f>COUNTIFS('Raw data'!$D:$D,"*Sebastian Bixby-Gutierrez*", 'Raw data'!$Y:$Y,"*2nd*",'Raw data'!$I:$I,"*Cross*",'Raw data'!$M:$M,"*Pass Completed*")</f>
        <v>2</v>
      </c>
      <c r="GA37" s="8">
        <f>COUNTIFS('Raw data'!$D:$D,"*Sebastian Bixby-Gutierrez*", 'Raw data'!$Y:$Y,"*2nd*",'Raw data'!$I:$I,"*Cross*",'Raw data'!$M:$M,"*Pass Uncompleted*")</f>
        <v>1</v>
      </c>
      <c r="GB37" s="54">
        <f t="shared" si="159"/>
        <v>0.66666666666666663</v>
      </c>
      <c r="GC37" s="54">
        <f t="shared" si="160"/>
        <v>0.33333333333333331</v>
      </c>
      <c r="GD37" s="8">
        <f t="shared" si="161"/>
        <v>0</v>
      </c>
      <c r="GE37" s="8">
        <f>COUNTIFS('Raw data'!$D:$D,"*Sebastian Bixby-Gutierrez*", 'Raw data'!$Y:$Y,"*2nd*",'Raw data'!$L:$L,"*On Target*")</f>
        <v>0</v>
      </c>
      <c r="GF37" s="8">
        <f>COUNTIFS('Raw data'!$D:$D,"*Sebastian Bixby-Gutierrez*", 'Raw data'!$Y:$Y,"*2nd*",'Raw data'!$L:$L,"*Off Target*")</f>
        <v>0</v>
      </c>
      <c r="GG37" s="8">
        <f>COUNTIFS('Raw data'!$D:$D,"*Sebastian Bixby-Gutierrez*", 'Raw data'!$Y:$Y,"*2nd*",'Raw data'!$L:$L,"*Blocked*")</f>
        <v>0</v>
      </c>
      <c r="GH37" s="8">
        <f>COUNTIFS('Raw data'!$D:$D,"*Sebastian Bixby-Gutierrez*", 'Raw data'!$Y:$Y,"*2nd*",'Raw data'!$M:$M,"*Goal*")</f>
        <v>0</v>
      </c>
      <c r="GI37" s="8">
        <f>COUNTIFS('Raw data'!$D:$D,"*Sebastian Bixby-Gutierrez*", 'Raw data'!$Y:$Y,"*2nd*",'Raw data'!$M:$M,"*Assist*")</f>
        <v>1</v>
      </c>
      <c r="GJ37" s="8">
        <f>COUNTIFS('Raw data'!$D:$D,"*Sebastian Bixby-Gutierrez*", 'Raw data'!$Y:$Y,"*2nd*",'Raw data'!$H:$H,"*Offensive duel*")</f>
        <v>2</v>
      </c>
      <c r="GK37" s="8">
        <f>COUNTIFS('Raw data'!$D:$D,"*Sebastian Bixby-Gutierrez*", 'Raw data'!$Y:$Y,"*2nd*",'Raw data'!$H:$H,"*Offensive Duel*",'Raw data'!$H:$H,"*Offensive Duel*",'Raw data'!$M:$M,"*Kept Possession*")</f>
        <v>2</v>
      </c>
      <c r="GL37" s="8">
        <f>COUNTIFS('Raw data'!$D:$D,"*Sebastian Bixby-Gutierrez*", 'Raw data'!$Y:$Y,"*2nd*",'Raw data'!$H:$H,"*Offensive Duel*",'Raw data'!$H:$H,"*Offensive Duel*",'Raw data'!$M:$M,"*Lost Possession*")</f>
        <v>0</v>
      </c>
      <c r="GM37" s="54">
        <f t="shared" si="162"/>
        <v>1</v>
      </c>
      <c r="GN37" s="54">
        <f t="shared" si="163"/>
        <v>0</v>
      </c>
      <c r="GO37" s="8">
        <f>COUNTIFS('Raw data'!$D:$D,"*Sebastian Bixby-Gutierrez*", 'Raw data'!$Y:$Y,"*2nd*",'Raw data'!$H:$H,"*Acceleration*")</f>
        <v>1</v>
      </c>
      <c r="GP37" s="8">
        <f>COUNTIFS('Raw data'!$D:$D,"*Sebastian Bixby-Gutierrez*", 'Raw data'!$Y:$Y,"*2nd*",'Raw data'!$H:$H,"*Move into Pocket*")</f>
        <v>1</v>
      </c>
      <c r="GQ37" s="8">
        <f>COUNTIFS('Raw data'!$D:$D,"*Sebastian Bixby-Gutierrez*", 'Raw data'!$Y:$Y,"*2nd*",'Raw data'!$H:$H,"*Wide area*")</f>
        <v>1</v>
      </c>
      <c r="GR37" s="8">
        <f>COUNTIFS('Raw data'!$D:$D,"*Sebastian Bixby-Gutierrez*", 'Raw data'!$Y:$Y,"*2nd*",'Raw data'!$H:$H,"*Back to goal*")</f>
        <v>0</v>
      </c>
      <c r="GS37" s="8">
        <f>COUNTIFS('Raw data'!$D:$D,"*Sebastian Bixby-Gutierrez*", 'Raw data'!$Y:$Y,"*2nd*",'Raw data'!$H:$H,"*Over/Underlaps*")</f>
        <v>0</v>
      </c>
      <c r="GT37" s="8">
        <f>COUNTIFS('Raw data'!$D:$D,"*Sebastian Bixby-Gutierrez*", 'Raw data'!$Y:$Y,"*2nd*",'Raw data'!$H:$H,"*Runs in Behind*")</f>
        <v>1</v>
      </c>
      <c r="GU37" s="8">
        <f>COUNTIFS('Raw data'!$D:$D,"*Sebastian Bixby-Gutierrez*", 'Raw data'!$Y:$Y,"*2nd*",'Raw data'!$H:$H,"*Half-space Runs*")</f>
        <v>0</v>
      </c>
      <c r="GV37" s="8">
        <f t="shared" si="164"/>
        <v>3</v>
      </c>
      <c r="GW37" s="8">
        <f t="shared" si="165"/>
        <v>2</v>
      </c>
      <c r="GX37" s="8">
        <f t="shared" si="166"/>
        <v>1</v>
      </c>
      <c r="GY37" s="54">
        <f t="shared" si="167"/>
        <v>0.66666666666666663</v>
      </c>
      <c r="GZ37" s="54">
        <f t="shared" si="168"/>
        <v>0.33333333333333331</v>
      </c>
      <c r="HA37" s="8">
        <f>COUNTIFS('Raw data'!$D:$D,"*Sebastian Bixby-Gutierrez*", 'Raw data'!$Y:$Y,"*2nd*",'Raw data'!$K:$K,"*Ground duel*")</f>
        <v>0</v>
      </c>
      <c r="HB37" s="8">
        <f>COUNTIFS('Raw data'!$D:$D,"*Sebastian Bixby-Gutierrez*", 'Raw data'!$Y:$Y,"*2nd*",'Raw data'!$K:$K,"*Ground duel*",'Raw data'!$M:$M,"*Duel Succeeded*")</f>
        <v>0</v>
      </c>
      <c r="HC37" s="8">
        <f>COUNTIFS('Raw data'!$D:$D,"*Sebastian Bixby-Gutierrez*", 'Raw data'!$Y:$Y,"*2nd*",'Raw data'!$K:$K,"*Ground duel*",'Raw data'!$M:$M,"*Duel Unsucceeded*")</f>
        <v>0</v>
      </c>
      <c r="HD37" s="54" t="str">
        <f t="shared" si="169"/>
        <v>-</v>
      </c>
      <c r="HE37" s="54" t="str">
        <f t="shared" si="170"/>
        <v>-</v>
      </c>
      <c r="HF37" s="8">
        <f>COUNTIFS('Raw data'!$D:$D,"*Sebastian Bixby-Gutierrez*", 'Raw data'!$Y:$Y,"*2nd*",'Raw data'!$K:$K,"*Aerial duel*")</f>
        <v>1</v>
      </c>
      <c r="HG37" s="8">
        <f>COUNTIFS('Raw data'!$D:$D,"*Sebastian Bixby-Gutierrez*", 'Raw data'!$Y:$Y,"*2nd*",'Raw data'!$K:$K,"*Aerial duel*",'Raw data'!$M:$M,"*Duel Succeeded*")</f>
        <v>0</v>
      </c>
      <c r="HH37" s="8">
        <f>COUNTIFS('Raw data'!$D:$D,"*Sebastian Bixby-Gutierrez*", 'Raw data'!$Y:$Y,"*2nd*",'Raw data'!$K:$K,"*Aerial duel*",'Raw data'!$M:$M,"*Duel Unsucceeded*")</f>
        <v>1</v>
      </c>
      <c r="HI37" s="54" t="str">
        <f t="shared" si="171"/>
        <v>-</v>
      </c>
      <c r="HJ37" s="54" t="str">
        <f t="shared" si="172"/>
        <v>-</v>
      </c>
      <c r="HK37" s="8">
        <f>COUNTIFS('Raw data'!$D:$D,"*Sebastian Bixby-Gutierrez*", 'Raw data'!$Y:$Y,"*2nd*",'Raw data'!$K:$K,"*1v1 defense*")</f>
        <v>0</v>
      </c>
      <c r="HL37" s="8">
        <f>COUNTIFS('Raw data'!$D:$D,"*Sebastian Bixby-Gutierrez*", 'Raw data'!$Y:$Y,"*2nd*",'Raw data'!$K:$K,"*1v1 defense*",'Raw data'!$M:$M,"*Duel Succeeded*")</f>
        <v>0</v>
      </c>
      <c r="HM37" s="8">
        <f>COUNTIFS('Raw data'!$D:$D,"*Sebastian Bixby-Gutierrez*", 'Raw data'!$Y:$Y,"*2nd*",'Raw data'!$K:$K,"*1v1 defense*",'Raw data'!$M:$M,"*Duel Unsucceeded*")</f>
        <v>0</v>
      </c>
      <c r="HN37" s="54" t="str">
        <f t="shared" si="173"/>
        <v>-</v>
      </c>
      <c r="HO37" s="54" t="str">
        <f t="shared" si="174"/>
        <v>-</v>
      </c>
      <c r="HP37" s="8">
        <f>COUNTIFS('Raw data'!$D:$D,"*Sebastian Bixby-Gutierrez*", 'Raw data'!$Y:$Y,"*2nd*",'Raw data'!$J:$J,"*Tackles*")</f>
        <v>0</v>
      </c>
      <c r="HQ37" s="8">
        <f>COUNTIFS('Raw data'!$D:$D,"*Sebastian Bixby-Gutierrez*", 'Raw data'!$Y:$Y,"*2nd*",'Raw data'!$J:$J,"*Tackles*", 'Raw data'!$M:$M,"*Duel Succeeded*")</f>
        <v>0</v>
      </c>
      <c r="HR37" s="8">
        <f>COUNTIFS('Raw data'!$D:$D,"*Sebastian Bixby-Gutierrez*", 'Raw data'!$Y:$Y,"*2nd*",'Raw data'!$J:$J,"*Tackles*", 'Raw data'!$M:$M,"*Duel Unsucceeded*")</f>
        <v>0</v>
      </c>
      <c r="HS37" s="54" t="str">
        <f t="shared" si="175"/>
        <v>-</v>
      </c>
      <c r="HT37" s="54" t="str">
        <f t="shared" si="176"/>
        <v>-</v>
      </c>
      <c r="HU37" s="8">
        <f>COUNTIFS('Raw data'!$D:$D,"*Sebastian Bixby-Gutierrez*", 'Raw data'!$Y:$Y,"*2nd*",'Raw data'!$K:$K,"*2nd Balls*")</f>
        <v>0</v>
      </c>
      <c r="HV37" s="8">
        <f>COUNTIFS('Raw data'!$D:$D,"*Sebastian Bixby-Gutierrez*", 'Raw data'!$Y:$Y,"*2nd*",'Raw data'!$K:$K,"*2nd Balls*", 'Raw data'!$M:$M,"*Duel Succeeded*")</f>
        <v>0</v>
      </c>
      <c r="HW37" s="8">
        <f>COUNTIFS('Raw data'!$D:$D,"*Sebastian Bixby-Gutierrez*", 'Raw data'!$Y:$Y,"*2nd*",'Raw data'!$K:$K,"*2nd Balls*", 'Raw data'!$M:$M,"*Duel Unsucceeded*")</f>
        <v>0</v>
      </c>
      <c r="HX37" s="54" t="str">
        <f t="shared" si="177"/>
        <v>-</v>
      </c>
      <c r="HY37" s="54" t="str">
        <f t="shared" si="178"/>
        <v>-</v>
      </c>
      <c r="HZ37" s="8">
        <f>COUNTIFS('Raw data'!$D:$D,"*Sebastian Bixby-Gutierrez*", 'Raw data'!$Y:$Y,"*2nd*",'Raw data'!$J:$J,"*Clearance*")</f>
        <v>1</v>
      </c>
      <c r="IA37" s="8">
        <f>COUNTIFS('Raw data'!$D:$D,"*Sebastian Bixby-Gutierrez*", 'Raw data'!$Y:$Y,"*2nd*",'Raw data'!$J:$J,"*Interception*")</f>
        <v>0</v>
      </c>
      <c r="IB37" s="8">
        <f>COUNTIFS('Raw data'!$D:$D,"*Sebastian Bixby-Gutierrez*", 'Raw data'!$Y:$Y,"*2nd*",'Raw data'!$J:$J,"*Turnover Won*")</f>
        <v>0</v>
      </c>
      <c r="IC37" s="8">
        <f>COUNTIFS('Raw data'!$D:$D,"*Sebastian Bixby-Gutierrez*", 'Raw data'!$Y:$Y,"*2nd*",'Raw data'!$J:$J,"*Recovery*")</f>
        <v>1</v>
      </c>
      <c r="ID37" s="8">
        <f>COUNTIFS('Raw data'!$D:$D,"*Sebastian Bixby-Gutierrez*", 'Raw data'!$Y:$Y,"*2nd*",'Raw data'!$J:$J,"*Blocked Shots*")</f>
        <v>0</v>
      </c>
      <c r="IE37" s="8">
        <f>COUNTIFS('Raw data'!$D:$D,"*Sebastian Bixby-Gutierrez*", 'Raw data'!$Y:$Y,"*2nd*",'Raw data'!$J:$J,"*Man-marking*")</f>
        <v>0</v>
      </c>
      <c r="IF37" s="8">
        <f>COUNTIFS('Raw data'!$D:$D,"*Sebastian Bixby-Gutierrez*", 'Raw data'!$Y:$Y,"*2nd*",'Raw data'!$J:$J,"*Fouls*")</f>
        <v>0</v>
      </c>
      <c r="IG37" s="8">
        <f>COUNTIFS('Raw data'!$D:$D,"*Sebastian Bixby-Gutierrez*", 'Raw data'!$Y:$Y,"*2nd*",'Raw data'!$J:$J,"*Won F*")</f>
        <v>0</v>
      </c>
      <c r="IH37" s="8">
        <f>COUNTIFS('Raw data'!$D:$D,"*Sebastian Bixby-Gutierrez*", 'Raw data'!$Y:$Y,"*2nd*",'Raw data'!$G:$G,"*1v1*")</f>
        <v>0</v>
      </c>
      <c r="II37" s="8">
        <f>COUNTIFS('Raw data'!$D:$D,"*Sebastian Bixby-Gutierrez*", 'Raw data'!$Y:$Y,"*2nd*",'Raw data'!$G:$G,"*On Target*")</f>
        <v>0</v>
      </c>
      <c r="IJ37" s="8">
        <f>COUNTIFS('Raw data'!$D:$D,"*Sebastian Bixby-Gutierrez*", 'Raw data'!$Y:$Y,"*2nd*",'Raw data'!$G:$G,"*Off Target*")</f>
        <v>0</v>
      </c>
      <c r="IK37" s="8">
        <f>COUNTIFS('Raw data'!$D:$D,"*Sebastian Bixby-Gutierrez*", 'Raw data'!$Y:$Y,"*2nd*",'Raw data'!$G:$G,"*Defend the Space*")</f>
        <v>0</v>
      </c>
      <c r="IL37" s="8">
        <f>COUNTIFS('Raw data'!$D:$D,"*Sebastian Bixby-Gutierrez*", 'Raw data'!$Y:$Y,"*2nd*",'Raw data'!$G:$G,"*Conceded*")</f>
        <v>0</v>
      </c>
      <c r="IM37" s="8">
        <f>COUNTIFS('Raw data'!$D:$D,"*Sebastian Bixby-Gutierrez*", 'Raw data'!$Y:$Y,"*2nd*",'Raw data'!$G:$G,"*Save*")</f>
        <v>0</v>
      </c>
      <c r="IN37" s="8">
        <f>COUNTIFS('Raw data'!$D:$D,"*Sebastian Bixby-Gutierrez*", 'Raw data'!$Y:$Y,"*2nd*",'Raw data'!$G:$G,"*Defend the line (Cross)*")</f>
        <v>0</v>
      </c>
      <c r="IO37" s="8">
        <f>COUNTIFS('Raw data'!$D:$D,"*Sebastian Bixby-Gutierrez*", 'Raw data'!$Y:$Y,"*2nd*",'Raw data'!$G:$G,"*Counter Kick*")</f>
        <v>0</v>
      </c>
      <c r="IP37" t="s">
        <v>764</v>
      </c>
    </row>
    <row r="38" spans="3:250">
      <c r="DW38" t="s">
        <v>462</v>
      </c>
      <c r="DX38" t="s">
        <v>647</v>
      </c>
      <c r="DY38">
        <v>40</v>
      </c>
      <c r="DZ38" t="s">
        <v>659</v>
      </c>
      <c r="EA38">
        <f t="shared" si="138"/>
        <v>10</v>
      </c>
      <c r="EB38" s="8">
        <f t="shared" si="139"/>
        <v>10</v>
      </c>
      <c r="EC38" s="8">
        <f t="shared" si="139"/>
        <v>0</v>
      </c>
      <c r="ED38" s="54">
        <f t="shared" si="140"/>
        <v>1</v>
      </c>
      <c r="EE38" s="54">
        <f t="shared" si="141"/>
        <v>0</v>
      </c>
      <c r="EF38">
        <f t="shared" si="142"/>
        <v>1</v>
      </c>
      <c r="EG38">
        <f>COUNTIFS('Raw data'!$D:$D,"*Godwin Mfuri*", 'Raw data'!$Y:$Y,"*2nd*",'Raw data'!$I:$I,"*Forward Pass*",'Raw data'!$M:$M,"*Pass completed*")</f>
        <v>1</v>
      </c>
      <c r="EH38">
        <f>COUNTIFS('Raw data'!$D:$D,"*Godwin Mfuri*", 'Raw data'!$Y:$Y,"*2nd*",'Raw data'!$I:$I,"*Forward Pass*",'Raw data'!$M:$M,"*Pass Uncompleted*")</f>
        <v>0</v>
      </c>
      <c r="EI38" s="54">
        <f t="shared" si="143"/>
        <v>1</v>
      </c>
      <c r="EJ38" s="54">
        <f t="shared" si="144"/>
        <v>0</v>
      </c>
      <c r="EK38">
        <f t="shared" si="145"/>
        <v>1</v>
      </c>
      <c r="EL38" s="8">
        <f>COUNTIFS('Raw data'!$D:$D,"*Godwin Mfuri*", 'Raw data'!$Y:$Y,"*2nd*",'Raw data'!$I:$I,"*Lateral Pass*",'Raw data'!$M:$M,"*Pass completed*")</f>
        <v>1</v>
      </c>
      <c r="EM38" s="8">
        <f>COUNTIFS('Raw data'!$D:$D,"*Godwin Mfuri*", 'Raw data'!$Y:$Y,"*2nd*",'Raw data'!$I:$I,"*Lateral Pass*",'Raw data'!$M:$M,"*Pass Uncompleted*")</f>
        <v>0</v>
      </c>
      <c r="EN38" s="54">
        <f t="shared" si="146"/>
        <v>1</v>
      </c>
      <c r="EO38" s="54">
        <f t="shared" si="147"/>
        <v>0</v>
      </c>
      <c r="EP38">
        <f t="shared" si="148"/>
        <v>8</v>
      </c>
      <c r="EQ38" s="8">
        <f>COUNTIFS('Raw data'!$D:$D,"*Godwin Mfuri*", 'Raw data'!$Y:$Y,"*2nd*",'Raw data'!$I:$I,"*Backward Pass*",'Raw data'!$M:$M,"*Pass completed*")</f>
        <v>8</v>
      </c>
      <c r="ER38" s="8">
        <f>COUNTIFS('Raw data'!$D:$D,"*Godwin Mfuri*", 'Raw data'!$Y:$Y,"*2nd*",'Raw data'!$I:$I,"*Backward Pass*",'Raw data'!$M:$M,"*Pass Uncompleted*")</f>
        <v>0</v>
      </c>
      <c r="ES38" s="54">
        <f t="shared" si="149"/>
        <v>1</v>
      </c>
      <c r="ET38" s="54">
        <f t="shared" si="150"/>
        <v>0</v>
      </c>
      <c r="EU38" s="8">
        <f>COUNTIFS('Raw data'!$D:$D,"*Godwin Mfuri*", 'Raw data'!$Y:$Y,"*2nd*",'Raw data'!$I:$I,"*Long Kick*")</f>
        <v>0</v>
      </c>
      <c r="EV38" s="8">
        <f>COUNTIFS('Raw data'!$D:$D,"*Godwin Mfuri*", 'Raw data'!$Y:$Y,"*2nd*",'Raw data'!$I:$I,"*Long Kick*",'Raw data'!$M:$M,"*Pass completed*")</f>
        <v>0</v>
      </c>
      <c r="EW38" s="8">
        <f>COUNTIFS('Raw data'!$D:$D,"*Godwin Mfuri*", 'Raw data'!$Y:$Y,"*2nd*",'Raw data'!$I:$I,"*Long Kick*",'Raw data'!$M:$M,"*Pass Uncompleted*")</f>
        <v>0</v>
      </c>
      <c r="EX38" s="54" t="str">
        <f t="shared" si="151"/>
        <v>-</v>
      </c>
      <c r="EY38" s="54" t="str">
        <f t="shared" si="152"/>
        <v>-</v>
      </c>
      <c r="EZ38" s="8">
        <f>COUNTIFS('Raw data'!$D:$D,"*Godwin Mfuri*", 'Raw data'!$Y:$Y,"*2nd*",'Raw data'!$I:$I,"*Balls in Behind*")</f>
        <v>1</v>
      </c>
      <c r="FA38" s="8">
        <f>COUNTIFS('Raw data'!$D:$D,"*Godwin Mfuri*", 'Raw data'!$Y:$Y,"*2nd*",'Raw data'!$I:$I,"*Balls in Behind*",'Raw data'!$M:$M,"*Pass completed*")</f>
        <v>1</v>
      </c>
      <c r="FB38" s="8">
        <f>COUNTIFS('Raw data'!$D:$D,"*Godwin Mfuri*", 'Raw data'!$Y:$Y,"*2nd*",'Raw data'!$I:$I,"*Balls in Behind*",'Raw data'!$M:$M,"*Pass Uncompleted*")</f>
        <v>0</v>
      </c>
      <c r="FC38" s="54">
        <f t="shared" si="153"/>
        <v>1</v>
      </c>
      <c r="FD38" s="54">
        <f t="shared" si="154"/>
        <v>0</v>
      </c>
      <c r="FE38" s="8">
        <f>COUNTIFS('Raw data'!$D:$D,"*Godwin Mfuri*", 'Raw data'!$Y:$Y,"*2nd*",'Raw data'!$I:$I,"*Key/Through pass*")</f>
        <v>1</v>
      </c>
      <c r="FF38" s="8">
        <f>COUNTIFS('Raw data'!$D:$D,"*Godwin Mfuri*", 'Raw data'!$Y:$Y,"*2nd*",'Raw data'!$I:$I,"*Diagonal pass*")</f>
        <v>0</v>
      </c>
      <c r="FG38" s="8">
        <f>COUNTIFS('Raw data'!$D:$D,"*Godwin Mfuri*", 'Raw data'!$Y:$Y,"*2nd*",'Raw data'!$I:$I,"*Diagonal pass*",'Raw data'!$M:$M,"*Pass completed*")</f>
        <v>0</v>
      </c>
      <c r="FH38" s="8">
        <f>COUNTIFS('Raw data'!$D:$D,"*Godwin Mfuri*", 'Raw data'!$Y:$Y,"*2nd*",'Raw data'!$I:$I,"*Diagonal pass*",'Raw data'!$M:$M,"*Pass Uncompleted*")</f>
        <v>0</v>
      </c>
      <c r="FI38" s="54" t="str">
        <f t="shared" si="155"/>
        <v>-</v>
      </c>
      <c r="FJ38" s="54" t="str">
        <f t="shared" si="156"/>
        <v>-</v>
      </c>
      <c r="FK38" s="8">
        <f>COUNTIFS('Raw data'!$D:$D,"*Godwin Mfuri*", 'Raw data'!$Y:$Y,"*2nd*",'Raw data'!$M:$M,"*Pass Received*")</f>
        <v>11</v>
      </c>
      <c r="FL38" s="8">
        <f>COUNTIFS('Raw data'!$D:$D,"*Godwin Mfuri*", 'Raw data'!$Y:$Y,"*2nd*",'Raw data'!$M:$M,"*Pass Completed*",'Raw data'!$M:$M,"*Pass Received*")</f>
        <v>7</v>
      </c>
      <c r="FM38" s="8">
        <f>COUNTIFS('Raw data'!$D:$D,"*Godwin Mfuri*", 'Raw data'!$Y:$Y,"*2nd*",'Raw data'!$M:$M,"*Pass Uncompleted*",'Raw data'!$M:$M,"*Pass Received*")</f>
        <v>0</v>
      </c>
      <c r="FN38" s="8">
        <f>COUNTIFS('Raw data'!$D:$D,"*Godwin Mfuri*", 'Raw data'!$Y:$Y,"*2nd*",'Raw data'!$M:$M,"*Kept Possession*",'Raw data'!$M:$M,"*Pass Received*")</f>
        <v>2</v>
      </c>
      <c r="FO38" s="8">
        <f>COUNTIFS('Raw data'!$D:$D,"*Godwin Mfuri*", 'Raw data'!$Y:$Y,"*2nd*",'Raw data'!$M:$M,"*Lost Possession*")</f>
        <v>0</v>
      </c>
      <c r="FP38" s="8">
        <f>COUNTIFS('Raw data'!$D:$D,"*Godwin Mfuri*", 'Raw data'!$Y:$Y,"*2nd*",'Raw data'!$M:$M,"*Lost Possession*",'Raw data'!$M:$M,"*Lost Final 1/3*")</f>
        <v>0</v>
      </c>
      <c r="FQ38" s="8">
        <f>COUNTIFS('Raw data'!$D:$D,"*Godwin Mfuri*", 'Raw data'!$Y:$Y,"*2nd*",'Raw data'!$M:$M,"*Lost Possession*",'Raw data'!$M:$M,"*Lost Middle 1/3*")</f>
        <v>0</v>
      </c>
      <c r="FR38" s="8">
        <f>COUNTIFS('Raw data'!$D:$D,"*Godwin Mfuri*", 'Raw data'!$Y:$Y,"*2nd*",'Raw data'!$M:$M,"*Lost Possession*",'Raw data'!$M:$M,"*Lost Own 1/3*")</f>
        <v>0</v>
      </c>
      <c r="FS38" s="8">
        <f>COUNTIFS('Raw data'!$D:$D,"*Godwin Mfuri*", 'Raw data'!$Y:$Y,"*2nd*",'Raw data'!$H:$H,"*Touches in the Box*")</f>
        <v>4</v>
      </c>
      <c r="FT38" s="8">
        <f>COUNTIFS('Raw data'!$D:$D,"*Godwin Mfuri*", 'Raw data'!$Y:$Y,"*2nd*",'Raw data'!$H:$H,"*1v1 Attack*")</f>
        <v>1</v>
      </c>
      <c r="FU38" s="8">
        <f>COUNTIFS('Raw data'!$D:$D,"*Godwin Mfuri*", 'Raw data'!$Y:$Y,"*2nd*",'Raw data'!$H:$H,"*1v1 Attack*",'Raw data'!$H:$H,"*1v1 Attack*",'Raw data'!$M:$M,"*Kept Possession*")</f>
        <v>1</v>
      </c>
      <c r="FV38" s="8">
        <f>COUNTIFS('Raw data'!$D:$D,"*Godwin Mfuri*", 'Raw data'!$Y:$Y,"*2nd*",'Raw data'!$H:$H,"*1v1 Attack*",'Raw data'!$H:$H,"*1v1 Attack*",'Raw data'!$M:$M,"*Lost Possession*")</f>
        <v>0</v>
      </c>
      <c r="FW38" s="54">
        <f t="shared" si="157"/>
        <v>1</v>
      </c>
      <c r="FX38" s="54">
        <f t="shared" si="158"/>
        <v>0</v>
      </c>
      <c r="FY38" s="8">
        <f>COUNTIFS('Raw data'!$D:$D,"*Godwin Mfuri*", 'Raw data'!$Y:$Y,"*2nd*",'Raw data'!$I:$I,"*Cross*")</f>
        <v>1</v>
      </c>
      <c r="FZ38" s="8">
        <f>COUNTIFS('Raw data'!$D:$D,"*Godwin Mfuri*", 'Raw data'!$Y:$Y,"*2nd*",'Raw data'!$I:$I,"*Cross*",'Raw data'!$M:$M,"*Pass Completed*")</f>
        <v>1</v>
      </c>
      <c r="GA38" s="8">
        <f>COUNTIFS('Raw data'!$D:$D,"*Godwin Mfuri*", 'Raw data'!$Y:$Y,"*2nd*",'Raw data'!$I:$I,"*Cross*",'Raw data'!$M:$M,"*Pass Uncompleted*")</f>
        <v>0</v>
      </c>
      <c r="GB38" s="54">
        <f t="shared" si="159"/>
        <v>1</v>
      </c>
      <c r="GC38" s="54">
        <f t="shared" si="160"/>
        <v>0</v>
      </c>
      <c r="GD38" s="8">
        <f t="shared" si="161"/>
        <v>5</v>
      </c>
      <c r="GE38" s="8">
        <f>COUNTIFS('Raw data'!$D:$D,"*Godwin Mfuri*", 'Raw data'!$Y:$Y,"*2nd*",'Raw data'!$L:$L,"*On Target*")</f>
        <v>4</v>
      </c>
      <c r="GF38" s="8">
        <f>COUNTIFS('Raw data'!$D:$D,"*Godwin Mfuri*", 'Raw data'!$Y:$Y,"*2nd*",'Raw data'!$L:$L,"*Off Target*")</f>
        <v>0</v>
      </c>
      <c r="GG38" s="8">
        <f>COUNTIFS('Raw data'!$D:$D,"*Godwin Mfuri*", 'Raw data'!$Y:$Y,"*2nd*",'Raw data'!$L:$L,"*Blocked*")</f>
        <v>1</v>
      </c>
      <c r="GH38" s="8">
        <f>COUNTIFS('Raw data'!$D:$D,"*Godwin Mfuri*", 'Raw data'!$Y:$Y,"*2nd*",'Raw data'!$M:$M,"*Goal*")</f>
        <v>1</v>
      </c>
      <c r="GI38" s="8">
        <f>COUNTIFS('Raw data'!$D:$D,"*Godwin Mfuri*", 'Raw data'!$Y:$Y,"*2nd*",'Raw data'!$M:$M,"*Assist*")</f>
        <v>0</v>
      </c>
      <c r="GJ38" s="8">
        <f>COUNTIFS('Raw data'!$D:$D,"*Godwin Mfuri*", 'Raw data'!$Y:$Y,"*2nd*",'Raw data'!$H:$H,"*Offensive duel*")</f>
        <v>1</v>
      </c>
      <c r="GK38" s="8">
        <f>COUNTIFS('Raw data'!$D:$D,"*Godwin Mfuri*", 'Raw data'!$Y:$Y,"*2nd*",'Raw data'!$H:$H,"*Offensive Duel*",'Raw data'!$H:$H,"*Offensive Duel*",'Raw data'!$M:$M,"*Kept Possession*")</f>
        <v>1</v>
      </c>
      <c r="GL38" s="8">
        <f>COUNTIFS('Raw data'!$D:$D,"*Godwin Mfuri*", 'Raw data'!$Y:$Y,"*2nd*",'Raw data'!$H:$H,"*Offensive Duel*",'Raw data'!$H:$H,"*Offensive Duel*",'Raw data'!$M:$M,"*Lost Possession*")</f>
        <v>0</v>
      </c>
      <c r="GM38" s="54">
        <f t="shared" si="162"/>
        <v>1</v>
      </c>
      <c r="GN38" s="54">
        <f t="shared" si="163"/>
        <v>0</v>
      </c>
      <c r="GO38" s="8">
        <f>COUNTIFS('Raw data'!$D:$D,"*Godwin Mfuri*", 'Raw data'!$Y:$Y,"*2nd*",'Raw data'!$H:$H,"*Acceleration*")</f>
        <v>2</v>
      </c>
      <c r="GP38" s="8">
        <f>COUNTIFS('Raw data'!$D:$D,"*Godwin Mfuri*", 'Raw data'!$Y:$Y,"*2nd*",'Raw data'!$H:$H,"*Move into Pocket*")</f>
        <v>1</v>
      </c>
      <c r="GQ38" s="8">
        <f>COUNTIFS('Raw data'!$D:$D,"*Godwin Mfuri*", 'Raw data'!$Y:$Y,"*2nd*",'Raw data'!$H:$H,"*Wide area*")</f>
        <v>2</v>
      </c>
      <c r="GR38" s="8">
        <f>COUNTIFS('Raw data'!$D:$D,"*Godwin Mfuri*", 'Raw data'!$Y:$Y,"*2nd*",'Raw data'!$H:$H,"*Back to goal*")</f>
        <v>1</v>
      </c>
      <c r="GS38" s="8">
        <f>COUNTIFS('Raw data'!$D:$D,"*Godwin Mfuri*", 'Raw data'!$Y:$Y,"*2nd*",'Raw data'!$H:$H,"*Over/Underlaps*")</f>
        <v>0</v>
      </c>
      <c r="GT38" s="8">
        <f>COUNTIFS('Raw data'!$D:$D,"*Godwin Mfuri*", 'Raw data'!$Y:$Y,"*2nd*",'Raw data'!$H:$H,"*Runs in Behind*")</f>
        <v>5</v>
      </c>
      <c r="GU38" s="8">
        <f>COUNTIFS('Raw data'!$D:$D,"*Godwin Mfuri*", 'Raw data'!$Y:$Y,"*2nd*",'Raw data'!$H:$H,"*Half-space Runs*")</f>
        <v>0</v>
      </c>
      <c r="GV38" s="8">
        <f t="shared" si="164"/>
        <v>2</v>
      </c>
      <c r="GW38" s="8">
        <f t="shared" si="165"/>
        <v>2</v>
      </c>
      <c r="GX38" s="8">
        <f t="shared" si="166"/>
        <v>0</v>
      </c>
      <c r="GY38" s="54">
        <f t="shared" si="167"/>
        <v>1</v>
      </c>
      <c r="GZ38" s="54">
        <f t="shared" si="168"/>
        <v>0</v>
      </c>
      <c r="HA38" s="8">
        <f>COUNTIFS('Raw data'!$D:$D,"*Godwin Mfuri*", 'Raw data'!$Y:$Y,"*2nd*",'Raw data'!$K:$K,"*Ground duel*")</f>
        <v>0</v>
      </c>
      <c r="HB38" s="8">
        <f>COUNTIFS('Raw data'!$D:$D,"*Godwin Mfuri*", 'Raw data'!$Y:$Y,"*2nd*",'Raw data'!$K:$K,"*Ground duel*",'Raw data'!$M:$M,"*Duel Succeeded*")</f>
        <v>0</v>
      </c>
      <c r="HC38" s="8">
        <f>COUNTIFS('Raw data'!$D:$D,"*Godwin Mfuri*", 'Raw data'!$Y:$Y,"*2nd*",'Raw data'!$K:$K,"*Ground duel*",'Raw data'!$M:$M,"*Duel Unsucceeded*")</f>
        <v>0</v>
      </c>
      <c r="HD38" s="54" t="str">
        <f t="shared" si="169"/>
        <v>-</v>
      </c>
      <c r="HE38" s="54" t="str">
        <f t="shared" si="170"/>
        <v>-</v>
      </c>
      <c r="HF38" s="8">
        <f>COUNTIFS('Raw data'!$D:$D,"*Godwin Mfuri*", 'Raw data'!$Y:$Y,"*2nd*",'Raw data'!$K:$K,"*Aerial duel*")</f>
        <v>1</v>
      </c>
      <c r="HG38" s="8">
        <f>COUNTIFS('Raw data'!$D:$D,"*Godwin Mfuri*", 'Raw data'!$Y:$Y,"*2nd*",'Raw data'!$K:$K,"*Aerial duel*",'Raw data'!$M:$M,"*Duel Succeeded*")</f>
        <v>1</v>
      </c>
      <c r="HH38" s="8">
        <f>COUNTIFS('Raw data'!$D:$D,"*Godwin Mfuri*", 'Raw data'!$Y:$Y,"*2nd*",'Raw data'!$K:$K,"*Aerial duel*",'Raw data'!$M:$M,"*Duel Unsucceeded*")</f>
        <v>0</v>
      </c>
      <c r="HI38" s="54">
        <f t="shared" si="171"/>
        <v>1</v>
      </c>
      <c r="HJ38" s="54">
        <f t="shared" si="172"/>
        <v>0</v>
      </c>
      <c r="HK38" s="8">
        <f>COUNTIFS('Raw data'!$D:$D,"*Godwin Mfuri*", 'Raw data'!$Y:$Y,"*2nd*",'Raw data'!$K:$K,"*1v1 defense*")</f>
        <v>0</v>
      </c>
      <c r="HL38" s="8">
        <f>COUNTIFS('Raw data'!$D:$D,"*Godwin Mfuri*", 'Raw data'!$Y:$Y,"*2nd*",'Raw data'!$K:$K,"*1v1 defense*",'Raw data'!$M:$M,"*Duel Succeeded*")</f>
        <v>0</v>
      </c>
      <c r="HM38" s="8">
        <f>COUNTIFS('Raw data'!$D:$D,"*Godwin Mfuri*", 'Raw data'!$Y:$Y,"*2nd*",'Raw data'!$K:$K,"*1v1 defense*",'Raw data'!$M:$M,"*Duel Unsucceeded*")</f>
        <v>0</v>
      </c>
      <c r="HN38" s="54" t="str">
        <f t="shared" si="173"/>
        <v>-</v>
      </c>
      <c r="HO38" s="54" t="str">
        <f t="shared" si="174"/>
        <v>-</v>
      </c>
      <c r="HP38" s="8">
        <f>COUNTIFS('Raw data'!$D:$D,"*Godwin Mfuri*", 'Raw data'!$Y:$Y,"*2nd*",'Raw data'!$J:$J,"*Tackles*")</f>
        <v>0</v>
      </c>
      <c r="HQ38" s="8">
        <f>COUNTIFS('Raw data'!$D:$D,"*Godwin Mfuri*", 'Raw data'!$Y:$Y,"*2nd*",'Raw data'!$J:$J,"*Tackles*", 'Raw data'!$M:$M,"*Duel Succeeded*")</f>
        <v>0</v>
      </c>
      <c r="HR38" s="8">
        <f>COUNTIFS('Raw data'!$D:$D,"*Godwin Mfuri*", 'Raw data'!$Y:$Y,"*2nd*",'Raw data'!$J:$J,"*Tackles*", 'Raw data'!$M:$M,"*Duel Unsucceeded*")</f>
        <v>0</v>
      </c>
      <c r="HS38" s="54" t="str">
        <f t="shared" si="175"/>
        <v>-</v>
      </c>
      <c r="HT38" s="54" t="str">
        <f t="shared" si="176"/>
        <v>-</v>
      </c>
      <c r="HU38" s="8">
        <f>COUNTIFS('Raw data'!$D:$D,"*Godwin Mfuri*", 'Raw data'!$Y:$Y,"*2nd*",'Raw data'!$K:$K,"*2nd Balls*")</f>
        <v>0</v>
      </c>
      <c r="HV38" s="8">
        <f>COUNTIFS('Raw data'!$D:$D,"*Godwin Mfuri*", 'Raw data'!$Y:$Y,"*2nd*",'Raw data'!$K:$K,"*2nd Balls*", 'Raw data'!$M:$M,"*Duel Succeeded*")</f>
        <v>0</v>
      </c>
      <c r="HW38" s="8">
        <f>COUNTIFS('Raw data'!$D:$D,"*Godwin Mfuri*", 'Raw data'!$Y:$Y,"*2nd*",'Raw data'!$K:$K,"*2nd Balls*", 'Raw data'!$M:$M,"*Duel Unsucceeded*")</f>
        <v>0</v>
      </c>
      <c r="HX38" s="54" t="str">
        <f t="shared" si="177"/>
        <v>-</v>
      </c>
      <c r="HY38" s="54" t="str">
        <f t="shared" si="178"/>
        <v>-</v>
      </c>
      <c r="HZ38" s="8">
        <f>COUNTIFS('Raw data'!$D:$D,"*Godwin Mfuri*", 'Raw data'!$Y:$Y,"*2nd*",'Raw data'!$J:$J,"*Clearance*")</f>
        <v>1</v>
      </c>
      <c r="IA38" s="8">
        <f>COUNTIFS('Raw data'!$D:$D,"*Godwin Mfuri*", 'Raw data'!$Y:$Y,"*2nd*",'Raw data'!$J:$J,"*Interception*")</f>
        <v>0</v>
      </c>
      <c r="IB38" s="8">
        <f>COUNTIFS('Raw data'!$D:$D,"*Godwin Mfuri*", 'Raw data'!$Y:$Y,"*2nd*",'Raw data'!$J:$J,"*Turnover Won*")</f>
        <v>0</v>
      </c>
      <c r="IC38" s="8">
        <f>COUNTIFS('Raw data'!$D:$D,"*Godwin Mfuri*", 'Raw data'!$Y:$Y,"*2nd*",'Raw data'!$J:$J,"*Recovery*")</f>
        <v>0</v>
      </c>
      <c r="ID38" s="8">
        <f>COUNTIFS('Raw data'!$D:$D,"*Godwin Mfuri*", 'Raw data'!$Y:$Y,"*2nd*",'Raw data'!$J:$J,"*Blocked Shots*")</f>
        <v>0</v>
      </c>
      <c r="IE38" s="8">
        <f>COUNTIFS('Raw data'!$D:$D,"*Godwin Mfuri*", 'Raw data'!$Y:$Y,"*2nd*",'Raw data'!$J:$J,"*Man-marking*")</f>
        <v>0</v>
      </c>
      <c r="IF38" s="8">
        <f>COUNTIFS('Raw data'!$D:$D,"*Godwin Mfuri*", 'Raw data'!$Y:$Y,"*2nd*",'Raw data'!$J:$J,"*Fouls*")</f>
        <v>0</v>
      </c>
      <c r="IG38" s="8">
        <f>COUNTIFS('Raw data'!$D:$D,"*Godwin Mfuri*", 'Raw data'!$Y:$Y,"*2nd*",'Raw data'!$J:$J,"*Won F*")</f>
        <v>0</v>
      </c>
      <c r="IH38" s="8">
        <f>COUNTIFS('Raw data'!$D:$D,"*Godwin Mfuri*", 'Raw data'!$Y:$Y,"*2nd*",'Raw data'!$G:$G,"*1v1*")</f>
        <v>0</v>
      </c>
      <c r="II38" s="8">
        <f>COUNTIFS('Raw data'!$D:$D,"*Godwin Mfuri*", 'Raw data'!$Y:$Y,"*2nd*",'Raw data'!$G:$G,"*On Target*")</f>
        <v>0</v>
      </c>
      <c r="IJ38" s="8">
        <f>COUNTIFS('Raw data'!$D:$D,"*Godwin Mfuri*", 'Raw data'!$Y:$Y,"*2nd*",'Raw data'!$G:$G,"*Off Target*")</f>
        <v>0</v>
      </c>
      <c r="IK38" s="8">
        <f>COUNTIFS('Raw data'!$D:$D,"*Godwin Mfuri*", 'Raw data'!$Y:$Y,"*2nd*",'Raw data'!$G:$G,"*Defend the Space*")</f>
        <v>0</v>
      </c>
      <c r="IL38" s="8">
        <f>COUNTIFS('Raw data'!$D:$D,"*Godwin Mfuri*", 'Raw data'!$Y:$Y,"*2nd*",'Raw data'!$G:$G,"*Conceded*")</f>
        <v>0</v>
      </c>
      <c r="IM38" s="8">
        <f>COUNTIFS('Raw data'!$D:$D,"*Godwin Mfuri*", 'Raw data'!$Y:$Y,"*2nd*",'Raw data'!$G:$G,"*Save*")</f>
        <v>0</v>
      </c>
      <c r="IN38" s="8">
        <f>COUNTIFS('Raw data'!$D:$D,"*Godwin Mfuri*", 'Raw data'!$Y:$Y,"*2nd*",'Raw data'!$G:$G,"*Defend the line (Cross)*")</f>
        <v>0</v>
      </c>
      <c r="IO38" s="8">
        <f>COUNTIFS('Raw data'!$D:$D,"*Godwin Mfuri*", 'Raw data'!$Y:$Y,"*2nd*",'Raw data'!$G:$G,"*Counter Kick*")</f>
        <v>0</v>
      </c>
      <c r="IP38" t="s">
        <v>647</v>
      </c>
    </row>
    <row r="39" spans="3:250">
      <c r="ED39" s="54"/>
      <c r="EE39" s="54"/>
      <c r="EI39" s="54"/>
      <c r="EJ39" s="54"/>
      <c r="EK39" s="8"/>
      <c r="EL39" s="8"/>
      <c r="EM39" s="8"/>
      <c r="EN39" s="54"/>
      <c r="EO39" s="54"/>
      <c r="EP39" s="8"/>
      <c r="EQ39" s="8"/>
      <c r="ER39" s="8"/>
      <c r="ES39" s="54"/>
      <c r="ET39" s="54"/>
      <c r="EU39" s="8"/>
      <c r="EV39" s="8"/>
      <c r="EW39" s="8"/>
      <c r="EX39" s="54"/>
      <c r="EY39" s="54"/>
      <c r="EZ39" s="8"/>
      <c r="FA39" s="8"/>
      <c r="FB39" s="8"/>
      <c r="FC39" s="54"/>
      <c r="FD39" s="54"/>
      <c r="FE39" s="8"/>
      <c r="FF39" s="8"/>
      <c r="FG39" s="8"/>
      <c r="FH39" s="8"/>
      <c r="FI39" s="54"/>
      <c r="FJ39" s="54"/>
      <c r="FK39" s="54"/>
      <c r="FL39" s="54"/>
      <c r="FM39" s="54"/>
      <c r="FN39" s="8"/>
      <c r="FO39" s="8"/>
      <c r="FP39" s="8"/>
      <c r="FQ39" s="8"/>
      <c r="FR39" s="8"/>
      <c r="FS39" s="8"/>
      <c r="FT39" s="8"/>
      <c r="FU39" s="8"/>
      <c r="FV39" s="8"/>
      <c r="FW39" s="54"/>
      <c r="FX39" s="54"/>
      <c r="FY39" s="8"/>
      <c r="FZ39" s="8"/>
      <c r="GA39" s="8"/>
      <c r="GB39" s="54"/>
      <c r="GC39" s="54"/>
      <c r="GD39" s="8"/>
      <c r="GE39" s="8"/>
      <c r="GF39" s="8"/>
      <c r="GG39" s="8"/>
      <c r="GH39" s="8"/>
      <c r="GI39" s="8"/>
      <c r="GJ39" s="8"/>
      <c r="GK39" s="8"/>
      <c r="GL39" s="8"/>
      <c r="GM39" s="54"/>
      <c r="GN39" s="54"/>
      <c r="GO39" s="8"/>
      <c r="GP39" s="54"/>
      <c r="GQ39" s="54"/>
      <c r="GR39" s="54"/>
      <c r="GS39" s="54"/>
      <c r="GT39" s="54"/>
      <c r="GU39" s="54"/>
      <c r="GV39" s="8"/>
      <c r="GW39" s="8"/>
      <c r="GX39" s="8"/>
      <c r="GY39" s="54"/>
      <c r="GZ39" s="54"/>
      <c r="HA39" s="8"/>
      <c r="HB39" s="8"/>
      <c r="HC39" s="8"/>
      <c r="HD39" s="54"/>
      <c r="HE39" s="54"/>
      <c r="HF39" s="8"/>
      <c r="HG39" s="8"/>
      <c r="HH39" s="8"/>
      <c r="HI39" s="54"/>
      <c r="HJ39" s="54"/>
      <c r="HK39" s="8"/>
      <c r="HL39" s="8"/>
      <c r="HM39" s="8"/>
      <c r="HN39" s="54"/>
      <c r="HO39" s="54"/>
      <c r="HP39" s="8"/>
      <c r="HQ39" s="8"/>
      <c r="HR39" s="8"/>
      <c r="HS39" s="54"/>
      <c r="HT39" s="54"/>
      <c r="HU39" s="8"/>
      <c r="HV39" s="8"/>
      <c r="HW39" s="8"/>
      <c r="HX39" s="54"/>
      <c r="HY39" s="54"/>
      <c r="HZ39" s="8"/>
      <c r="IA39" s="8"/>
      <c r="IB39" s="8"/>
      <c r="IC39" s="8"/>
      <c r="ID39" s="8"/>
      <c r="IE39" s="8"/>
      <c r="IF39" s="8"/>
      <c r="IG39" s="8"/>
      <c r="IH39" s="8"/>
      <c r="II39" s="8"/>
      <c r="IJ39" s="8"/>
      <c r="IK39" s="8"/>
      <c r="IL39" s="8"/>
      <c r="IM39" s="8"/>
    </row>
    <row r="40" spans="3:250">
      <c r="DW40" t="s">
        <v>465</v>
      </c>
      <c r="DX40" t="s">
        <v>140</v>
      </c>
      <c r="DY40" t="s">
        <v>542</v>
      </c>
      <c r="DZ40" t="s">
        <v>151</v>
      </c>
      <c r="EA40" s="2" t="s">
        <v>233</v>
      </c>
      <c r="EB40" s="2" t="s">
        <v>234</v>
      </c>
      <c r="EC40" s="2" t="s">
        <v>235</v>
      </c>
      <c r="ED40" s="2" t="s">
        <v>502</v>
      </c>
      <c r="EE40" s="2" t="s">
        <v>503</v>
      </c>
      <c r="EF40" s="2" t="s">
        <v>236</v>
      </c>
      <c r="EG40" s="2" t="s">
        <v>237</v>
      </c>
      <c r="EH40" s="2" t="s">
        <v>238</v>
      </c>
      <c r="EI40" s="2" t="s">
        <v>504</v>
      </c>
      <c r="EJ40" s="2" t="s">
        <v>505</v>
      </c>
      <c r="EK40" s="2" t="s">
        <v>239</v>
      </c>
      <c r="EL40" s="35" t="s">
        <v>240</v>
      </c>
      <c r="EM40" s="2" t="s">
        <v>241</v>
      </c>
      <c r="EN40" s="35" t="s">
        <v>506</v>
      </c>
      <c r="EO40" s="2" t="s">
        <v>507</v>
      </c>
      <c r="EP40" s="2" t="s">
        <v>242</v>
      </c>
      <c r="EQ40" s="2" t="s">
        <v>243</v>
      </c>
      <c r="ER40" s="2" t="s">
        <v>244</v>
      </c>
      <c r="ES40" s="2" t="s">
        <v>508</v>
      </c>
      <c r="ET40" s="2" t="s">
        <v>509</v>
      </c>
      <c r="EU40" s="2" t="s">
        <v>251</v>
      </c>
      <c r="EV40" s="2" t="s">
        <v>252</v>
      </c>
      <c r="EW40" s="2" t="s">
        <v>253</v>
      </c>
      <c r="EX40" s="2" t="s">
        <v>510</v>
      </c>
      <c r="EY40" s="2" t="s">
        <v>511</v>
      </c>
      <c r="EZ40" s="2" t="s">
        <v>257</v>
      </c>
      <c r="FA40" s="2" t="s">
        <v>258</v>
      </c>
      <c r="FB40" s="2" t="s">
        <v>259</v>
      </c>
      <c r="FC40" s="2" t="s">
        <v>512</v>
      </c>
      <c r="FD40" s="2" t="s">
        <v>513</v>
      </c>
      <c r="FE40" s="2" t="s">
        <v>260</v>
      </c>
      <c r="FF40" s="2" t="s">
        <v>261</v>
      </c>
      <c r="FG40" s="2" t="s">
        <v>262</v>
      </c>
      <c r="FH40" s="2" t="s">
        <v>263</v>
      </c>
      <c r="FI40" s="2" t="s">
        <v>514</v>
      </c>
      <c r="FJ40" s="2" t="s">
        <v>515</v>
      </c>
      <c r="FK40" s="2" t="s">
        <v>547</v>
      </c>
      <c r="FL40" s="2" t="s">
        <v>661</v>
      </c>
      <c r="FM40" s="2" t="s">
        <v>663</v>
      </c>
      <c r="FN40" s="2" t="s">
        <v>245</v>
      </c>
      <c r="FO40" s="2" t="s">
        <v>246</v>
      </c>
      <c r="FP40" s="2" t="s">
        <v>247</v>
      </c>
      <c r="FQ40" s="2" t="s">
        <v>248</v>
      </c>
      <c r="FR40" s="2" t="s">
        <v>249</v>
      </c>
      <c r="FS40" s="2" t="s">
        <v>177</v>
      </c>
      <c r="FT40" s="2" t="s">
        <v>250</v>
      </c>
      <c r="FU40" s="2" t="s">
        <v>548</v>
      </c>
      <c r="FV40" s="2" t="s">
        <v>549</v>
      </c>
      <c r="FW40" s="2" t="s">
        <v>516</v>
      </c>
      <c r="FX40" s="2" t="s">
        <v>517</v>
      </c>
      <c r="FY40" s="2" t="s">
        <v>254</v>
      </c>
      <c r="FZ40" s="2" t="s">
        <v>255</v>
      </c>
      <c r="GA40" s="2" t="s">
        <v>256</v>
      </c>
      <c r="GB40" s="2" t="s">
        <v>518</v>
      </c>
      <c r="GC40" s="2" t="s">
        <v>519</v>
      </c>
      <c r="GD40" s="2" t="s">
        <v>150</v>
      </c>
      <c r="GE40" s="2" t="s">
        <v>38</v>
      </c>
      <c r="GF40" s="2" t="s">
        <v>39</v>
      </c>
      <c r="GG40" s="2" t="s">
        <v>37</v>
      </c>
      <c r="GH40" s="2" t="s">
        <v>52</v>
      </c>
      <c r="GI40" s="2" t="s">
        <v>54</v>
      </c>
      <c r="GJ40" s="2" t="s">
        <v>582</v>
      </c>
      <c r="GK40" s="2" t="s">
        <v>339</v>
      </c>
      <c r="GL40" s="2" t="s">
        <v>340</v>
      </c>
      <c r="GM40" s="2" t="s">
        <v>520</v>
      </c>
      <c r="GN40" s="2" t="s">
        <v>521</v>
      </c>
      <c r="GO40" s="2" t="s">
        <v>451</v>
      </c>
      <c r="GP40" s="2" t="s">
        <v>553</v>
      </c>
      <c r="GQ40" s="2" t="s">
        <v>554</v>
      </c>
      <c r="GR40" s="2" t="s">
        <v>555</v>
      </c>
      <c r="GS40" s="2" t="s">
        <v>556</v>
      </c>
      <c r="GT40" s="2" t="s">
        <v>557</v>
      </c>
      <c r="GU40" s="2" t="s">
        <v>665</v>
      </c>
      <c r="GV40" s="1" t="s">
        <v>351</v>
      </c>
      <c r="GW40" s="1" t="s">
        <v>522</v>
      </c>
      <c r="GX40" s="1" t="s">
        <v>523</v>
      </c>
      <c r="GY40" s="1" t="s">
        <v>524</v>
      </c>
      <c r="GZ40" s="1" t="s">
        <v>525</v>
      </c>
      <c r="HA40" s="1" t="s">
        <v>488</v>
      </c>
      <c r="HB40" s="1" t="s">
        <v>526</v>
      </c>
      <c r="HC40" s="1" t="s">
        <v>527</v>
      </c>
      <c r="HD40" s="1" t="s">
        <v>528</v>
      </c>
      <c r="HE40" s="1" t="s">
        <v>529</v>
      </c>
      <c r="HF40" s="1" t="s">
        <v>264</v>
      </c>
      <c r="HG40" s="1" t="s">
        <v>266</v>
      </c>
      <c r="HH40" s="1" t="s">
        <v>265</v>
      </c>
      <c r="HI40" s="1" t="s">
        <v>530</v>
      </c>
      <c r="HJ40" s="1" t="s">
        <v>531</v>
      </c>
      <c r="HK40" s="1" t="s">
        <v>267</v>
      </c>
      <c r="HL40" s="1" t="s">
        <v>268</v>
      </c>
      <c r="HM40" s="1" t="s">
        <v>269</v>
      </c>
      <c r="HN40" s="1" t="s">
        <v>532</v>
      </c>
      <c r="HO40" s="1" t="s">
        <v>533</v>
      </c>
      <c r="HP40" s="1" t="s">
        <v>270</v>
      </c>
      <c r="HQ40" s="1" t="s">
        <v>271</v>
      </c>
      <c r="HR40" s="1" t="s">
        <v>272</v>
      </c>
      <c r="HS40" s="116" t="s">
        <v>534</v>
      </c>
      <c r="HT40" s="116" t="s">
        <v>535</v>
      </c>
      <c r="HU40" s="1" t="s">
        <v>666</v>
      </c>
      <c r="HV40" s="1" t="s">
        <v>274</v>
      </c>
      <c r="HW40" s="1" t="s">
        <v>275</v>
      </c>
      <c r="HX40" s="1" t="s">
        <v>536</v>
      </c>
      <c r="HY40" s="1" t="s">
        <v>537</v>
      </c>
      <c r="HZ40" s="1" t="s">
        <v>47</v>
      </c>
      <c r="IA40" s="1" t="s">
        <v>49</v>
      </c>
      <c r="IB40" s="1" t="s">
        <v>611</v>
      </c>
      <c r="IC40" s="1" t="s">
        <v>50</v>
      </c>
      <c r="ID40" s="1" t="s">
        <v>55</v>
      </c>
      <c r="IE40" s="1" t="s">
        <v>276</v>
      </c>
      <c r="IF40" s="1" t="s">
        <v>223</v>
      </c>
      <c r="IG40" s="1" t="s">
        <v>222</v>
      </c>
      <c r="IH40" s="36" t="s">
        <v>277</v>
      </c>
      <c r="II40" s="36" t="s">
        <v>278</v>
      </c>
      <c r="IJ40" s="36" t="s">
        <v>279</v>
      </c>
      <c r="IK40" s="36" t="s">
        <v>280</v>
      </c>
      <c r="IL40" s="36" t="s">
        <v>57</v>
      </c>
      <c r="IM40" s="36" t="s">
        <v>281</v>
      </c>
      <c r="IN40" s="36" t="s">
        <v>459</v>
      </c>
      <c r="IO40" s="83" t="s">
        <v>460</v>
      </c>
      <c r="IP40" t="s">
        <v>414</v>
      </c>
    </row>
    <row r="41" spans="3:250">
      <c r="DW41" t="s">
        <v>501</v>
      </c>
      <c r="DX41" t="s">
        <v>642</v>
      </c>
      <c r="DY41">
        <v>40</v>
      </c>
      <c r="DZ41" t="s">
        <v>152</v>
      </c>
      <c r="EA41">
        <f t="shared" ref="EA41:EA56" si="179">EB41+EC41</f>
        <v>41</v>
      </c>
      <c r="EB41" s="8">
        <f t="shared" ref="EB41:EC41" si="180">EG41+EL41+EQ41</f>
        <v>37</v>
      </c>
      <c r="EC41" s="8">
        <f t="shared" si="180"/>
        <v>4</v>
      </c>
      <c r="ED41" s="54">
        <f t="shared" ref="ED41:ED56" si="181">IFERROR(EB41/$EA41,"-")</f>
        <v>0.90243902439024393</v>
      </c>
      <c r="EE41" s="54">
        <f t="shared" ref="EE41:EE56" si="182">IFERROR(EC41/$EA41,"-")</f>
        <v>9.7560975609756101E-2</v>
      </c>
      <c r="EF41">
        <f t="shared" ref="EF41:EF56" si="183">EG41+EH41</f>
        <v>18</v>
      </c>
      <c r="EG41">
        <f>COUNTIFS('Raw data'!$D:$D,"*Louie Briggs*", 'Raw data'!$I:$I,"*Forward Pass*",'Raw data'!$M:$M,"*Pass completed*")</f>
        <v>15</v>
      </c>
      <c r="EH41">
        <f>COUNTIFS('Raw data'!$D:$D,"*Louie Briggs*", 'Raw data'!$I:$I,"*Forward Pass*",'Raw data'!$M:$M,"*Pass Uncompleted*")</f>
        <v>3</v>
      </c>
      <c r="EI41" s="54">
        <f t="shared" ref="EI41:EI56" si="184">IFERROR(EG41/$EF41,"-")</f>
        <v>0.83333333333333337</v>
      </c>
      <c r="EJ41" s="54">
        <f t="shared" ref="EJ41:EJ56" si="185">IFERROR(EH41/$EF41,"-")</f>
        <v>0.16666666666666666</v>
      </c>
      <c r="EK41">
        <f t="shared" ref="EK41:EK56" si="186">EL41+EM41</f>
        <v>23</v>
      </c>
      <c r="EL41" s="8">
        <f>COUNTIFS('Raw data'!$D:$D,"*Louie Briggs*", 'Raw data'!$I:$I,"*Lateral Pass*",'Raw data'!$M:$M,"*Pass completed*")</f>
        <v>22</v>
      </c>
      <c r="EM41" s="8">
        <f>COUNTIFS('Raw data'!$D:$D,"*Louie Briggs*", 'Raw data'!$I:$I,"*Lateral Pass*",'Raw data'!$M:$M,"*Pass Uncompleted*")</f>
        <v>1</v>
      </c>
      <c r="EN41" s="54">
        <f t="shared" ref="EN41:EN56" si="187">IFERROR(EL41/$EK41,"-")</f>
        <v>0.95652173913043481</v>
      </c>
      <c r="EO41" s="54">
        <f t="shared" ref="EO41:EO56" si="188">IFERROR(EM41/$EK41,"-")</f>
        <v>4.3478260869565216E-2</v>
      </c>
      <c r="EP41">
        <f t="shared" ref="EP41:EP56" si="189">EQ41+ER41</f>
        <v>0</v>
      </c>
      <c r="EQ41" s="8">
        <f>COUNTIFS('Raw data'!$D:$D,"*Louie Briggs*", 'Raw data'!$I:$I,"*Backward Pass*",'Raw data'!$M:$M,"*Pass completed*")</f>
        <v>0</v>
      </c>
      <c r="ER41" s="8">
        <f>COUNTIFS('Raw data'!$D:$D,"*Louie Briggs*", 'Raw data'!$I:$I,"*Backward Pass*",'Raw data'!$M:$M,"*Pass Uncompleted*")</f>
        <v>0</v>
      </c>
      <c r="ES41" s="54" t="str">
        <f t="shared" ref="ES41:ES56" si="190">IFERROR(EQ41/$EQ41,"-")</f>
        <v>-</v>
      </c>
      <c r="ET41" s="54" t="str">
        <f t="shared" ref="ET41:ET56" si="191">IFERROR(ER41/$EQ41,"-")</f>
        <v>-</v>
      </c>
      <c r="EU41" s="8">
        <f>COUNTIFS('Raw data'!$D:$D,"*Louie Briggs*", 'Raw data'!$I:$I,"*Long Kick*")</f>
        <v>5</v>
      </c>
      <c r="EV41" s="8">
        <f>COUNTIFS('Raw data'!$D:$D,"*Louie Briggs*", 'Raw data'!$I:$I,"*Long Kick*",'Raw data'!$M:$M,"*Pass completed*")</f>
        <v>4</v>
      </c>
      <c r="EW41" s="8">
        <f>COUNTIFS('Raw data'!$D:$D,"*Louie Briggs*", 'Raw data'!$I:$I,"*Long Kick*",'Raw data'!$M:$M,"*Pass Uncompleted*")</f>
        <v>2</v>
      </c>
      <c r="EX41" s="54">
        <f t="shared" ref="EX41:EX56" si="192">IFERROR(EV41/$EU41,"-")</f>
        <v>0.8</v>
      </c>
      <c r="EY41" s="54">
        <f t="shared" ref="EY41:EY56" si="193">IFERROR(EW41/$EU41,"-")</f>
        <v>0.4</v>
      </c>
      <c r="EZ41" s="8">
        <f>COUNTIFS('Raw data'!$D:$D,"*Louie Briggs*", 'Raw data'!$I:$I,"*Balls in Behind*")</f>
        <v>1</v>
      </c>
      <c r="FA41" s="8">
        <f>COUNTIFS('Raw data'!$D:$D,"*Louie Briggs*", 'Raw data'!$I:$I,"*Balls in Behind*",'Raw data'!$M:$M,"*Pass completed*")</f>
        <v>1</v>
      </c>
      <c r="FB41" s="8">
        <f>COUNTIFS('Raw data'!$D:$D,"*Louie Briggs*", 'Raw data'!$I:$I,"*Balls in Behind*",'Raw data'!$M:$M,"*Pass Uncompleted*")</f>
        <v>0</v>
      </c>
      <c r="FC41" s="54">
        <f t="shared" ref="FC41:FC56" si="194">IFERROR(FA41/$EZ41,"-")</f>
        <v>1</v>
      </c>
      <c r="FD41" s="54">
        <f t="shared" ref="FD41:FD56" si="195">IFERROR(FB41/$EZ41,"-")</f>
        <v>0</v>
      </c>
      <c r="FE41" s="8">
        <f>COUNTIFS('Raw data'!$D:$D,"*Louie Briggs*", 'Raw data'!$I:$I,"*Key/Through pass*")</f>
        <v>0</v>
      </c>
      <c r="FF41" s="8">
        <f>COUNTIFS('Raw data'!$D:$D,"*Louie Briggs*", 'Raw data'!$I:$I,"*Diagonal pass*")</f>
        <v>0</v>
      </c>
      <c r="FG41" s="8">
        <f>COUNTIFS('Raw data'!$D:$D,"*Louie Briggs*", 'Raw data'!$I:$I,"*Diagonal pass*",'Raw data'!$M:$M,"*Pass completed*")</f>
        <v>0</v>
      </c>
      <c r="FH41" s="8">
        <f>COUNTIFS('Raw data'!$D:$D,"*Louie Briggs*", 'Raw data'!$I:$I,"*Diagonal pass*",'Raw data'!$M:$M,"*Pass Uncompleted*")</f>
        <v>0</v>
      </c>
      <c r="FI41" s="54" t="str">
        <f t="shared" ref="FI41:FI56" si="196">IFERROR(FG41/$FF41,"-")</f>
        <v>-</v>
      </c>
      <c r="FJ41" s="54" t="str">
        <f t="shared" ref="FJ41:FJ56" si="197">IFERROR(FH41/$FF41,"-")</f>
        <v>-</v>
      </c>
      <c r="FK41" s="8">
        <f>COUNTIFS('Raw data'!$D:$D,"*Louie Briggs*", 'Raw data'!$M:$M,"*Pass Received*")</f>
        <v>30</v>
      </c>
      <c r="FL41" s="8">
        <f>COUNTIFS('Raw data'!$D:$D,"*Louie Briggs*", 'Raw data'!$M:$M,"*Pass Completed*",'Raw data'!$M:$M,"*Pass Received*")</f>
        <v>28</v>
      </c>
      <c r="FM41" s="8">
        <f>COUNTIFS('Raw data'!$D:$D,"*Louie Briggs*", 'Raw data'!$M:$M,"*Pass Uncompleted*",'Raw data'!$M:$M,"*Pass Received*")</f>
        <v>3</v>
      </c>
      <c r="FN41" s="8">
        <f>COUNTIFS('Raw data'!$D:$D,"*Louie Briggs*", 'Raw data'!$M:$M,"*Kept Possession*",'Raw data'!$M:$M,"*Pass Received*")</f>
        <v>1</v>
      </c>
      <c r="FO41" s="8">
        <f>COUNTIFS('Raw data'!$D:$D,"*Louie Briggs*", 'Raw data'!$M:$M,"*Lost Possession*")</f>
        <v>0</v>
      </c>
      <c r="FP41" s="8">
        <f>COUNTIFS('Raw data'!$D:$D,"*Louie Briggs*", 'Raw data'!$M:$M,"*Lost Possession*",'Raw data'!$M:$M,"*Lost Final 1/3*")</f>
        <v>0</v>
      </c>
      <c r="FQ41" s="8">
        <f>COUNTIFS('Raw data'!$D:$D,"*Louie Briggs*", 'Raw data'!$M:$M,"*Lost Possession*",'Raw data'!$M:$M,"*Lost Middle 1/3*")</f>
        <v>0</v>
      </c>
      <c r="FR41" s="8">
        <f>COUNTIFS('Raw data'!$D:$D,"*Louie Briggs*", 'Raw data'!$M:$M,"*Lost Possession*",'Raw data'!$M:$M,"*Lost Own 1/3*")</f>
        <v>0</v>
      </c>
      <c r="FS41" s="8">
        <f>COUNTIFS('Raw data'!$D:$D,"*Louie Briggs*", 'Raw data'!$H:$H,"*Touches in the Box*")</f>
        <v>0</v>
      </c>
      <c r="FT41" s="8">
        <f>COUNTIFS('Raw data'!$D:$D,"*Louie Briggs*", 'Raw data'!$H:$H,"*1v1 Attack*")</f>
        <v>1</v>
      </c>
      <c r="FU41" s="8">
        <f>COUNTIFS('Raw data'!$D:$D,"*Louie Briggs*", 'Raw data'!$H:$H,"*1v1 Attack*",'Raw data'!$H:$H,"*1v1 Attack*",'Raw data'!$M:$M,"*Kept Possession*")</f>
        <v>1</v>
      </c>
      <c r="FV41" s="8">
        <f>COUNTIFS('Raw data'!$D:$D,"*Louie Briggs*", 'Raw data'!$H:$H,"*1v1 Attack*",'Raw data'!$H:$H,"*1v1 Attack*",'Raw data'!$M:$M,"*Lost Possession*")</f>
        <v>0</v>
      </c>
      <c r="FW41" s="54">
        <f t="shared" ref="FW41:FW56" si="198">IFERROR(FU41/$FT41,"-")</f>
        <v>1</v>
      </c>
      <c r="FX41" s="54">
        <f t="shared" ref="FX41:FX56" si="199">IFERROR(FV41/$FT41,"-")</f>
        <v>0</v>
      </c>
      <c r="FY41" s="8">
        <f>COUNTIFS('Raw data'!$D:$D,"*Louie Briggs*", 'Raw data'!$I:$I,"*Cross*")</f>
        <v>0</v>
      </c>
      <c r="FZ41" s="8">
        <f>COUNTIFS('Raw data'!$D:$D,"*Louie Briggs*", 'Raw data'!$I:$I,"*Cross*",'Raw data'!$M:$M,"*Pass Completed*")</f>
        <v>0</v>
      </c>
      <c r="GA41" s="8">
        <f>COUNTIFS('Raw data'!$D:$D,"*Louie Briggs*", 'Raw data'!$I:$I,"*Cross*",'Raw data'!$M:$M,"*Pass Uncompleted*")</f>
        <v>0</v>
      </c>
      <c r="GB41" s="54" t="str">
        <f t="shared" ref="GB41:GB56" si="200">IFERROR(FZ41/$FY41,"-")</f>
        <v>-</v>
      </c>
      <c r="GC41" s="54" t="str">
        <f t="shared" ref="GC41:GC56" si="201">IFERROR(GA41/$FY41,"-")</f>
        <v>-</v>
      </c>
      <c r="GD41" s="8">
        <f t="shared" ref="GD41:GD56" si="202">SUM(GE41:GG41)</f>
        <v>0</v>
      </c>
      <c r="GE41" s="8">
        <f>COUNTIFS('Raw data'!$D:$D,"*Louie Briggs*", 'Raw data'!$L:$L,"*On Target*")</f>
        <v>0</v>
      </c>
      <c r="GF41" s="8">
        <f>COUNTIFS('Raw data'!$D:$D,"*Louie Briggs*", 'Raw data'!$L:$L,"*Off Target*")</f>
        <v>0</v>
      </c>
      <c r="GG41" s="8">
        <f>COUNTIFS('Raw data'!$D:$D,"*Louie Briggs*", 'Raw data'!$L:$L,"*Blocked*")</f>
        <v>0</v>
      </c>
      <c r="GH41" s="8">
        <f>COUNTIFS('Raw data'!$D:$D,"*Louie Briggs*", 'Raw data'!$M:$M,"*Goal*")</f>
        <v>0</v>
      </c>
      <c r="GI41" s="8">
        <f>COUNTIFS('Raw data'!$D:$D,"*Louie Briggs*", 'Raw data'!$M:$M,"*Assist*")</f>
        <v>0</v>
      </c>
      <c r="GJ41" s="8">
        <f>COUNTIFS('Raw data'!$D:$D,"*Louie Briggs*", 'Raw data'!$H:$H,"*Offensive duel*")</f>
        <v>0</v>
      </c>
      <c r="GK41" s="8">
        <f>COUNTIFS('Raw data'!$D:$D,"*Louie Briggs*", 'Raw data'!$H:$H,"*Offensive Duel*",'Raw data'!$H:$H,"*Offensive Duel*",'Raw data'!$M:$M,"*Kept Possession*")</f>
        <v>0</v>
      </c>
      <c r="GL41" s="8">
        <f>COUNTIFS('Raw data'!$D:$D,"*Louie Briggs*", 'Raw data'!$H:$H,"*Offensive Duel*",'Raw data'!$H:$H,"*Offensive Duel*",'Raw data'!$M:$M,"*Lost Possession*")</f>
        <v>0</v>
      </c>
      <c r="GM41" s="54" t="str">
        <f t="shared" ref="GM41:GM56" si="203">IFERROR(GK41/$GJ41,"-")</f>
        <v>-</v>
      </c>
      <c r="GN41" s="54" t="str">
        <f t="shared" ref="GN41:GN56" si="204">IFERROR(GL41/$GJ41,"-")</f>
        <v>-</v>
      </c>
      <c r="GO41" s="8">
        <f>COUNTIFS('Raw data'!$D:$D,"*Louie Briggs*", 'Raw data'!$H:$H,"*Acceleration*")</f>
        <v>1</v>
      </c>
      <c r="GP41" s="8">
        <f>COUNTIFS('Raw data'!$D:$D,"*Louie Briggs*", 'Raw data'!$H:$H,"*Move into Pocket*")</f>
        <v>0</v>
      </c>
      <c r="GQ41" s="8">
        <f>COUNTIFS('Raw data'!$D:$D,"*Louie Briggs*", 'Raw data'!$H:$H,"*Wide area*")</f>
        <v>0</v>
      </c>
      <c r="GR41" s="8">
        <f>COUNTIFS('Raw data'!$D:$D,"*Louie Briggs*", 'Raw data'!$H:$H,"*Back to goal*")</f>
        <v>0</v>
      </c>
      <c r="GS41" s="8">
        <f>COUNTIFS('Raw data'!$D:$D,"*Louie Briggs*", 'Raw data'!$H:$H,"*Over/Underlaps*")</f>
        <v>0</v>
      </c>
      <c r="GT41" s="8">
        <f>COUNTIFS('Raw data'!$D:$D,"*Louie Briggs*", 'Raw data'!$H:$H,"*Runs in Behind*")</f>
        <v>0</v>
      </c>
      <c r="GU41" s="8">
        <f>COUNTIFS('Raw data'!$D:$D,"*Louie Briggs*", 'Raw data'!$H:$H,"*Half-space Runs*")</f>
        <v>0</v>
      </c>
      <c r="GV41" s="8">
        <f t="shared" ref="GV41:GV56" si="205">SUM(GJ41,HA41,HF41)</f>
        <v>0</v>
      </c>
      <c r="GW41" s="8">
        <f t="shared" ref="GW41:GW56" si="206">SUM(GK41,HB41,HG41)</f>
        <v>0</v>
      </c>
      <c r="GX41" s="8">
        <f t="shared" ref="GX41:GX56" si="207">SUM(GL41,HC41,HH41)</f>
        <v>0</v>
      </c>
      <c r="GY41" s="54" t="str">
        <f t="shared" ref="GY41:GY56" si="208">IFERROR(GW41/$GV41,"-")</f>
        <v>-</v>
      </c>
      <c r="GZ41" s="54" t="str">
        <f t="shared" ref="GZ41:GZ56" si="209">IFERROR(GX41/$GV41,"-")</f>
        <v>-</v>
      </c>
      <c r="HA41" s="8">
        <f>COUNTIFS('Raw data'!$D:$D,"*Louie Briggs*", 'Raw data'!$K:$K,"*Ground duel*")</f>
        <v>0</v>
      </c>
      <c r="HB41" s="8">
        <f>COUNTIFS('Raw data'!$D:$D,"*Louie Briggs*", 'Raw data'!$K:$K,"*Ground duel*",'Raw data'!$M:$M,"*Duel Succeeded*")</f>
        <v>0</v>
      </c>
      <c r="HC41" s="8">
        <f>COUNTIFS('Raw data'!$D:$D,"*Louie Briggs*", 'Raw data'!$K:$K,"*Ground duel*",'Raw data'!$M:$M,"*Duel Unsucceeded*")</f>
        <v>0</v>
      </c>
      <c r="HD41" s="54" t="str">
        <f t="shared" ref="HD41:HD56" si="210">IFERROR(HB41/$HA41,"-")</f>
        <v>-</v>
      </c>
      <c r="HE41" s="54" t="str">
        <f t="shared" ref="HE41:HE56" si="211">IFERROR(HC41/$HA41,"-")</f>
        <v>-</v>
      </c>
      <c r="HF41" s="8">
        <f>COUNTIFS('Raw data'!$D:$D,"*Louie Briggs*", 'Raw data'!$K:$K,"*Aerial duel*")</f>
        <v>0</v>
      </c>
      <c r="HG41" s="8">
        <f>COUNTIFS('Raw data'!$D:$D,"*Louie Briggs*", 'Raw data'!$K:$K,"*Aerial duel*",'Raw data'!$M:$M,"*Duel Succeeded*")</f>
        <v>0</v>
      </c>
      <c r="HH41" s="8">
        <f>COUNTIFS('Raw data'!$D:$D,"*Louie Briggs*", 'Raw data'!$K:$K,"*Aerial duel*",'Raw data'!$M:$M,"*Duel Unsucceeded*")</f>
        <v>0</v>
      </c>
      <c r="HI41" s="54" t="str">
        <f t="shared" ref="HI41:HI56" si="212">IFERROR(HG41/$HG41,"-")</f>
        <v>-</v>
      </c>
      <c r="HJ41" s="54" t="str">
        <f t="shared" ref="HJ41:HJ56" si="213">IFERROR(HH41/$HG41,"-")</f>
        <v>-</v>
      </c>
      <c r="HK41" s="8">
        <f>COUNTIFS('Raw data'!$D:$D,"*Louie Briggs*", 'Raw data'!$K:$K,"*1v1 defense*")</f>
        <v>0</v>
      </c>
      <c r="HL41" s="8">
        <f>COUNTIFS('Raw data'!$D:$D,"*Louie Briggs*", 'Raw data'!$K:$K,"*1v1 defense*",'Raw data'!$M:$M,"*Duel Succeeded*")</f>
        <v>0</v>
      </c>
      <c r="HM41" s="8">
        <f>COUNTIFS('Raw data'!$D:$D,"*Louie Briggs*", 'Raw data'!$K:$K,"*1v1 defense*",'Raw data'!$M:$M,"*Duel Unsucceeded*")</f>
        <v>0</v>
      </c>
      <c r="HN41" s="54" t="str">
        <f t="shared" ref="HN41:HN56" si="214">IFERROR(HL41/$HK41,"-")</f>
        <v>-</v>
      </c>
      <c r="HO41" s="54" t="str">
        <f t="shared" ref="HO41:HO56" si="215">IFERROR(HM41/$HK41,"-")</f>
        <v>-</v>
      </c>
      <c r="HP41" s="8">
        <f>COUNTIFS('Raw data'!$D:$D,"*Louie Briggs*", 'Raw data'!$J:$J,"*Tackles*")</f>
        <v>0</v>
      </c>
      <c r="HQ41" s="8">
        <f>COUNTIFS('Raw data'!$D:$D,"*Louie Briggs*", 'Raw data'!$J:$J,"*Tackles*", 'Raw data'!$M:$M,"*Duel Succeeded*")</f>
        <v>0</v>
      </c>
      <c r="HR41" s="8">
        <f>COUNTIFS('Raw data'!$D:$D,"*Louie Briggs*", 'Raw data'!$J:$J,"*Tackles*", 'Raw data'!$M:$M,"*Duel Unsucceeded*")</f>
        <v>0</v>
      </c>
      <c r="HS41" s="54" t="str">
        <f t="shared" ref="HS41:HS56" si="216">IFERROR(HQ41/$HP41,"-")</f>
        <v>-</v>
      </c>
      <c r="HT41" s="54" t="str">
        <f t="shared" ref="HT41:HT56" si="217">IFERROR(HR41/$HP41,"-")</f>
        <v>-</v>
      </c>
      <c r="HU41" s="8">
        <f>COUNTIFS('Raw data'!$D:$D,"*Louie Briggs*", 'Raw data'!$K:$K,"*2nd Balls*")</f>
        <v>0</v>
      </c>
      <c r="HV41" s="8">
        <f>COUNTIFS('Raw data'!$D:$D,"*Louie Briggs*", 'Raw data'!$K:$K,"*2nd Balls*", 'Raw data'!$M:$M,"*Duel Succeeded*")</f>
        <v>0</v>
      </c>
      <c r="HW41" s="8">
        <f>COUNTIFS('Raw data'!$D:$D,"*Louie Briggs*", 'Raw data'!$K:$K,"*2nd Balls*", 'Raw data'!$M:$M,"*Duel Unsucceeded*")</f>
        <v>0</v>
      </c>
      <c r="HX41" s="54" t="str">
        <f t="shared" ref="HX41:HX56" si="218">IFERROR(HV41/$HU41,"-")</f>
        <v>-</v>
      </c>
      <c r="HY41" s="54" t="str">
        <f t="shared" ref="HY41:HY56" si="219">IFERROR(HW41/$HU41,"-")</f>
        <v>-</v>
      </c>
      <c r="HZ41" s="8">
        <f>COUNTIFS('Raw data'!$D:$D,"*Louie Briggs*", 'Raw data'!$J:$J,"*Clearance*")</f>
        <v>0</v>
      </c>
      <c r="IA41" s="8">
        <f>COUNTIFS('Raw data'!$D:$D,"*Louie Briggs*", 'Raw data'!$J:$J,"*Interception*")</f>
        <v>0</v>
      </c>
      <c r="IB41" s="8">
        <f>COUNTIFS('Raw data'!$D:$D,"*Louie Briggs*", 'Raw data'!$J:$J,"*Turnover Won*")</f>
        <v>0</v>
      </c>
      <c r="IC41" s="8">
        <f>COUNTIFS('Raw data'!$D:$D,"*Louie Briggs*", 'Raw data'!$J:$J,"*Recovery*")</f>
        <v>0</v>
      </c>
      <c r="ID41" s="8">
        <f>COUNTIFS('Raw data'!$D:$D,"*Louie Briggs*", 'Raw data'!$J:$J,"*Blocked Shots*")</f>
        <v>0</v>
      </c>
      <c r="IE41" s="8">
        <f>COUNTIFS('Raw data'!$D:$D,"*Louie Briggs*", 'Raw data'!$J:$J,"*Man-marking*")</f>
        <v>0</v>
      </c>
      <c r="IF41" s="8">
        <f>COUNTIFS('Raw data'!$D:$D,"*Louie Briggs*", 'Raw data'!$J:$J,"*Fouls*")</f>
        <v>0</v>
      </c>
      <c r="IG41" s="8">
        <f>COUNTIFS('Raw data'!$D:$D,"*Louie Briggs*", 'Raw data'!$J:$J,"*Won F*")</f>
        <v>0</v>
      </c>
      <c r="IH41" s="8">
        <f>COUNTIFS('Raw data'!$D:$D,"*Louie Briggs*", 'Raw data'!$G:$G,"*1v1*")</f>
        <v>0</v>
      </c>
      <c r="II41" s="8">
        <f>COUNTIFS('Raw data'!$D:$D,"*Louie Briggs*", 'Raw data'!$G:$G,"*On Target*")</f>
        <v>0</v>
      </c>
      <c r="IJ41" s="8">
        <f>COUNTIFS('Raw data'!$D:$D,"*Louie Briggs*", 'Raw data'!$G:$G,"*Off Target*")</f>
        <v>0</v>
      </c>
      <c r="IK41" s="8">
        <f>COUNTIFS('Raw data'!$D:$D,"*Louie Briggs*", 'Raw data'!$G:$G,"*Defend the Space*")</f>
        <v>5</v>
      </c>
      <c r="IL41" s="8">
        <f>COUNTIFS('Raw data'!$D:$D,"*Louie Briggs*", 'Raw data'!$G:$G,"*Conceded*")</f>
        <v>0</v>
      </c>
      <c r="IM41" s="8">
        <f>COUNTIFS('Raw data'!$D:$D,"*Louie Briggs*", 'Raw data'!$G:$G,"*Save*")</f>
        <v>0</v>
      </c>
      <c r="IN41" s="8">
        <f>COUNTIFS('Raw data'!$D:$D,"*Louie Briggs*", 'Raw data'!$G:$G,"*Defend the line (Cross)*")</f>
        <v>0</v>
      </c>
      <c r="IO41" s="8">
        <f>COUNTIFS('Raw data'!$D:$D,"*Louie Briggs*", 'Raw data'!$G:$G,"*Counter Kick*")</f>
        <v>0</v>
      </c>
      <c r="IP41" t="s">
        <v>642</v>
      </c>
    </row>
    <row r="42" spans="3:250">
      <c r="DW42" t="s">
        <v>501</v>
      </c>
      <c r="DX42" t="s">
        <v>652</v>
      </c>
      <c r="DY42">
        <v>40</v>
      </c>
      <c r="DZ42" t="s">
        <v>152</v>
      </c>
      <c r="EA42">
        <f t="shared" ref="EA42" si="220">EB42+EC42</f>
        <v>36</v>
      </c>
      <c r="EB42" s="8">
        <f t="shared" ref="EB42" si="221">EG42+EL42+EQ42</f>
        <v>27</v>
      </c>
      <c r="EC42" s="8">
        <f t="shared" ref="EC42" si="222">EH42+EM42+ER42</f>
        <v>9</v>
      </c>
      <c r="ED42" s="54">
        <f t="shared" ref="ED42" si="223">IFERROR(EB42/$EA42,"-")</f>
        <v>0.75</v>
      </c>
      <c r="EE42" s="54">
        <f t="shared" ref="EE42" si="224">IFERROR(EC42/$EA42,"-")</f>
        <v>0.25</v>
      </c>
      <c r="EF42">
        <f t="shared" ref="EF42" si="225">EG42+EH42</f>
        <v>21</v>
      </c>
      <c r="EG42">
        <f>COUNTIFS('Raw data'!$D:$D,"*Joshua Harrup*", 'Raw data'!$I:$I,"*Forward Pass*",'Raw data'!$M:$M,"*Pass completed*")</f>
        <v>14</v>
      </c>
      <c r="EH42">
        <f>COUNTIFS('Raw data'!$D:$D,"*Joshua Harrup*", 'Raw data'!$I:$I,"*Forward Pass*",'Raw data'!$M:$M,"*Pass Uncompleted*")</f>
        <v>7</v>
      </c>
      <c r="EI42" s="54">
        <f t="shared" ref="EI42" si="226">IFERROR(EG42/$EF42,"-")</f>
        <v>0.66666666666666663</v>
      </c>
      <c r="EJ42" s="54">
        <f t="shared" ref="EJ42" si="227">IFERROR(EH42/$EF42,"-")</f>
        <v>0.33333333333333331</v>
      </c>
      <c r="EK42">
        <f t="shared" ref="EK42" si="228">EL42+EM42</f>
        <v>15</v>
      </c>
      <c r="EL42" s="8">
        <f>COUNTIFS('Raw data'!$D:$D,"*Joshua Harrup*", 'Raw data'!$I:$I,"*Lateral Pass*",'Raw data'!$M:$M,"*Pass completed*")</f>
        <v>13</v>
      </c>
      <c r="EM42" s="8">
        <f>COUNTIFS('Raw data'!$D:$D,"*Joshua Harrup*", 'Raw data'!$I:$I,"*Lateral Pass*",'Raw data'!$M:$M,"*Pass Uncompleted*")</f>
        <v>2</v>
      </c>
      <c r="EN42" s="54">
        <f t="shared" ref="EN42" si="229">IFERROR(EL42/$EK42,"-")</f>
        <v>0.8666666666666667</v>
      </c>
      <c r="EO42" s="54">
        <f t="shared" ref="EO42" si="230">IFERROR(EM42/$EK42,"-")</f>
        <v>0.13333333333333333</v>
      </c>
      <c r="EP42">
        <f t="shared" ref="EP42" si="231">EQ42+ER42</f>
        <v>0</v>
      </c>
      <c r="EQ42" s="8">
        <f>COUNTIFS('Raw data'!$D:$D,"*Joshua Harrup*", 'Raw data'!$I:$I,"*Backward Pass*",'Raw data'!$M:$M,"*Pass completed*")</f>
        <v>0</v>
      </c>
      <c r="ER42" s="8">
        <f>COUNTIFS('Raw data'!$D:$D,"*Joshua Harrup*", 'Raw data'!$I:$I,"*Backward Pass*",'Raw data'!$M:$M,"*Pass Uncompleted*")</f>
        <v>0</v>
      </c>
      <c r="ES42" s="54" t="str">
        <f t="shared" ref="ES42" si="232">IFERROR(EQ42/$EQ42,"-")</f>
        <v>-</v>
      </c>
      <c r="ET42" s="54" t="str">
        <f t="shared" ref="ET42" si="233">IFERROR(ER42/$EQ42,"-")</f>
        <v>-</v>
      </c>
      <c r="EU42" s="8">
        <f>COUNTIFS('Raw data'!$D:$D,"*Joshua Harrup*", 'Raw data'!$I:$I,"*Long Kick*")</f>
        <v>7</v>
      </c>
      <c r="EV42" s="8">
        <f>COUNTIFS('Raw data'!$D:$D,"*Joshua Harrup*", 'Raw data'!$I:$I,"*Long Kick*",'Raw data'!$M:$M,"*Pass completed*")</f>
        <v>4</v>
      </c>
      <c r="EW42" s="8">
        <f>COUNTIFS('Raw data'!$D:$D,"*Joshua Harrup*", 'Raw data'!$I:$I,"*Long Kick*",'Raw data'!$M:$M,"*Pass Uncompleted*")</f>
        <v>5</v>
      </c>
      <c r="EX42" s="54">
        <f t="shared" ref="EX42" si="234">IFERROR(EV42/$EU42,"-")</f>
        <v>0.5714285714285714</v>
      </c>
      <c r="EY42" s="54">
        <f t="shared" ref="EY42" si="235">IFERROR(EW42/$EU42,"-")</f>
        <v>0.7142857142857143</v>
      </c>
      <c r="EZ42" s="8">
        <f>COUNTIFS('Raw data'!$D:$D,"*Joshua Harrup*", 'Raw data'!$I:$I,"*Balls in Behind*")</f>
        <v>2</v>
      </c>
      <c r="FA42" s="8">
        <f>COUNTIFS('Raw data'!$D:$D,"*Joshua Harrup*", 'Raw data'!$I:$I,"*Balls in Behind*",'Raw data'!$M:$M,"*Pass completed*")</f>
        <v>2</v>
      </c>
      <c r="FB42" s="8">
        <f>COUNTIFS('Raw data'!$D:$D,"*Joshua Harrup*", 'Raw data'!$I:$I,"*Balls in Behind*",'Raw data'!$M:$M,"*Pass Uncompleted*")</f>
        <v>2</v>
      </c>
      <c r="FC42" s="54">
        <f t="shared" ref="FC42" si="236">IFERROR(FA42/$EZ42,"-")</f>
        <v>1</v>
      </c>
      <c r="FD42" s="54">
        <f t="shared" ref="FD42" si="237">IFERROR(FB42/$EZ42,"-")</f>
        <v>1</v>
      </c>
      <c r="FE42" s="8">
        <f>COUNTIFS('Raw data'!$D:$D,"*Joshua Harrup*", 'Raw data'!$I:$I,"*Key/Through pass*")</f>
        <v>0</v>
      </c>
      <c r="FF42" s="8">
        <f>COUNTIFS('Raw data'!$D:$D,"*Joshua Harrup*", 'Raw data'!$I:$I,"*Diagonal pass*")</f>
        <v>0</v>
      </c>
      <c r="FG42" s="8">
        <f>COUNTIFS('Raw data'!$D:$D,"*Joshua Harrup*", 'Raw data'!$I:$I,"*Diagonal pass*",'Raw data'!$M:$M,"*Pass completed*")</f>
        <v>0</v>
      </c>
      <c r="FH42" s="8">
        <f>COUNTIFS('Raw data'!$D:$D,"*Joshua Harrup*", 'Raw data'!$I:$I,"*Diagonal pass*",'Raw data'!$M:$M,"*Pass Uncompleted*")</f>
        <v>0</v>
      </c>
      <c r="FI42" s="54" t="str">
        <f t="shared" ref="FI42" si="238">IFERROR(FG42/$FF42,"-")</f>
        <v>-</v>
      </c>
      <c r="FJ42" s="54" t="str">
        <f t="shared" ref="FJ42" si="239">IFERROR(FH42/$FF42,"-")</f>
        <v>-</v>
      </c>
      <c r="FK42" s="8">
        <f>COUNTIFS('Raw data'!$D:$D,"*Joshua Harrup*", 'Raw data'!$M:$M,"*Pass Received*")</f>
        <v>20</v>
      </c>
      <c r="FL42" s="8">
        <f>COUNTIFS('Raw data'!$D:$D,"*Joshua Harrup*", 'Raw data'!$M:$M,"*Pass Completed*",'Raw data'!$M:$M,"*Pass Received*")</f>
        <v>17</v>
      </c>
      <c r="FM42" s="8">
        <f>COUNTIFS('Raw data'!$D:$D,"*Joshua Harrup*", 'Raw data'!$M:$M,"*Pass Uncompleted*",'Raw data'!$M:$M,"*Pass Received*")</f>
        <v>5</v>
      </c>
      <c r="FN42" s="8">
        <f>COUNTIFS('Raw data'!$D:$D,"*Joshua Harrup*", 'Raw data'!$M:$M,"*Kept Possession*",'Raw data'!$M:$M,"*Pass Received*")</f>
        <v>0</v>
      </c>
      <c r="FO42" s="8">
        <f>COUNTIFS('Raw data'!$D:$D,"*Joshua Harrup*", 'Raw data'!$M:$M,"*Lost Possession*")</f>
        <v>0</v>
      </c>
      <c r="FP42" s="8">
        <f>COUNTIFS('Raw data'!$D:$D,"*Joshua Harrup*", 'Raw data'!$M:$M,"*Lost Possession*",'Raw data'!$M:$M,"*Lost Final 1/3*")</f>
        <v>0</v>
      </c>
      <c r="FQ42" s="8">
        <f>COUNTIFS('Raw data'!$D:$D,"*Joshua Harrup*", 'Raw data'!$M:$M,"*Lost Possession*",'Raw data'!$M:$M,"*Lost Middle 1/3*")</f>
        <v>0</v>
      </c>
      <c r="FR42" s="8">
        <f>COUNTIFS('Raw data'!$D:$D,"*Joshua Harrup*", 'Raw data'!$M:$M,"*Lost Possession*",'Raw data'!$M:$M,"*Lost Own 1/3*")</f>
        <v>0</v>
      </c>
      <c r="FS42" s="8">
        <f>COUNTIFS('Raw data'!$D:$D,"*Joshua Harrup*", 'Raw data'!$H:$H,"*Touches in the Box*")</f>
        <v>0</v>
      </c>
      <c r="FT42" s="8">
        <f>COUNTIFS('Raw data'!$D:$D,"*Joshua Harrup*", 'Raw data'!$H:$H,"*1v1 Attack*")</f>
        <v>1</v>
      </c>
      <c r="FU42" s="8">
        <f>COUNTIFS('Raw data'!$D:$D,"*Joshua Harrup*", 'Raw data'!$H:$H,"*1v1 Attack*",'Raw data'!$H:$H,"*1v1 Attack*",'Raw data'!$M:$M,"*Kept Possession*")</f>
        <v>1</v>
      </c>
      <c r="FV42" s="8">
        <f>COUNTIFS('Raw data'!$D:$D,"*Joshua Harrup*", 'Raw data'!$H:$H,"*1v1 Attack*",'Raw data'!$H:$H,"*1v1 Attack*",'Raw data'!$M:$M,"*Lost Possession*")</f>
        <v>0</v>
      </c>
      <c r="FW42" s="54">
        <f t="shared" ref="FW42" si="240">IFERROR(FU42/$FT42,"-")</f>
        <v>1</v>
      </c>
      <c r="FX42" s="54">
        <f t="shared" ref="FX42" si="241">IFERROR(FV42/$FT42,"-")</f>
        <v>0</v>
      </c>
      <c r="FY42" s="8">
        <f>COUNTIFS('Raw data'!$D:$D,"*Joshua Harrup*", 'Raw data'!$I:$I,"*Cross*")</f>
        <v>0</v>
      </c>
      <c r="FZ42" s="8">
        <f>COUNTIFS('Raw data'!$D:$D,"*Joshua Harrup*", 'Raw data'!$I:$I,"*Cross*",'Raw data'!$M:$M,"*Pass Completed*")</f>
        <v>0</v>
      </c>
      <c r="GA42" s="8">
        <f>COUNTIFS('Raw data'!$D:$D,"*Joshua Harrup*", 'Raw data'!$I:$I,"*Cross*",'Raw data'!$M:$M,"*Pass Uncompleted*")</f>
        <v>0</v>
      </c>
      <c r="GB42" s="54" t="str">
        <f t="shared" ref="GB42" si="242">IFERROR(FZ42/$FY42,"-")</f>
        <v>-</v>
      </c>
      <c r="GC42" s="54" t="str">
        <f t="shared" ref="GC42" si="243">IFERROR(GA42/$FY42,"-")</f>
        <v>-</v>
      </c>
      <c r="GD42" s="8">
        <f t="shared" ref="GD42" si="244">SUM(GE42:GG42)</f>
        <v>0</v>
      </c>
      <c r="GE42" s="8">
        <f>COUNTIFS('Raw data'!$D:$D,"*Joshua Harrup*", 'Raw data'!$L:$L,"*On Target*")</f>
        <v>0</v>
      </c>
      <c r="GF42" s="8">
        <f>COUNTIFS('Raw data'!$D:$D,"*Joshua Harrup*", 'Raw data'!$L:$L,"*Off Target*")</f>
        <v>0</v>
      </c>
      <c r="GG42" s="8">
        <f>COUNTIFS('Raw data'!$D:$D,"*Joshua Harrup*", 'Raw data'!$L:$L,"*Blocked*")</f>
        <v>0</v>
      </c>
      <c r="GH42" s="8">
        <f>COUNTIFS('Raw data'!$D:$D,"*Joshua Harrup*", 'Raw data'!$M:$M,"*Goal*")</f>
        <v>0</v>
      </c>
      <c r="GI42" s="8">
        <f>COUNTIFS('Raw data'!$D:$D,"*Joshua Harrup*", 'Raw data'!$M:$M,"*Assist*")</f>
        <v>0</v>
      </c>
      <c r="GJ42" s="8">
        <f>COUNTIFS('Raw data'!$D:$D,"*Joshua Harrup*", 'Raw data'!$H:$H,"*Offensive duel*")</f>
        <v>0</v>
      </c>
      <c r="GK42" s="8">
        <f>COUNTIFS('Raw data'!$D:$D,"*Joshua Harrup*", 'Raw data'!$H:$H,"*Offensive Duel*",'Raw data'!$H:$H,"*Offensive Duel*",'Raw data'!$M:$M,"*Kept Possession*")</f>
        <v>0</v>
      </c>
      <c r="GL42" s="8">
        <f>COUNTIFS('Raw data'!$D:$D,"*Joshua Harrup*", 'Raw data'!$H:$H,"*Offensive Duel*",'Raw data'!$H:$H,"*Offensive Duel*",'Raw data'!$M:$M,"*Lost Possession*")</f>
        <v>0</v>
      </c>
      <c r="GM42" s="54" t="str">
        <f t="shared" ref="GM42" si="245">IFERROR(GK42/$GJ42,"-")</f>
        <v>-</v>
      </c>
      <c r="GN42" s="54" t="str">
        <f t="shared" ref="GN42" si="246">IFERROR(GL42/$GJ42,"-")</f>
        <v>-</v>
      </c>
      <c r="GO42" s="8">
        <f>COUNTIFS('Raw data'!$D:$D,"*Joshua Harrup*", 'Raw data'!$H:$H,"*Acceleration*")</f>
        <v>0</v>
      </c>
      <c r="GP42" s="8">
        <f>COUNTIFS('Raw data'!$D:$D,"*Joshua Harrup*", 'Raw data'!$H:$H,"*Move into Pocket*")</f>
        <v>0</v>
      </c>
      <c r="GQ42" s="8">
        <f>COUNTIFS('Raw data'!$D:$D,"*Joshua Harrup*", 'Raw data'!$H:$H,"*Wide area*")</f>
        <v>0</v>
      </c>
      <c r="GR42" s="8">
        <f>COUNTIFS('Raw data'!$D:$D,"*Joshua Harrup*", 'Raw data'!$H:$H,"*Back to goal*")</f>
        <v>0</v>
      </c>
      <c r="GS42" s="8">
        <f>COUNTIFS('Raw data'!$D:$D,"*Joshua Harrup*", 'Raw data'!$H:$H,"*Over/Underlaps*")</f>
        <v>0</v>
      </c>
      <c r="GT42" s="8">
        <f>COUNTIFS('Raw data'!$D:$D,"*Joshua Harrup*", 'Raw data'!$H:$H,"*Runs in Behind*")</f>
        <v>0</v>
      </c>
      <c r="GU42" s="8">
        <f>COUNTIFS('Raw data'!$D:$D,"*Joshua Harrup*", 'Raw data'!$H:$H,"*Half-space Runs*")</f>
        <v>0</v>
      </c>
      <c r="GV42" s="8">
        <f t="shared" ref="GV42" si="247">SUM(GJ42,HA42,HF42)</f>
        <v>0</v>
      </c>
      <c r="GW42" s="8">
        <f t="shared" ref="GW42" si="248">SUM(GK42,HB42,HG42)</f>
        <v>0</v>
      </c>
      <c r="GX42" s="8">
        <f t="shared" ref="GX42" si="249">SUM(GL42,HC42,HH42)</f>
        <v>0</v>
      </c>
      <c r="GY42" s="54" t="str">
        <f t="shared" ref="GY42" si="250">IFERROR(GW42/$GV42,"-")</f>
        <v>-</v>
      </c>
      <c r="GZ42" s="54" t="str">
        <f t="shared" ref="GZ42" si="251">IFERROR(GX42/$GV42,"-")</f>
        <v>-</v>
      </c>
      <c r="HA42" s="8">
        <f>COUNTIFS('Raw data'!$D:$D,"*Joshua Harrup*", 'Raw data'!$K:$K,"*Ground duel*")</f>
        <v>0</v>
      </c>
      <c r="HB42" s="8">
        <f>COUNTIFS('Raw data'!$D:$D,"*Joshua Harrup*", 'Raw data'!$K:$K,"*Ground duel*",'Raw data'!$M:$M,"*Duel Succeeded*")</f>
        <v>0</v>
      </c>
      <c r="HC42" s="8">
        <f>COUNTIFS('Raw data'!$D:$D,"*Joshua Harrup*", 'Raw data'!$K:$K,"*Ground duel*",'Raw data'!$M:$M,"*Duel Unsucceeded*")</f>
        <v>0</v>
      </c>
      <c r="HD42" s="54" t="str">
        <f t="shared" ref="HD42" si="252">IFERROR(HB42/$HA42,"-")</f>
        <v>-</v>
      </c>
      <c r="HE42" s="54" t="str">
        <f t="shared" ref="HE42" si="253">IFERROR(HC42/$HA42,"-")</f>
        <v>-</v>
      </c>
      <c r="HF42" s="8">
        <f>COUNTIFS('Raw data'!$D:$D,"*Joshua Harrup*", 'Raw data'!$K:$K,"*Aerial duel*")</f>
        <v>0</v>
      </c>
      <c r="HG42" s="8">
        <f>COUNTIFS('Raw data'!$D:$D,"*Joshua Harrup*", 'Raw data'!$K:$K,"*Aerial duel*",'Raw data'!$M:$M,"*Duel Succeeded*")</f>
        <v>0</v>
      </c>
      <c r="HH42" s="8">
        <f>COUNTIFS('Raw data'!$D:$D,"*Joshua Harrup*", 'Raw data'!$K:$K,"*Aerial duel*",'Raw data'!$M:$M,"*Duel Unsucceeded*")</f>
        <v>0</v>
      </c>
      <c r="HI42" s="54" t="str">
        <f t="shared" ref="HI42" si="254">IFERROR(HG42/$HG42,"-")</f>
        <v>-</v>
      </c>
      <c r="HJ42" s="54" t="str">
        <f t="shared" ref="HJ42" si="255">IFERROR(HH42/$HG42,"-")</f>
        <v>-</v>
      </c>
      <c r="HK42" s="8">
        <f>COUNTIFS('Raw data'!$D:$D,"*Joshua Harrup*", 'Raw data'!$K:$K,"*1v1 defense*")</f>
        <v>0</v>
      </c>
      <c r="HL42" s="8">
        <f>COUNTIFS('Raw data'!$D:$D,"*Joshua Harrup*", 'Raw data'!$K:$K,"*1v1 defense*",'Raw data'!$M:$M,"*Duel Succeeded*")</f>
        <v>0</v>
      </c>
      <c r="HM42" s="8">
        <f>COUNTIFS('Raw data'!$D:$D,"*Joshua Harrup*", 'Raw data'!$K:$K,"*1v1 defense*",'Raw data'!$M:$M,"*Duel Unsucceeded*")</f>
        <v>0</v>
      </c>
      <c r="HN42" s="54" t="str">
        <f t="shared" ref="HN42" si="256">IFERROR(HL42/$HK42,"-")</f>
        <v>-</v>
      </c>
      <c r="HO42" s="54" t="str">
        <f t="shared" ref="HO42" si="257">IFERROR(HM42/$HK42,"-")</f>
        <v>-</v>
      </c>
      <c r="HP42" s="8">
        <f>COUNTIFS('Raw data'!$D:$D,"*Joshua Harrup*", 'Raw data'!$J:$J,"*Tackles*")</f>
        <v>0</v>
      </c>
      <c r="HQ42" s="8">
        <f>COUNTIFS('Raw data'!$D:$D,"*Joshua Harrup*", 'Raw data'!$J:$J,"*Tackles*", 'Raw data'!$M:$M,"*Duel Succeeded*")</f>
        <v>0</v>
      </c>
      <c r="HR42" s="8">
        <f>COUNTIFS('Raw data'!$D:$D,"*Joshua Harrup*", 'Raw data'!$J:$J,"*Tackles*", 'Raw data'!$M:$M,"*Duel Unsucceeded*")</f>
        <v>0</v>
      </c>
      <c r="HS42" s="54" t="str">
        <f t="shared" ref="HS42" si="258">IFERROR(HQ42/$HP42,"-")</f>
        <v>-</v>
      </c>
      <c r="HT42" s="54" t="str">
        <f t="shared" ref="HT42" si="259">IFERROR(HR42/$HP42,"-")</f>
        <v>-</v>
      </c>
      <c r="HU42" s="8">
        <f>COUNTIFS('Raw data'!$D:$D,"*Joshua Harrup*", 'Raw data'!$K:$K,"*2nd Balls*")</f>
        <v>0</v>
      </c>
      <c r="HV42" s="8">
        <f>COUNTIFS('Raw data'!$D:$D,"*Joshua Harrup*", 'Raw data'!$K:$K,"*2nd Balls*", 'Raw data'!$M:$M,"*Duel Succeeded*")</f>
        <v>0</v>
      </c>
      <c r="HW42" s="8">
        <f>COUNTIFS('Raw data'!$D:$D,"*Joshua Harrup*", 'Raw data'!$K:$K,"*2nd Balls*", 'Raw data'!$M:$M,"*Duel Unsucceeded*")</f>
        <v>0</v>
      </c>
      <c r="HX42" s="54" t="str">
        <f t="shared" ref="HX42" si="260">IFERROR(HV42/$HU42,"-")</f>
        <v>-</v>
      </c>
      <c r="HY42" s="54" t="str">
        <f t="shared" ref="HY42" si="261">IFERROR(HW42/$HU42,"-")</f>
        <v>-</v>
      </c>
      <c r="HZ42" s="8">
        <f>COUNTIFS('Raw data'!$D:$D,"*Joshua Harrup*", 'Raw data'!$J:$J,"*Clearance*")</f>
        <v>0</v>
      </c>
      <c r="IA42" s="8">
        <f>COUNTIFS('Raw data'!$D:$D,"*Joshua Harrup*", 'Raw data'!$J:$J,"*Interception*")</f>
        <v>0</v>
      </c>
      <c r="IB42" s="8">
        <f>COUNTIFS('Raw data'!$D:$D,"*Joshua Harrup*", 'Raw data'!$J:$J,"*Turnover Won*")</f>
        <v>0</v>
      </c>
      <c r="IC42" s="8">
        <f>COUNTIFS('Raw data'!$D:$D,"*Joshua Harrup*", 'Raw data'!$J:$J,"*Recovery*")</f>
        <v>0</v>
      </c>
      <c r="ID42" s="8">
        <f>COUNTIFS('Raw data'!$D:$D,"*Joshua Harrup*", 'Raw data'!$J:$J,"*Blocked Shots*")</f>
        <v>0</v>
      </c>
      <c r="IE42" s="8">
        <f>COUNTIFS('Raw data'!$D:$D,"*Joshua Harrup*", 'Raw data'!$J:$J,"*Man-marking*")</f>
        <v>0</v>
      </c>
      <c r="IF42" s="8">
        <f>COUNTIFS('Raw data'!$D:$D,"*Joshua Harrup*", 'Raw data'!$J:$J,"*Fouls*")</f>
        <v>0</v>
      </c>
      <c r="IG42" s="8">
        <f>COUNTIFS('Raw data'!$D:$D,"*Joshua Harrup*", 'Raw data'!$J:$J,"*Won F*")</f>
        <v>0</v>
      </c>
      <c r="IH42" s="8">
        <f>COUNTIFS('Raw data'!$D:$D,"*Joshua Harrup*", 'Raw data'!$G:$G,"*1v1*")</f>
        <v>0</v>
      </c>
      <c r="II42" s="8">
        <f>COUNTIFS('Raw data'!$D:$D,"*Joshua Harrup*", 'Raw data'!$G:$G,"*On Target*")</f>
        <v>3</v>
      </c>
      <c r="IJ42" s="8">
        <f>COUNTIFS('Raw data'!$D:$D,"*Joshua Harrup*", 'Raw data'!$G:$G,"*Off Target*")</f>
        <v>1</v>
      </c>
      <c r="IK42" s="8">
        <f>COUNTIFS('Raw data'!$D:$D,"*Joshua Harrup*", 'Raw data'!$G:$G,"*Defend the Space*")</f>
        <v>2</v>
      </c>
      <c r="IL42" s="8">
        <f>COUNTIFS('Raw data'!$D:$D,"*Joshua Harrup*", 'Raw data'!$G:$G,"*Conceded*")</f>
        <v>1</v>
      </c>
      <c r="IM42" s="8">
        <f>COUNTIFS('Raw data'!$D:$D,"*Joshua Harrup*", 'Raw data'!$G:$G,"*Save*")</f>
        <v>0</v>
      </c>
      <c r="IN42" s="8">
        <f>COUNTIFS('Raw data'!$D:$D,"*Joshua Harrup*", 'Raw data'!$G:$G,"*Defend the line (Cross)*")</f>
        <v>0</v>
      </c>
      <c r="IO42" s="8">
        <f>COUNTIFS('Raw data'!$D:$D,"*Joshua Harrup*", 'Raw data'!$G:$G,"*Counter Kick*")</f>
        <v>0</v>
      </c>
      <c r="IP42" t="s">
        <v>652</v>
      </c>
    </row>
    <row r="43" spans="3:250">
      <c r="DW43" t="s">
        <v>501</v>
      </c>
      <c r="DX43" t="s">
        <v>649</v>
      </c>
      <c r="DY43">
        <v>40</v>
      </c>
      <c r="DZ43" t="s">
        <v>152</v>
      </c>
      <c r="EA43">
        <f t="shared" ref="EA43" si="262">EB43+EC43</f>
        <v>69</v>
      </c>
      <c r="EB43" s="8">
        <f t="shared" ref="EB43" si="263">EG43+EL43+EQ43</f>
        <v>56</v>
      </c>
      <c r="EC43" s="8">
        <f t="shared" ref="EC43" si="264">EH43+EM43+ER43</f>
        <v>13</v>
      </c>
      <c r="ED43" s="54">
        <f t="shared" ref="ED43" si="265">IFERROR(EB43/$EA43,"-")</f>
        <v>0.81159420289855078</v>
      </c>
      <c r="EE43" s="54">
        <f t="shared" ref="EE43" si="266">IFERROR(EC43/$EA43,"-")</f>
        <v>0.18840579710144928</v>
      </c>
      <c r="EF43">
        <f t="shared" ref="EF43" si="267">EG43+EH43</f>
        <v>31</v>
      </c>
      <c r="EG43">
        <f>COUNTIFS('Raw data'!$D:$D,"*Joshua Laotan*", 'Raw data'!$I:$I,"*Forward Pass*",'Raw data'!$M:$M,"*Pass completed*")</f>
        <v>21</v>
      </c>
      <c r="EH43">
        <f>COUNTIFS('Raw data'!$D:$D,"*Joshua Laotan*", 'Raw data'!$I:$I,"*Forward Pass*",'Raw data'!$M:$M,"*Pass Uncompleted*")</f>
        <v>10</v>
      </c>
      <c r="EI43" s="54">
        <f t="shared" ref="EI43" si="268">IFERROR(EG43/$EF43,"-")</f>
        <v>0.67741935483870963</v>
      </c>
      <c r="EJ43" s="54">
        <f t="shared" ref="EJ43" si="269">IFERROR(EH43/$EF43,"-")</f>
        <v>0.32258064516129031</v>
      </c>
      <c r="EK43">
        <f t="shared" ref="EK43" si="270">EL43+EM43</f>
        <v>27</v>
      </c>
      <c r="EL43" s="8">
        <f>COUNTIFS('Raw data'!$D:$D,"*Joshua Laotan*", 'Raw data'!$I:$I,"*Lateral Pass*",'Raw data'!$M:$M,"*Pass completed*")</f>
        <v>24</v>
      </c>
      <c r="EM43" s="8">
        <f>COUNTIFS('Raw data'!$D:$D,"*Joshua Laotan*", 'Raw data'!$I:$I,"*Lateral Pass*",'Raw data'!$M:$M,"*Pass Uncompleted*")</f>
        <v>3</v>
      </c>
      <c r="EN43" s="54">
        <f t="shared" ref="EN43" si="271">IFERROR(EL43/$EK43,"-")</f>
        <v>0.88888888888888884</v>
      </c>
      <c r="EO43" s="54">
        <f t="shared" ref="EO43" si="272">IFERROR(EM43/$EK43,"-")</f>
        <v>0.1111111111111111</v>
      </c>
      <c r="EP43">
        <f t="shared" ref="EP43" si="273">EQ43+ER43</f>
        <v>11</v>
      </c>
      <c r="EQ43" s="8">
        <f>COUNTIFS('Raw data'!$D:$D,"*Joshua Laotan*", 'Raw data'!$I:$I,"*Backward Pass*",'Raw data'!$M:$M,"*Pass completed*")</f>
        <v>11</v>
      </c>
      <c r="ER43" s="8">
        <f>COUNTIFS('Raw data'!$D:$D,"*Joshua Laotan*", 'Raw data'!$I:$I,"*Backward Pass*",'Raw data'!$M:$M,"*Pass Uncompleted*")</f>
        <v>0</v>
      </c>
      <c r="ES43" s="54">
        <f t="shared" ref="ES43" si="274">IFERROR(EQ43/$EQ43,"-")</f>
        <v>1</v>
      </c>
      <c r="ET43" s="54">
        <f t="shared" ref="ET43" si="275">IFERROR(ER43/$EQ43,"-")</f>
        <v>0</v>
      </c>
      <c r="EU43" s="8">
        <f>COUNTIFS('Raw data'!$D:$D,"*Joshua Laotan*", 'Raw data'!$I:$I,"*Long Kick*")</f>
        <v>6</v>
      </c>
      <c r="EV43" s="8">
        <f>COUNTIFS('Raw data'!$D:$D,"*Joshua Laotan*", 'Raw data'!$I:$I,"*Long Kick*",'Raw data'!$M:$M,"*Pass completed*")</f>
        <v>3</v>
      </c>
      <c r="EW43" s="8">
        <f>COUNTIFS('Raw data'!$D:$D,"*Joshua Laotan*", 'Raw data'!$I:$I,"*Long Kick*",'Raw data'!$M:$M,"*Pass Uncompleted*")</f>
        <v>3</v>
      </c>
      <c r="EX43" s="54">
        <f t="shared" ref="EX43" si="276">IFERROR(EV43/$EU43,"-")</f>
        <v>0.5</v>
      </c>
      <c r="EY43" s="54">
        <f t="shared" ref="EY43" si="277">IFERROR(EW43/$EU43,"-")</f>
        <v>0.5</v>
      </c>
      <c r="EZ43" s="8">
        <f>COUNTIFS('Raw data'!$D:$D,"*Joshua Laotan*", 'Raw data'!$I:$I,"*Balls in Behind*")</f>
        <v>7</v>
      </c>
      <c r="FA43" s="8">
        <f>COUNTIFS('Raw data'!$D:$D,"*Joshua Laotan*", 'Raw data'!$I:$I,"*Balls in Behind*",'Raw data'!$M:$M,"*Pass completed*")</f>
        <v>3</v>
      </c>
      <c r="FB43" s="8">
        <f>COUNTIFS('Raw data'!$D:$D,"*Joshua Laotan*", 'Raw data'!$I:$I,"*Balls in Behind*",'Raw data'!$M:$M,"*Pass Uncompleted*")</f>
        <v>5</v>
      </c>
      <c r="FC43" s="54">
        <f t="shared" ref="FC43" si="278">IFERROR(FA43/$EZ43,"-")</f>
        <v>0.42857142857142855</v>
      </c>
      <c r="FD43" s="54">
        <f t="shared" ref="FD43" si="279">IFERROR(FB43/$EZ43,"-")</f>
        <v>0.7142857142857143</v>
      </c>
      <c r="FE43" s="8">
        <f>COUNTIFS('Raw data'!$D:$D,"*Joshua Laotan*", 'Raw data'!$I:$I,"*Key/Through pass*")</f>
        <v>0</v>
      </c>
      <c r="FF43" s="8">
        <f>COUNTIFS('Raw data'!$D:$D,"*Joshua Laotan*", 'Raw data'!$I:$I,"*Diagonal pass*")</f>
        <v>0</v>
      </c>
      <c r="FG43" s="8">
        <f>COUNTIFS('Raw data'!$D:$D,"*Joshua Laotan*", 'Raw data'!$I:$I,"*Diagonal pass*",'Raw data'!$M:$M,"*Pass completed*")</f>
        <v>0</v>
      </c>
      <c r="FH43" s="8">
        <f>COUNTIFS('Raw data'!$D:$D,"*Joshua Laotan*", 'Raw data'!$I:$I,"*Diagonal pass*",'Raw data'!$M:$M,"*Pass Uncompleted*")</f>
        <v>0</v>
      </c>
      <c r="FI43" s="54" t="str">
        <f t="shared" ref="FI43" si="280">IFERROR(FG43/$FF43,"-")</f>
        <v>-</v>
      </c>
      <c r="FJ43" s="54" t="str">
        <f t="shared" ref="FJ43" si="281">IFERROR(FH43/$FF43,"-")</f>
        <v>-</v>
      </c>
      <c r="FK43" s="8">
        <f>COUNTIFS('Raw data'!$D:$D,"*Joshua Laotan*", 'Raw data'!$M:$M,"*Pass Received*")</f>
        <v>53</v>
      </c>
      <c r="FL43" s="8">
        <f>COUNTIFS('Raw data'!$D:$D,"*Joshua Laotan*", 'Raw data'!$M:$M,"*Pass Completed*",'Raw data'!$M:$M,"*Pass Received*")</f>
        <v>43</v>
      </c>
      <c r="FM43" s="8">
        <f>COUNTIFS('Raw data'!$D:$D,"*Joshua Laotan*", 'Raw data'!$M:$M,"*Pass Uncompleted*",'Raw data'!$M:$M,"*Pass Received*")</f>
        <v>11</v>
      </c>
      <c r="FN43" s="8">
        <f>COUNTIFS('Raw data'!$D:$D,"*Joshua Laotan*", 'Raw data'!$M:$M,"*Kept Possession*",'Raw data'!$M:$M,"*Pass Received*")</f>
        <v>4</v>
      </c>
      <c r="FO43" s="8">
        <f>COUNTIFS('Raw data'!$D:$D,"*Joshua Laotan*", 'Raw data'!$M:$M,"*Lost Possession*")</f>
        <v>3</v>
      </c>
      <c r="FP43" s="8">
        <f>COUNTIFS('Raw data'!$D:$D,"*Joshua Laotan*", 'Raw data'!$M:$M,"*Lost Possession*",'Raw data'!$M:$M,"*Lost Final 1/3*")</f>
        <v>0</v>
      </c>
      <c r="FQ43" s="8">
        <f>COUNTIFS('Raw data'!$D:$D,"*Joshua Laotan*", 'Raw data'!$M:$M,"*Lost Possession*",'Raw data'!$M:$M,"*Lost Middle 1/3*")</f>
        <v>3</v>
      </c>
      <c r="FR43" s="8">
        <f>COUNTIFS('Raw data'!$D:$D,"*Joshua Laotan*", 'Raw data'!$M:$M,"*Lost Possession*",'Raw data'!$M:$M,"*Lost Own 1/3*")</f>
        <v>0</v>
      </c>
      <c r="FS43" s="8">
        <f>COUNTIFS('Raw data'!$D:$D,"*Joshua Laotan*", 'Raw data'!$H:$H,"*Touches in the Box*")</f>
        <v>0</v>
      </c>
      <c r="FT43" s="8">
        <f>COUNTIFS('Raw data'!$D:$D,"*Joshua Laotan*", 'Raw data'!$H:$H,"*1v1 Attack*")</f>
        <v>3</v>
      </c>
      <c r="FU43" s="8">
        <f>COUNTIFS('Raw data'!$D:$D,"*Joshua Laotan*", 'Raw data'!$H:$H,"*1v1 Attack*",'Raw data'!$H:$H,"*1v1 Attack*",'Raw data'!$M:$M,"*Kept Possession*")</f>
        <v>3</v>
      </c>
      <c r="FV43" s="8">
        <f>COUNTIFS('Raw data'!$D:$D,"*Joshua Laotan*", 'Raw data'!$H:$H,"*1v1 Attack*",'Raw data'!$H:$H,"*1v1 Attack*",'Raw data'!$M:$M,"*Lost Possession*")</f>
        <v>0</v>
      </c>
      <c r="FW43" s="54">
        <f t="shared" ref="FW43" si="282">IFERROR(FU43/$FT43,"-")</f>
        <v>1</v>
      </c>
      <c r="FX43" s="54">
        <f t="shared" ref="FX43" si="283">IFERROR(FV43/$FT43,"-")</f>
        <v>0</v>
      </c>
      <c r="FY43" s="8">
        <f>COUNTIFS('Raw data'!$D:$D,"*Joshua Laotan*", 'Raw data'!$I:$I,"*Cross*")</f>
        <v>0</v>
      </c>
      <c r="FZ43" s="8">
        <f>COUNTIFS('Raw data'!$D:$D,"*Joshua Laotan*", 'Raw data'!$I:$I,"*Cross*",'Raw data'!$M:$M,"*Pass Completed*")</f>
        <v>0</v>
      </c>
      <c r="GA43" s="8">
        <f>COUNTIFS('Raw data'!$D:$D,"*Joshua Laotan*", 'Raw data'!$I:$I,"*Cross*",'Raw data'!$M:$M,"*Pass Uncompleted*")</f>
        <v>0</v>
      </c>
      <c r="GB43" s="54" t="str">
        <f t="shared" ref="GB43" si="284">IFERROR(FZ43/$FY43,"-")</f>
        <v>-</v>
      </c>
      <c r="GC43" s="54" t="str">
        <f t="shared" ref="GC43" si="285">IFERROR(GA43/$FY43,"-")</f>
        <v>-</v>
      </c>
      <c r="GD43" s="8">
        <f t="shared" ref="GD43" si="286">SUM(GE43:GG43)</f>
        <v>0</v>
      </c>
      <c r="GE43" s="8">
        <f>COUNTIFS('Raw data'!$D:$D,"*Joshua Laotan*", 'Raw data'!$L:$L,"*On Target*")</f>
        <v>0</v>
      </c>
      <c r="GF43" s="8">
        <f>COUNTIFS('Raw data'!$D:$D,"*Joshua Laotan*", 'Raw data'!$L:$L,"*Off Target*")</f>
        <v>0</v>
      </c>
      <c r="GG43" s="8">
        <f>COUNTIFS('Raw data'!$D:$D,"*Joshua Laotan*", 'Raw data'!$L:$L,"*Blocked*")</f>
        <v>0</v>
      </c>
      <c r="GH43" s="8">
        <f>COUNTIFS('Raw data'!$D:$D,"*Joshua Laotan*", 'Raw data'!$M:$M,"*Goal*")</f>
        <v>0</v>
      </c>
      <c r="GI43" s="8">
        <f>COUNTIFS('Raw data'!$D:$D,"*Joshua Laotan*", 'Raw data'!$M:$M,"*Assist*")</f>
        <v>0</v>
      </c>
      <c r="GJ43" s="8">
        <f>COUNTIFS('Raw data'!$D:$D,"*Joshua Laotan*", 'Raw data'!$H:$H,"*Offensive duel*")</f>
        <v>4</v>
      </c>
      <c r="GK43" s="8">
        <f>COUNTIFS('Raw data'!$D:$D,"*Joshua Laotan*", 'Raw data'!$H:$H,"*Offensive Duel*",'Raw data'!$H:$H,"*Offensive Duel*",'Raw data'!$M:$M,"*Kept Possession*")</f>
        <v>3</v>
      </c>
      <c r="GL43" s="8">
        <f>COUNTIFS('Raw data'!$D:$D,"*Joshua Laotan*", 'Raw data'!$H:$H,"*Offensive Duel*",'Raw data'!$H:$H,"*Offensive Duel*",'Raw data'!$M:$M,"*Lost Possession*")</f>
        <v>1</v>
      </c>
      <c r="GM43" s="54">
        <f t="shared" ref="GM43" si="287">IFERROR(GK43/$GJ43,"-")</f>
        <v>0.75</v>
      </c>
      <c r="GN43" s="54">
        <f t="shared" ref="GN43" si="288">IFERROR(GL43/$GJ43,"-")</f>
        <v>0.25</v>
      </c>
      <c r="GO43" s="8">
        <f>COUNTIFS('Raw data'!$D:$D,"*Joshua Laotan*", 'Raw data'!$H:$H,"*Acceleration*")</f>
        <v>4</v>
      </c>
      <c r="GP43" s="8">
        <f>COUNTIFS('Raw data'!$D:$D,"*Joshua Laotan*", 'Raw data'!$H:$H,"*Move into Pocket*")</f>
        <v>0</v>
      </c>
      <c r="GQ43" s="8">
        <f>COUNTIFS('Raw data'!$D:$D,"*Joshua Laotan*", 'Raw data'!$H:$H,"*Wide area*")</f>
        <v>0</v>
      </c>
      <c r="GR43" s="8">
        <f>COUNTIFS('Raw data'!$D:$D,"*Joshua Laotan*", 'Raw data'!$H:$H,"*Back to goal*")</f>
        <v>0</v>
      </c>
      <c r="GS43" s="8">
        <f>COUNTIFS('Raw data'!$D:$D,"*Joshua Laotan*", 'Raw data'!$H:$H,"*Over/Underlaps*")</f>
        <v>0</v>
      </c>
      <c r="GT43" s="8">
        <f>COUNTIFS('Raw data'!$D:$D,"*Joshua Laotan*", 'Raw data'!$H:$H,"*Runs in Behind*")</f>
        <v>0</v>
      </c>
      <c r="GU43" s="8">
        <f>COUNTIFS('Raw data'!$D:$D,"*Joshua Laotan*", 'Raw data'!$H:$H,"*Half-space Runs*")</f>
        <v>0</v>
      </c>
      <c r="GV43" s="8">
        <f t="shared" ref="GV43" si="289">SUM(GJ43,HA43,HF43)</f>
        <v>7</v>
      </c>
      <c r="GW43" s="8">
        <f t="shared" ref="GW43" si="290">SUM(GK43,HB43,HG43)</f>
        <v>4</v>
      </c>
      <c r="GX43" s="8">
        <f t="shared" ref="GX43" si="291">SUM(GL43,HC43,HH43)</f>
        <v>3</v>
      </c>
      <c r="GY43" s="54">
        <f t="shared" ref="GY43" si="292">IFERROR(GW43/$GV43,"-")</f>
        <v>0.5714285714285714</v>
      </c>
      <c r="GZ43" s="54">
        <f t="shared" ref="GZ43" si="293">IFERROR(GX43/$GV43,"-")</f>
        <v>0.42857142857142855</v>
      </c>
      <c r="HA43" s="8">
        <f>COUNTIFS('Raw data'!$D:$D,"*Joshua Laotan*", 'Raw data'!$K:$K,"*Ground duel*")</f>
        <v>1</v>
      </c>
      <c r="HB43" s="8">
        <f>COUNTIFS('Raw data'!$D:$D,"*Joshua Laotan*", 'Raw data'!$K:$K,"*Ground duel*",'Raw data'!$M:$M,"*Duel Succeeded*")</f>
        <v>0</v>
      </c>
      <c r="HC43" s="8">
        <f>COUNTIFS('Raw data'!$D:$D,"*Joshua Laotan*", 'Raw data'!$K:$K,"*Ground duel*",'Raw data'!$M:$M,"*Duel Unsucceeded*")</f>
        <v>1</v>
      </c>
      <c r="HD43" s="54">
        <f t="shared" ref="HD43" si="294">IFERROR(HB43/$HA43,"-")</f>
        <v>0</v>
      </c>
      <c r="HE43" s="54">
        <f t="shared" ref="HE43" si="295">IFERROR(HC43/$HA43,"-")</f>
        <v>1</v>
      </c>
      <c r="HF43" s="8">
        <f>COUNTIFS('Raw data'!$D:$D,"*Joshua Laotan*", 'Raw data'!$K:$K,"*Aerial duel*")</f>
        <v>2</v>
      </c>
      <c r="HG43" s="8">
        <f>COUNTIFS('Raw data'!$D:$D,"*Joshua Laotan*", 'Raw data'!$K:$K,"*Aerial duel*",'Raw data'!$M:$M,"*Duel Succeeded*")</f>
        <v>1</v>
      </c>
      <c r="HH43" s="8">
        <f>COUNTIFS('Raw data'!$D:$D,"*Joshua Laotan*", 'Raw data'!$K:$K,"*Aerial duel*",'Raw data'!$M:$M,"*Duel Unsucceeded*")</f>
        <v>1</v>
      </c>
      <c r="HI43" s="54">
        <f t="shared" ref="HI43" si="296">IFERROR(HG43/$HG43,"-")</f>
        <v>1</v>
      </c>
      <c r="HJ43" s="54">
        <f t="shared" ref="HJ43" si="297">IFERROR(HH43/$HG43,"-")</f>
        <v>1</v>
      </c>
      <c r="HK43" s="8">
        <f>COUNTIFS('Raw data'!$D:$D,"*Joshua Laotan*", 'Raw data'!$K:$K,"*1v1 defense*")</f>
        <v>1</v>
      </c>
      <c r="HL43" s="8">
        <f>COUNTIFS('Raw data'!$D:$D,"*Joshua Laotan*", 'Raw data'!$K:$K,"*1v1 defense*",'Raw data'!$M:$M,"*Duel Succeeded*")</f>
        <v>0</v>
      </c>
      <c r="HM43" s="8">
        <f>COUNTIFS('Raw data'!$D:$D,"*Joshua Laotan*", 'Raw data'!$K:$K,"*1v1 defense*",'Raw data'!$M:$M,"*Duel Unsucceeded*")</f>
        <v>1</v>
      </c>
      <c r="HN43" s="54">
        <f t="shared" ref="HN43" si="298">IFERROR(HL43/$HK43,"-")</f>
        <v>0</v>
      </c>
      <c r="HO43" s="54">
        <f t="shared" ref="HO43" si="299">IFERROR(HM43/$HK43,"-")</f>
        <v>1</v>
      </c>
      <c r="HP43" s="8">
        <f>COUNTIFS('Raw data'!$D:$D,"*Joshua Laotan*", 'Raw data'!$J:$J,"*Tackles*")</f>
        <v>1</v>
      </c>
      <c r="HQ43" s="8">
        <f>COUNTIFS('Raw data'!$D:$D,"*Joshua Laotan*", 'Raw data'!$J:$J,"*Tackles*", 'Raw data'!$M:$M,"*Duel Succeeded*")</f>
        <v>0</v>
      </c>
      <c r="HR43" s="8">
        <f>COUNTIFS('Raw data'!$D:$D,"*Joshua Laotan*", 'Raw data'!$J:$J,"*Tackles*", 'Raw data'!$M:$M,"*Duel Unsucceeded*")</f>
        <v>1</v>
      </c>
      <c r="HS43" s="54">
        <f t="shared" ref="HS43" si="300">IFERROR(HQ43/$HP43,"-")</f>
        <v>0</v>
      </c>
      <c r="HT43" s="54">
        <f t="shared" ref="HT43" si="301">IFERROR(HR43/$HP43,"-")</f>
        <v>1</v>
      </c>
      <c r="HU43" s="8">
        <f>COUNTIFS('Raw data'!$D:$D,"*Joshua Laotan*", 'Raw data'!$K:$K,"*2nd Balls*")</f>
        <v>1</v>
      </c>
      <c r="HV43" s="8">
        <f>COUNTIFS('Raw data'!$D:$D,"*Joshua Laotan*", 'Raw data'!$K:$K,"*2nd Balls*", 'Raw data'!$M:$M,"*Duel Succeeded*")</f>
        <v>1</v>
      </c>
      <c r="HW43" s="8">
        <f>COUNTIFS('Raw data'!$D:$D,"*Joshua Laotan*", 'Raw data'!$K:$K,"*2nd Balls*", 'Raw data'!$M:$M,"*Duel Unsucceeded*")</f>
        <v>0</v>
      </c>
      <c r="HX43" s="54">
        <f t="shared" ref="HX43" si="302">IFERROR(HV43/$HU43,"-")</f>
        <v>1</v>
      </c>
      <c r="HY43" s="54">
        <f t="shared" ref="HY43" si="303">IFERROR(HW43/$HU43,"-")</f>
        <v>0</v>
      </c>
      <c r="HZ43" s="8">
        <f>COUNTIFS('Raw data'!$D:$D,"*Joshua Laotan*", 'Raw data'!$J:$J,"*Clearance*")</f>
        <v>1</v>
      </c>
      <c r="IA43" s="8">
        <f>COUNTIFS('Raw data'!$D:$D,"*Joshua Laotan*", 'Raw data'!$J:$J,"*Interception*")</f>
        <v>0</v>
      </c>
      <c r="IB43" s="8">
        <f>COUNTIFS('Raw data'!$D:$D,"*Joshua Laotan*", 'Raw data'!$J:$J,"*Turnover Won*")</f>
        <v>0</v>
      </c>
      <c r="IC43" s="8">
        <f>COUNTIFS('Raw data'!$D:$D,"*Joshua Laotan*", 'Raw data'!$J:$J,"*Recovery*")</f>
        <v>1</v>
      </c>
      <c r="ID43" s="8">
        <f>COUNTIFS('Raw data'!$D:$D,"*Joshua Laotan*", 'Raw data'!$J:$J,"*Blocked Shots*")</f>
        <v>0</v>
      </c>
      <c r="IE43" s="8">
        <f>COUNTIFS('Raw data'!$D:$D,"*Joshua Laotan*", 'Raw data'!$J:$J,"*Man-marking*")</f>
        <v>0</v>
      </c>
      <c r="IF43" s="8">
        <f>COUNTIFS('Raw data'!$D:$D,"*Joshua Laotan*", 'Raw data'!$J:$J,"*Fouls*")</f>
        <v>1</v>
      </c>
      <c r="IG43" s="8">
        <f>COUNTIFS('Raw data'!$D:$D,"*Joshua Laotan*", 'Raw data'!$J:$J,"*Won F*")</f>
        <v>1</v>
      </c>
      <c r="IH43" s="8">
        <f>COUNTIFS('Raw data'!$D:$D,"*Joshua Laotan*", 'Raw data'!$G:$G,"*1v1*")</f>
        <v>0</v>
      </c>
      <c r="II43" s="8">
        <f>COUNTIFS('Raw data'!$D:$D,"*Joshua Laotan*", 'Raw data'!$G:$G,"*On Target*")</f>
        <v>0</v>
      </c>
      <c r="IJ43" s="8">
        <f>COUNTIFS('Raw data'!$D:$D,"*Joshua Laotan*", 'Raw data'!$G:$G,"*Off Target*")</f>
        <v>0</v>
      </c>
      <c r="IK43" s="8">
        <f>COUNTIFS('Raw data'!$D:$D,"*Joshua Laotan*", 'Raw data'!$G:$G,"*Defend the Space*")</f>
        <v>0</v>
      </c>
      <c r="IL43" s="8">
        <f>COUNTIFS('Raw data'!$D:$D,"*Joshua Laotan*", 'Raw data'!$G:$G,"*Conceded*")</f>
        <v>0</v>
      </c>
      <c r="IM43" s="8">
        <f>COUNTIFS('Raw data'!$D:$D,"*Joshua Laotan*", 'Raw data'!$G:$G,"*Save*")</f>
        <v>0</v>
      </c>
      <c r="IN43" s="8">
        <f>COUNTIFS('Raw data'!$D:$D,"*Joshua Laotan*", 'Raw data'!$G:$G,"*Defend the line (Cross)*")</f>
        <v>0</v>
      </c>
      <c r="IO43" s="8">
        <f>COUNTIFS('Raw data'!$D:$D,"*Joshua Laotan*", 'Raw data'!$G:$G,"*Counter Kick*")</f>
        <v>0</v>
      </c>
      <c r="IP43" t="s">
        <v>649</v>
      </c>
    </row>
    <row r="44" spans="3:250">
      <c r="DW44" t="s">
        <v>501</v>
      </c>
      <c r="DX44" t="s">
        <v>658</v>
      </c>
      <c r="DY44">
        <v>40</v>
      </c>
      <c r="DZ44" t="s">
        <v>153</v>
      </c>
      <c r="EA44">
        <f t="shared" si="179"/>
        <v>41</v>
      </c>
      <c r="EB44" s="8">
        <f t="shared" ref="EB44:EB56" si="304">EG44+EL44+EQ44</f>
        <v>31</v>
      </c>
      <c r="EC44" s="8">
        <f t="shared" ref="EC44:EC56" si="305">EH44+EM44+ER44</f>
        <v>10</v>
      </c>
      <c r="ED44" s="54">
        <f t="shared" si="181"/>
        <v>0.75609756097560976</v>
      </c>
      <c r="EE44" s="54">
        <f t="shared" si="182"/>
        <v>0.24390243902439024</v>
      </c>
      <c r="EF44">
        <f t="shared" si="183"/>
        <v>18</v>
      </c>
      <c r="EG44">
        <f>COUNTIFS('Raw data'!$D:$D,"*Melvin Brandford*", 'Raw data'!$I:$I,"*Forward Pass*",'Raw data'!$M:$M,"*Pass completed*")</f>
        <v>11</v>
      </c>
      <c r="EH44">
        <f>COUNTIFS('Raw data'!$D:$D,"*Melvin Brandford*", 'Raw data'!$I:$I,"*Forward Pass*",'Raw data'!$M:$M,"*Pass Uncompleted*")</f>
        <v>7</v>
      </c>
      <c r="EI44" s="54">
        <f t="shared" si="184"/>
        <v>0.61111111111111116</v>
      </c>
      <c r="EJ44" s="54">
        <f t="shared" si="185"/>
        <v>0.3888888888888889</v>
      </c>
      <c r="EK44">
        <f t="shared" si="186"/>
        <v>10</v>
      </c>
      <c r="EL44" s="8">
        <f>COUNTIFS('Raw data'!$D:$D,"*Melvin Brandford*", 'Raw data'!$I:$I,"*Lateral Pass*",'Raw data'!$M:$M,"*Pass completed*")</f>
        <v>9</v>
      </c>
      <c r="EM44" s="8">
        <f>COUNTIFS('Raw data'!$D:$D,"*Melvin Brandford*", 'Raw data'!$I:$I,"*Lateral Pass*",'Raw data'!$M:$M,"*Pass Uncompleted*")</f>
        <v>1</v>
      </c>
      <c r="EN44" s="54">
        <f t="shared" si="187"/>
        <v>0.9</v>
      </c>
      <c r="EO44" s="54">
        <f t="shared" si="188"/>
        <v>0.1</v>
      </c>
      <c r="EP44">
        <f t="shared" si="189"/>
        <v>13</v>
      </c>
      <c r="EQ44" s="8">
        <f>COUNTIFS('Raw data'!$D:$D,"*Melvin Brandford*", 'Raw data'!$I:$I,"*Backward Pass*",'Raw data'!$M:$M,"*Pass completed*")</f>
        <v>11</v>
      </c>
      <c r="ER44" s="8">
        <f>COUNTIFS('Raw data'!$D:$D,"*Melvin Brandford*", 'Raw data'!$I:$I,"*Backward Pass*",'Raw data'!$M:$M,"*Pass Uncompleted*")</f>
        <v>2</v>
      </c>
      <c r="ES44" s="54">
        <f t="shared" si="190"/>
        <v>1</v>
      </c>
      <c r="ET44" s="54">
        <f t="shared" si="191"/>
        <v>0.18181818181818182</v>
      </c>
      <c r="EU44" s="8">
        <f>COUNTIFS('Raw data'!$D:$D,"*Melvin Brandford*", 'Raw data'!$I:$I,"*Long Kick*")</f>
        <v>6</v>
      </c>
      <c r="EV44" s="8">
        <f>COUNTIFS('Raw data'!$D:$D,"*Melvin Brandford*", 'Raw data'!$I:$I,"*Long Kick*",'Raw data'!$M:$M,"*Pass completed*")</f>
        <v>3</v>
      </c>
      <c r="EW44" s="8">
        <f>COUNTIFS('Raw data'!$D:$D,"*Melvin Brandford*", 'Raw data'!$I:$I,"*Long Kick*",'Raw data'!$M:$M,"*Pass Uncompleted*")</f>
        <v>4</v>
      </c>
      <c r="EX44" s="54">
        <f t="shared" si="192"/>
        <v>0.5</v>
      </c>
      <c r="EY44" s="54">
        <f t="shared" si="193"/>
        <v>0.66666666666666663</v>
      </c>
      <c r="EZ44" s="8">
        <f>COUNTIFS('Raw data'!$D:$D,"*Melvin Brandford*", 'Raw data'!$I:$I,"*Balls in Behind*")</f>
        <v>1</v>
      </c>
      <c r="FA44" s="8">
        <f>COUNTIFS('Raw data'!$D:$D,"*Melvin Brandford*", 'Raw data'!$I:$I,"*Balls in Behind*",'Raw data'!$M:$M,"*Pass completed*")</f>
        <v>1</v>
      </c>
      <c r="FB44" s="8">
        <f>COUNTIFS('Raw data'!$D:$D,"*Melvin Brandford*", 'Raw data'!$I:$I,"*Balls in Behind*",'Raw data'!$M:$M,"*Pass Uncompleted*")</f>
        <v>0</v>
      </c>
      <c r="FC44" s="54">
        <f t="shared" si="194"/>
        <v>1</v>
      </c>
      <c r="FD44" s="54">
        <f t="shared" si="195"/>
        <v>0</v>
      </c>
      <c r="FE44" s="8">
        <f>COUNTIFS('Raw data'!$D:$D,"*Melvin Brandford*", 'Raw data'!$I:$I,"*Key/Through pass*")</f>
        <v>0</v>
      </c>
      <c r="FF44" s="8">
        <f>COUNTIFS('Raw data'!$D:$D,"*Melvin Brandford*", 'Raw data'!$I:$I,"*Diagonal pass*")</f>
        <v>0</v>
      </c>
      <c r="FG44" s="8">
        <f>COUNTIFS('Raw data'!$D:$D,"*Melvin Brandford*", 'Raw data'!$I:$I,"*Diagonal pass*",'Raw data'!$M:$M,"*Pass completed*")</f>
        <v>0</v>
      </c>
      <c r="FH44" s="8">
        <f>COUNTIFS('Raw data'!$D:$D,"*Melvin Brandford*", 'Raw data'!$I:$I,"*Diagonal pass*",'Raw data'!$M:$M,"*Pass Uncompleted*")</f>
        <v>0</v>
      </c>
      <c r="FI44" s="54" t="str">
        <f t="shared" si="196"/>
        <v>-</v>
      </c>
      <c r="FJ44" s="54" t="str">
        <f t="shared" si="197"/>
        <v>-</v>
      </c>
      <c r="FK44" s="8">
        <f>COUNTIFS('Raw data'!$D:$D,"*Melvin Brandford*", 'Raw data'!$M:$M,"*Pass Received*")</f>
        <v>33</v>
      </c>
      <c r="FL44" s="8">
        <f>COUNTIFS('Raw data'!$D:$D,"*Melvin Brandford*", 'Raw data'!$M:$M,"*Pass Completed*",'Raw data'!$M:$M,"*Pass Received*")</f>
        <v>25</v>
      </c>
      <c r="FM44" s="8">
        <f>COUNTIFS('Raw data'!$D:$D,"*Melvin Brandford*", 'Raw data'!$M:$M,"*Pass Uncompleted*",'Raw data'!$M:$M,"*Pass Received*")</f>
        <v>7</v>
      </c>
      <c r="FN44" s="8">
        <f>COUNTIFS('Raw data'!$D:$D,"*Melvin Brandford*", 'Raw data'!$M:$M,"*Kept Possession*",'Raw data'!$M:$M,"*Pass Received*")</f>
        <v>0</v>
      </c>
      <c r="FO44" s="8">
        <f>COUNTIFS('Raw data'!$D:$D,"*Melvin Brandford*", 'Raw data'!$M:$M,"*Lost Possession*")</f>
        <v>2</v>
      </c>
      <c r="FP44" s="8">
        <f>COUNTIFS('Raw data'!$D:$D,"*Melvin Brandford*", 'Raw data'!$M:$M,"*Lost Possession*",'Raw data'!$M:$M,"*Lost Final 1/3*")</f>
        <v>0</v>
      </c>
      <c r="FQ44" s="8">
        <f>COUNTIFS('Raw data'!$D:$D,"*Melvin Brandford*", 'Raw data'!$M:$M,"*Lost Possession*",'Raw data'!$M:$M,"*Lost Middle 1/3*")</f>
        <v>0</v>
      </c>
      <c r="FR44" s="8">
        <f>COUNTIFS('Raw data'!$D:$D,"*Melvin Brandford*", 'Raw data'!$M:$M,"*Lost Possession*",'Raw data'!$M:$M,"*Lost Own 1/3*")</f>
        <v>2</v>
      </c>
      <c r="FS44" s="8">
        <f>COUNTIFS('Raw data'!$D:$D,"*Melvin Brandford*", 'Raw data'!$H:$H,"*Touches in the Box*")</f>
        <v>0</v>
      </c>
      <c r="FT44" s="8">
        <f>COUNTIFS('Raw data'!$D:$D,"*Melvin Brandford*", 'Raw data'!$H:$H,"*1v1 Attack*")</f>
        <v>1</v>
      </c>
      <c r="FU44" s="8">
        <f>COUNTIFS('Raw data'!$D:$D,"*Melvin Brandford*", 'Raw data'!$H:$H,"*1v1 Attack*",'Raw data'!$H:$H,"*1v1 Attack*",'Raw data'!$M:$M,"*Kept Possession*")</f>
        <v>0</v>
      </c>
      <c r="FV44" s="8">
        <f>COUNTIFS('Raw data'!$D:$D,"*Melvin Brandford*", 'Raw data'!$H:$H,"*1v1 Attack*",'Raw data'!$H:$H,"*1v1 Attack*",'Raw data'!$M:$M,"*Lost Possession*")</f>
        <v>1</v>
      </c>
      <c r="FW44" s="54">
        <f t="shared" si="198"/>
        <v>0</v>
      </c>
      <c r="FX44" s="54">
        <f t="shared" si="199"/>
        <v>1</v>
      </c>
      <c r="FY44" s="8">
        <f>COUNTIFS('Raw data'!$D:$D,"*Melvin Brandford*", 'Raw data'!$I:$I,"*Cross*")</f>
        <v>1</v>
      </c>
      <c r="FZ44" s="8">
        <f>COUNTIFS('Raw data'!$D:$D,"*Melvin Brandford*", 'Raw data'!$I:$I,"*Cross*",'Raw data'!$M:$M,"*Pass Completed*")</f>
        <v>0</v>
      </c>
      <c r="GA44" s="8">
        <f>COUNTIFS('Raw data'!$D:$D,"*Melvin Brandford*", 'Raw data'!$I:$I,"*Cross*",'Raw data'!$M:$M,"*Pass Uncompleted*")</f>
        <v>1</v>
      </c>
      <c r="GB44" s="54">
        <f t="shared" si="200"/>
        <v>0</v>
      </c>
      <c r="GC44" s="54">
        <f t="shared" si="201"/>
        <v>1</v>
      </c>
      <c r="GD44" s="8">
        <f t="shared" si="202"/>
        <v>0</v>
      </c>
      <c r="GE44" s="8">
        <f>COUNTIFS('Raw data'!$D:$D,"*Melvin Brandford*", 'Raw data'!$L:$L,"*On Target*")</f>
        <v>0</v>
      </c>
      <c r="GF44" s="8">
        <f>COUNTIFS('Raw data'!$D:$D,"*Melvin Brandford*", 'Raw data'!$L:$L,"*Off Target*")</f>
        <v>0</v>
      </c>
      <c r="GG44" s="8">
        <f>COUNTIFS('Raw data'!$D:$D,"*Melvin Brandford*", 'Raw data'!$L:$L,"*Blocked*")</f>
        <v>0</v>
      </c>
      <c r="GH44" s="8">
        <f>COUNTIFS('Raw data'!$D:$D,"*Melvin Brandford*", 'Raw data'!$M:$M,"*Goal*")</f>
        <v>0</v>
      </c>
      <c r="GI44" s="8">
        <f>COUNTIFS('Raw data'!$D:$D,"*Melvin Brandford*", 'Raw data'!$M:$M,"*Assist*")</f>
        <v>0</v>
      </c>
      <c r="GJ44" s="8">
        <f>COUNTIFS('Raw data'!$D:$D,"*Melvin Brandford*", 'Raw data'!$H:$H,"*Offensive duel*")</f>
        <v>0</v>
      </c>
      <c r="GK44" s="8">
        <f>COUNTIFS('Raw data'!$D:$D,"*Melvin Brandford*", 'Raw data'!$H:$H,"*Offensive Duel*",'Raw data'!$H:$H,"*Offensive Duel*",'Raw data'!$M:$M,"*Kept Possession*")</f>
        <v>0</v>
      </c>
      <c r="GL44" s="8">
        <f>COUNTIFS('Raw data'!$D:$D,"*Melvin Brandford*", 'Raw data'!$H:$H,"*Offensive Duel*",'Raw data'!$H:$H,"*Offensive Duel*",'Raw data'!$M:$M,"*Lost Possession*")</f>
        <v>0</v>
      </c>
      <c r="GM44" s="54" t="str">
        <f t="shared" si="203"/>
        <v>-</v>
      </c>
      <c r="GN44" s="54" t="str">
        <f t="shared" si="204"/>
        <v>-</v>
      </c>
      <c r="GO44" s="8">
        <f>COUNTIFS('Raw data'!$D:$D,"*Melvin Brandford*", 'Raw data'!$H:$H,"*Acceleration*")</f>
        <v>2</v>
      </c>
      <c r="GP44" s="8">
        <f>COUNTIFS('Raw data'!$D:$D,"*Melvin Brandford*", 'Raw data'!$H:$H,"*Move into Pocket*")</f>
        <v>0</v>
      </c>
      <c r="GQ44" s="8">
        <f>COUNTIFS('Raw data'!$D:$D,"*Melvin Brandford*", 'Raw data'!$H:$H,"*Wide area*")</f>
        <v>1</v>
      </c>
      <c r="GR44" s="8">
        <f>COUNTIFS('Raw data'!$D:$D,"*Melvin Brandford*", 'Raw data'!$H:$H,"*Back to goal*")</f>
        <v>0</v>
      </c>
      <c r="GS44" s="8">
        <f>COUNTIFS('Raw data'!$D:$D,"*Melvin Brandford*", 'Raw data'!$H:$H,"*Over/Underlaps*")</f>
        <v>0</v>
      </c>
      <c r="GT44" s="8">
        <f>COUNTIFS('Raw data'!$D:$D,"*Melvin Brandford*", 'Raw data'!$H:$H,"*Runs in Behind*")</f>
        <v>0</v>
      </c>
      <c r="GU44" s="8">
        <f>COUNTIFS('Raw data'!$D:$D,"*Melvin Brandford*", 'Raw data'!$H:$H,"*Half-space Runs*")</f>
        <v>0</v>
      </c>
      <c r="GV44" s="8">
        <f t="shared" si="205"/>
        <v>1</v>
      </c>
      <c r="GW44" s="8">
        <f t="shared" si="206"/>
        <v>0</v>
      </c>
      <c r="GX44" s="8">
        <f t="shared" si="207"/>
        <v>1</v>
      </c>
      <c r="GY44" s="54">
        <f t="shared" si="208"/>
        <v>0</v>
      </c>
      <c r="GZ44" s="54">
        <f t="shared" si="209"/>
        <v>1</v>
      </c>
      <c r="HA44" s="8">
        <f>COUNTIFS('Raw data'!$D:$D,"*Melvin Brandford*", 'Raw data'!$K:$K,"*Ground duel*")</f>
        <v>1</v>
      </c>
      <c r="HB44" s="8">
        <f>COUNTIFS('Raw data'!$D:$D,"*Melvin Brandford*", 'Raw data'!$K:$K,"*Ground duel*",'Raw data'!$M:$M,"*Duel Succeeded*")</f>
        <v>0</v>
      </c>
      <c r="HC44" s="8">
        <f>COUNTIFS('Raw data'!$D:$D,"*Melvin Brandford*", 'Raw data'!$K:$K,"*Ground duel*",'Raw data'!$M:$M,"*Duel Unsucceeded*")</f>
        <v>1</v>
      </c>
      <c r="HD44" s="54">
        <f t="shared" si="210"/>
        <v>0</v>
      </c>
      <c r="HE44" s="54">
        <f t="shared" si="211"/>
        <v>1</v>
      </c>
      <c r="HF44" s="8">
        <f>COUNTIFS('Raw data'!$D:$D,"*Melvin Brandford*", 'Raw data'!$K:$K,"*Aerial duel*")</f>
        <v>0</v>
      </c>
      <c r="HG44" s="8">
        <f>COUNTIFS('Raw data'!$D:$D,"*Melvin Brandford*", 'Raw data'!$K:$K,"*Aerial duel*",'Raw data'!$M:$M,"*Duel Succeeded*")</f>
        <v>0</v>
      </c>
      <c r="HH44" s="8">
        <f>COUNTIFS('Raw data'!$D:$D,"*Melvin Brandford*", 'Raw data'!$K:$K,"*Aerial duel*",'Raw data'!$M:$M,"*Duel Unsucceeded*")</f>
        <v>0</v>
      </c>
      <c r="HI44" s="54" t="str">
        <f t="shared" si="212"/>
        <v>-</v>
      </c>
      <c r="HJ44" s="54" t="str">
        <f t="shared" si="213"/>
        <v>-</v>
      </c>
      <c r="HK44" s="8">
        <f>COUNTIFS('Raw data'!$D:$D,"*Melvin Brandford*", 'Raw data'!$K:$K,"*1v1 defense*")</f>
        <v>1</v>
      </c>
      <c r="HL44" s="8">
        <f>COUNTIFS('Raw data'!$D:$D,"*Melvin Brandford*", 'Raw data'!$K:$K,"*1v1 defense*",'Raw data'!$M:$M,"*Duel Succeeded*")</f>
        <v>0</v>
      </c>
      <c r="HM44" s="8">
        <f>COUNTIFS('Raw data'!$D:$D,"*Melvin Brandford*", 'Raw data'!$K:$K,"*1v1 defense*",'Raw data'!$M:$M,"*Duel Unsucceeded*")</f>
        <v>1</v>
      </c>
      <c r="HN44" s="54">
        <f t="shared" si="214"/>
        <v>0</v>
      </c>
      <c r="HO44" s="54">
        <f t="shared" si="215"/>
        <v>1</v>
      </c>
      <c r="HP44" s="8">
        <f>COUNTIFS('Raw data'!$D:$D,"*Melvin Brandford*", 'Raw data'!$J:$J,"*Tackles*")</f>
        <v>1</v>
      </c>
      <c r="HQ44" s="8">
        <f>COUNTIFS('Raw data'!$D:$D,"*Melvin Brandford*", 'Raw data'!$J:$J,"*Tackles*", 'Raw data'!$M:$M,"*Duel Succeeded*")</f>
        <v>1</v>
      </c>
      <c r="HR44" s="8">
        <f>COUNTIFS('Raw data'!$D:$D,"*Melvin Brandford*", 'Raw data'!$J:$J,"*Tackles*", 'Raw data'!$M:$M,"*Duel Unsucceeded*")</f>
        <v>0</v>
      </c>
      <c r="HS44" s="54">
        <f t="shared" si="216"/>
        <v>1</v>
      </c>
      <c r="HT44" s="54">
        <f t="shared" si="217"/>
        <v>0</v>
      </c>
      <c r="HU44" s="8">
        <f>COUNTIFS('Raw data'!$D:$D,"*Melvin Brandford*", 'Raw data'!$K:$K,"*2nd Balls*")</f>
        <v>0</v>
      </c>
      <c r="HV44" s="8">
        <f>COUNTIFS('Raw data'!$D:$D,"*Melvin Brandford*", 'Raw data'!$K:$K,"*2nd Balls*", 'Raw data'!$M:$M,"*Duel Succeeded*")</f>
        <v>0</v>
      </c>
      <c r="HW44" s="8">
        <f>COUNTIFS('Raw data'!$D:$D,"*Melvin Brandford*", 'Raw data'!$K:$K,"*2nd Balls*", 'Raw data'!$M:$M,"*Duel Unsucceeded*")</f>
        <v>0</v>
      </c>
      <c r="HX44" s="54" t="str">
        <f t="shared" si="218"/>
        <v>-</v>
      </c>
      <c r="HY44" s="54" t="str">
        <f t="shared" si="219"/>
        <v>-</v>
      </c>
      <c r="HZ44" s="8">
        <f>COUNTIFS('Raw data'!$D:$D,"*Melvin Brandford*", 'Raw data'!$J:$J,"*Clearance*")</f>
        <v>2</v>
      </c>
      <c r="IA44" s="8">
        <f>COUNTIFS('Raw data'!$D:$D,"*Melvin Brandford*", 'Raw data'!$J:$J,"*Interception*")</f>
        <v>1</v>
      </c>
      <c r="IB44" s="8">
        <f>COUNTIFS('Raw data'!$D:$D,"*Melvin Brandford*", 'Raw data'!$J:$J,"*Turnover Won*")</f>
        <v>1</v>
      </c>
      <c r="IC44" s="8">
        <f>COUNTIFS('Raw data'!$D:$D,"*Melvin Brandford*", 'Raw data'!$J:$J,"*Recovery*")</f>
        <v>0</v>
      </c>
      <c r="ID44" s="8">
        <f>COUNTIFS('Raw data'!$D:$D,"*Melvin Brandford*", 'Raw data'!$J:$J,"*Blocked Shots*")</f>
        <v>0</v>
      </c>
      <c r="IE44" s="8">
        <f>COUNTIFS('Raw data'!$D:$D,"*Melvin Brandford*", 'Raw data'!$J:$J,"*Man-marking*")</f>
        <v>0</v>
      </c>
      <c r="IF44" s="8">
        <f>COUNTIFS('Raw data'!$D:$D,"*Melvin Brandford*", 'Raw data'!$J:$J,"*Fouls*")</f>
        <v>0</v>
      </c>
      <c r="IG44" s="8">
        <f>COUNTIFS('Raw data'!$D:$D,"*Melvin Brandford*", 'Raw data'!$J:$J,"*Won F*")</f>
        <v>0</v>
      </c>
      <c r="IH44" s="8">
        <f>COUNTIFS('Raw data'!$D:$D,"*Melvin Brandford*", 'Raw data'!$G:$G,"*1v1*")</f>
        <v>0</v>
      </c>
      <c r="II44" s="8">
        <f>COUNTIFS('Raw data'!$D:$D,"*Melvin Brandford*", 'Raw data'!$G:$G,"*On Target*")</f>
        <v>0</v>
      </c>
      <c r="IJ44" s="8">
        <f>COUNTIFS('Raw data'!$D:$D,"*Melvin Brandford*", 'Raw data'!$G:$G,"*Off Target*")</f>
        <v>0</v>
      </c>
      <c r="IK44" s="8">
        <f>COUNTIFS('Raw data'!$D:$D,"*Melvin Brandford*", 'Raw data'!$G:$G,"*Defend the Space*")</f>
        <v>0</v>
      </c>
      <c r="IL44" s="8">
        <f>COUNTIFS('Raw data'!$D:$D,"*Melvin Brandford*", 'Raw data'!$G:$G,"*Conceded*")</f>
        <v>0</v>
      </c>
      <c r="IM44" s="8">
        <f>COUNTIFS('Raw data'!$D:$D,"*Melvin Brandford*", 'Raw data'!$G:$G,"*Save*")</f>
        <v>0</v>
      </c>
      <c r="IN44" s="8">
        <f>COUNTIFS('Raw data'!$D:$D,"*Melvin Brandford*", 'Raw data'!$G:$G,"*Defend the line (Cross)*")</f>
        <v>0</v>
      </c>
      <c r="IO44" s="8">
        <f>COUNTIFS('Raw data'!$D:$D,"*Melvin Brandford*", 'Raw data'!$G:$G,"*Counter Kick*")</f>
        <v>0</v>
      </c>
      <c r="IP44" t="s">
        <v>658</v>
      </c>
    </row>
    <row r="45" spans="3:250">
      <c r="DW45" t="s">
        <v>501</v>
      </c>
      <c r="DX45" t="s">
        <v>738</v>
      </c>
      <c r="DY45">
        <v>40</v>
      </c>
      <c r="DZ45" t="s">
        <v>153</v>
      </c>
      <c r="EA45">
        <f t="shared" si="179"/>
        <v>33</v>
      </c>
      <c r="EB45" s="8">
        <f t="shared" si="304"/>
        <v>25</v>
      </c>
      <c r="EC45" s="8">
        <f t="shared" si="305"/>
        <v>8</v>
      </c>
      <c r="ED45" s="54">
        <f t="shared" si="181"/>
        <v>0.75757575757575757</v>
      </c>
      <c r="EE45" s="54">
        <f t="shared" si="182"/>
        <v>0.24242424242424243</v>
      </c>
      <c r="EF45">
        <f t="shared" si="183"/>
        <v>15</v>
      </c>
      <c r="EG45">
        <f>COUNTIFS('Raw data'!$D:$D,"*Ayodele Akinsanya*", 'Raw data'!$I:$I,"*Forward Pass*",'Raw data'!$M:$M,"*Pass completed*")</f>
        <v>8</v>
      </c>
      <c r="EH45">
        <f>COUNTIFS('Raw data'!$D:$D,"*Ayodele Akinsanya*", 'Raw data'!$I:$I,"*Forward Pass*",'Raw data'!$M:$M,"*Pass Uncompleted*")</f>
        <v>7</v>
      </c>
      <c r="EI45" s="54">
        <f t="shared" si="184"/>
        <v>0.53333333333333333</v>
      </c>
      <c r="EJ45" s="54">
        <f t="shared" si="185"/>
        <v>0.46666666666666667</v>
      </c>
      <c r="EK45">
        <f t="shared" si="186"/>
        <v>12</v>
      </c>
      <c r="EL45" s="8">
        <f>COUNTIFS('Raw data'!$D:$D,"*Ayodele Akinsanya*", 'Raw data'!$I:$I,"*Lateral Pass*",'Raw data'!$M:$M,"*Pass completed*")</f>
        <v>12</v>
      </c>
      <c r="EM45" s="8">
        <f>COUNTIFS('Raw data'!$D:$D,"*Ayodele Akinsanya*", 'Raw data'!$I:$I,"*Lateral Pass*",'Raw data'!$M:$M,"*Pass Uncompleted*")</f>
        <v>0</v>
      </c>
      <c r="EN45" s="54">
        <f t="shared" si="187"/>
        <v>1</v>
      </c>
      <c r="EO45" s="54">
        <f t="shared" si="188"/>
        <v>0</v>
      </c>
      <c r="EP45">
        <f t="shared" si="189"/>
        <v>6</v>
      </c>
      <c r="EQ45" s="8">
        <f>COUNTIFS('Raw data'!$D:$D,"*Ayodele Akinsanya*", 'Raw data'!$I:$I,"*Backward Pass*",'Raw data'!$M:$M,"*Pass completed*")</f>
        <v>5</v>
      </c>
      <c r="ER45" s="8">
        <f>COUNTIFS('Raw data'!$D:$D,"*Ayodele Akinsanya*", 'Raw data'!$I:$I,"*Backward Pass*",'Raw data'!$M:$M,"*Pass Uncompleted*")</f>
        <v>1</v>
      </c>
      <c r="ES45" s="54">
        <f t="shared" si="190"/>
        <v>1</v>
      </c>
      <c r="ET45" s="54">
        <f t="shared" si="191"/>
        <v>0.2</v>
      </c>
      <c r="EU45" s="8">
        <f>COUNTIFS('Raw data'!$D:$D,"*Ayodele Akinsanya*", 'Raw data'!$I:$I,"*Long Kick*")</f>
        <v>4</v>
      </c>
      <c r="EV45" s="8">
        <f>COUNTIFS('Raw data'!$D:$D,"*Ayodele Akinsanya*", 'Raw data'!$I:$I,"*Long Kick*",'Raw data'!$M:$M,"*Pass completed*")</f>
        <v>3</v>
      </c>
      <c r="EW45" s="8">
        <f>COUNTIFS('Raw data'!$D:$D,"*Ayodele Akinsanya*", 'Raw data'!$I:$I,"*Long Kick*",'Raw data'!$M:$M,"*Pass Uncompleted*")</f>
        <v>1</v>
      </c>
      <c r="EX45" s="54">
        <f t="shared" si="192"/>
        <v>0.75</v>
      </c>
      <c r="EY45" s="54">
        <f t="shared" si="193"/>
        <v>0.25</v>
      </c>
      <c r="EZ45" s="8">
        <f>COUNTIFS('Raw data'!$D:$D,"*Ayodele Akinsanya*", 'Raw data'!$I:$I,"*Balls in Behind*")</f>
        <v>3</v>
      </c>
      <c r="FA45" s="8">
        <f>COUNTIFS('Raw data'!$D:$D,"*Ayodele Akinsanya*", 'Raw data'!$I:$I,"*Balls in Behind*",'Raw data'!$M:$M,"*Pass completed*")</f>
        <v>2</v>
      </c>
      <c r="FB45" s="8">
        <f>COUNTIFS('Raw data'!$D:$D,"*Ayodele Akinsanya*", 'Raw data'!$I:$I,"*Balls in Behind*",'Raw data'!$M:$M,"*Pass Uncompleted*")</f>
        <v>1</v>
      </c>
      <c r="FC45" s="54">
        <f t="shared" si="194"/>
        <v>0.66666666666666663</v>
      </c>
      <c r="FD45" s="54">
        <f t="shared" si="195"/>
        <v>0.33333333333333331</v>
      </c>
      <c r="FE45" s="8">
        <f>COUNTIFS('Raw data'!$D:$D,"*Ayodele Akinsanya*", 'Raw data'!$I:$I,"*Key/Through pass*")</f>
        <v>1</v>
      </c>
      <c r="FF45" s="8">
        <f>COUNTIFS('Raw data'!$D:$D,"*Ayodele Akinsanya*", 'Raw data'!$I:$I,"*Diagonal pass*")</f>
        <v>0</v>
      </c>
      <c r="FG45" s="8">
        <f>COUNTIFS('Raw data'!$D:$D,"*Ayodele Akinsanya*", 'Raw data'!$I:$I,"*Diagonal pass*",'Raw data'!$M:$M,"*Pass completed*")</f>
        <v>0</v>
      </c>
      <c r="FH45" s="8">
        <f>COUNTIFS('Raw data'!$D:$D,"*Ayodele Akinsanya*", 'Raw data'!$I:$I,"*Diagonal pass*",'Raw data'!$M:$M,"*Pass Uncompleted*")</f>
        <v>0</v>
      </c>
      <c r="FI45" s="54" t="str">
        <f t="shared" si="196"/>
        <v>-</v>
      </c>
      <c r="FJ45" s="54" t="str">
        <f t="shared" si="197"/>
        <v>-</v>
      </c>
      <c r="FK45" s="8">
        <f>COUNTIFS('Raw data'!$D:$D,"*Ayodele Akinsanya*", 'Raw data'!$M:$M,"*Pass Received*")</f>
        <v>20</v>
      </c>
      <c r="FL45" s="8">
        <f>COUNTIFS('Raw data'!$D:$D,"*Ayodele Akinsanya*", 'Raw data'!$M:$M,"*Pass Completed*",'Raw data'!$M:$M,"*Pass Received*" )</f>
        <v>17</v>
      </c>
      <c r="FM45" s="8">
        <f>COUNTIFS('Raw data'!$D:$D,"*Ayodele Akinsanya*", 'Raw data'!$M:$M,"*Pass Uncompleted*",'Raw data'!$M:$M,"*Pass Received*" )</f>
        <v>4</v>
      </c>
      <c r="FN45" s="8">
        <f>COUNTIFS('Raw data'!$D:$D,"*Ayodele Akinsanya*", 'Raw data'!$M:$M,"*Kept Possession*",'Raw data'!$M:$M,"*Pass Received*")</f>
        <v>1</v>
      </c>
      <c r="FO45" s="8">
        <f>COUNTIFS('Raw data'!$D:$D,"*Ayodele Akinsanya*", 'Raw data'!$M:$M,"*Lost Possession*" )</f>
        <v>0</v>
      </c>
      <c r="FP45" s="8">
        <f>COUNTIFS('Raw data'!$D:$D,"*Ayodele Akinsanya*", 'Raw data'!$M:$M,"*Lost Possession*",'Raw data'!$M:$M,"*Lost Final 1/3*")</f>
        <v>0</v>
      </c>
      <c r="FQ45" s="8">
        <f>COUNTIFS('Raw data'!$D:$D,"*Ayodele Akinsanya*", 'Raw data'!$M:$M,"*Lost Possession*",'Raw data'!$M:$M,"*Lost Middle 1/3*")</f>
        <v>0</v>
      </c>
      <c r="FR45" s="8">
        <f>COUNTIFS('Raw data'!$D:$D,"*Ayodele Akinsanya*", 'Raw data'!$M:$M,"*Lost Possession*",'Raw data'!$M:$M,"*Lost Own 1/3*")</f>
        <v>0</v>
      </c>
      <c r="FS45" s="8">
        <f>COUNTIFS('Raw data'!$D:$D,"*Ayodele Akinsanya*", 'Raw data'!$H:$H,"*Touches in the Box*")</f>
        <v>0</v>
      </c>
      <c r="FT45" s="8">
        <f>COUNTIFS('Raw data'!$D:$D,"*Ayodele Akinsanya*", 'Raw data'!$H:$H,"*1v1 Attack*")</f>
        <v>1</v>
      </c>
      <c r="FU45" s="8">
        <f>COUNTIFS('Raw data'!$D:$D,"*Ayodele Akinsanya*", 'Raw data'!$H:$H,"*1v1 Attack*",'Raw data'!$H:$H,"*1v1 Attack*",'Raw data'!$M:$M,"*Kept Possession*")</f>
        <v>1</v>
      </c>
      <c r="FV45" s="8">
        <f>COUNTIFS('Raw data'!$D:$D,"*Ayodele Akinsanya*", 'Raw data'!$H:$H,"*1v1 Attack*",'Raw data'!$H:$H,"*1v1 Attack*",'Raw data'!$M:$M,"*Lost Possession*")</f>
        <v>0</v>
      </c>
      <c r="FW45" s="54">
        <f t="shared" si="198"/>
        <v>1</v>
      </c>
      <c r="FX45" s="54">
        <f t="shared" si="199"/>
        <v>0</v>
      </c>
      <c r="FY45" s="8">
        <f>COUNTIFS('Raw data'!$D:$D,"*Ayodele Akinsanya*", 'Raw data'!$I:$I,"*Cross*")</f>
        <v>0</v>
      </c>
      <c r="FZ45" s="8">
        <f>COUNTIFS('Raw data'!$D:$D,"*Ayodele Akinsanya*", 'Raw data'!$I:$I,"*Cross*",'Raw data'!$M:$M,"*Pass Completed*")</f>
        <v>0</v>
      </c>
      <c r="GA45" s="8">
        <f>COUNTIFS('Raw data'!$D:$D,"*Ayodele Akinsanya*", 'Raw data'!$I:$I,"*Cross*",'Raw data'!$M:$M,"*Pass Uncompleted*")</f>
        <v>0</v>
      </c>
      <c r="GB45" s="54" t="str">
        <f t="shared" si="200"/>
        <v>-</v>
      </c>
      <c r="GC45" s="54" t="str">
        <f t="shared" si="201"/>
        <v>-</v>
      </c>
      <c r="GD45" s="8">
        <f t="shared" si="202"/>
        <v>1</v>
      </c>
      <c r="GE45" s="8">
        <f>COUNTIFS('Raw data'!$D:$D,"*Ayodele Akinsanya*", 'Raw data'!$L:$L,"*On Target*")</f>
        <v>1</v>
      </c>
      <c r="GF45" s="8">
        <f>COUNTIFS('Raw data'!$D:$D,"*Ayodele Akinsanya*", 'Raw data'!$L:$L,"*Off Target*")</f>
        <v>0</v>
      </c>
      <c r="GG45" s="8">
        <f>COUNTIFS('Raw data'!$D:$D,"*Ayodele Akinsanya*", 'Raw data'!$L:$L,"*Blocked*")</f>
        <v>0</v>
      </c>
      <c r="GH45" s="8">
        <f>COUNTIFS('Raw data'!$D:$D,"*Ayodele Akinsanya*", 'Raw data'!$M:$M,"*Goal*")</f>
        <v>1</v>
      </c>
      <c r="GI45" s="8">
        <f>COUNTIFS('Raw data'!$D:$D,"*Ayodele Akinsanya*", 'Raw data'!$M:$M,"*Assist*")</f>
        <v>0</v>
      </c>
      <c r="GJ45" s="8">
        <f>COUNTIFS('Raw data'!$D:$D,"*Ayodele Akinsanya*", 'Raw data'!$H:$H,"*Offensive duel*")</f>
        <v>1</v>
      </c>
      <c r="GK45" s="8">
        <f>COUNTIFS('Raw data'!$D:$D,"*Ayodele Akinsanya*", 'Raw data'!$H:$H,"*Offensive Duel*",'Raw data'!$H:$H,"*Offensive Duel*",'Raw data'!$M:$M,"*Kept Possession*")</f>
        <v>1</v>
      </c>
      <c r="GL45" s="8">
        <f>COUNTIFS('Raw data'!$D:$D,"*Ayodele Akinsanya*", 'Raw data'!$H:$H,"*Offensive Duel*",'Raw data'!$H:$H,"*Offensive Duel*",'Raw data'!$M:$M,"*Lost Possession*")</f>
        <v>0</v>
      </c>
      <c r="GM45" s="54">
        <f t="shared" si="203"/>
        <v>1</v>
      </c>
      <c r="GN45" s="54">
        <f t="shared" si="204"/>
        <v>0</v>
      </c>
      <c r="GO45" s="8">
        <f>COUNTIFS('Raw data'!$D:$D,"*Ayodele Akinsanya*", 'Raw data'!$H:$H,"*Acceleration*")</f>
        <v>0</v>
      </c>
      <c r="GP45" s="8">
        <f>COUNTIFS('Raw data'!$D:$D,"*Ayodele Akinsanya*", 'Raw data'!$H:$H,"*Move into Pocket*")</f>
        <v>0</v>
      </c>
      <c r="GQ45" s="8">
        <f>COUNTIFS('Raw data'!$D:$D,"*Ayodele Akinsanya*", 'Raw data'!$H:$H,"*Wide area*")</f>
        <v>0</v>
      </c>
      <c r="GR45" s="8">
        <f>COUNTIFS('Raw data'!$D:$D,"*Ayodele Akinsanya*", 'Raw data'!$H:$H,"*Back to goal*")</f>
        <v>0</v>
      </c>
      <c r="GS45" s="8">
        <f>COUNTIFS('Raw data'!$D:$D,"*Ayodele Akinsanya*", 'Raw data'!$H:$H,"*Over/Underlaps*")</f>
        <v>0</v>
      </c>
      <c r="GT45" s="8">
        <f>COUNTIFS('Raw data'!$D:$D,"*Ayodele Akinsanya*", 'Raw data'!$H:$H,"*Runs in Behind*")</f>
        <v>0</v>
      </c>
      <c r="GU45" s="8">
        <f>COUNTIFS('Raw data'!$D:$D,"*Ayodele Akinsanya*", 'Raw data'!$H:$H,"*Half-space Runs*")</f>
        <v>0</v>
      </c>
      <c r="GV45" s="8">
        <f t="shared" si="205"/>
        <v>2</v>
      </c>
      <c r="GW45" s="8">
        <f t="shared" si="206"/>
        <v>2</v>
      </c>
      <c r="GX45" s="8">
        <f t="shared" si="207"/>
        <v>0</v>
      </c>
      <c r="GY45" s="54">
        <f t="shared" si="208"/>
        <v>1</v>
      </c>
      <c r="GZ45" s="54">
        <f t="shared" si="209"/>
        <v>0</v>
      </c>
      <c r="HA45" s="8">
        <f>COUNTIFS('Raw data'!$D:$D,"*Ayodele Akinsanya*", 'Raw data'!$K:$K,"*Ground duel*")</f>
        <v>1</v>
      </c>
      <c r="HB45" s="8">
        <f>COUNTIFS('Raw data'!$D:$D,"*Ayodele Akinsanya*", 'Raw data'!$K:$K,"*Ground duel*",'Raw data'!$M:$M,"*Duel Succeeded*")</f>
        <v>1</v>
      </c>
      <c r="HC45" s="8">
        <f>COUNTIFS('Raw data'!$D:$D,"*Ayodele Akinsanya*", 'Raw data'!$K:$K,"*Ground duel*",'Raw data'!$M:$M,"*Duel Unsucceeded*")</f>
        <v>0</v>
      </c>
      <c r="HD45" s="54">
        <f t="shared" si="210"/>
        <v>1</v>
      </c>
      <c r="HE45" s="54">
        <f t="shared" si="211"/>
        <v>0</v>
      </c>
      <c r="HF45" s="8">
        <f>COUNTIFS('Raw data'!$D:$D,"*Ayodele Akinsanya*", 'Raw data'!$K:$K,"*Aerial duel*")</f>
        <v>0</v>
      </c>
      <c r="HG45" s="8">
        <f>COUNTIFS('Raw data'!$D:$D,"*Ayodele Akinsanya*", 'Raw data'!$K:$K,"*Aerial duel*",'Raw data'!$M:$M,"*Duel Succeeded*")</f>
        <v>0</v>
      </c>
      <c r="HH45" s="8">
        <f>COUNTIFS('Raw data'!$D:$D,"*Ayodele Akinsanya*", 'Raw data'!$K:$K,"*Aerial duel*",'Raw data'!$M:$M,"*Duel Unsucceeded*")</f>
        <v>0</v>
      </c>
      <c r="HI45" s="54" t="str">
        <f t="shared" si="212"/>
        <v>-</v>
      </c>
      <c r="HJ45" s="54" t="str">
        <f t="shared" si="213"/>
        <v>-</v>
      </c>
      <c r="HK45" s="8">
        <f>COUNTIFS('Raw data'!$D:$D,"*Ayodele Akinsanya*", 'Raw data'!$K:$K,"*1v1 defense*")</f>
        <v>0</v>
      </c>
      <c r="HL45" s="8">
        <f>COUNTIFS('Raw data'!$D:$D,"*Ayodele Akinsanya*", 'Raw data'!$K:$K,"*1v1 defense*",'Raw data'!$M:$M,"*Duel Succeeded*")</f>
        <v>0</v>
      </c>
      <c r="HM45" s="8">
        <f>COUNTIFS('Raw data'!$D:$D,"*Ayodele Akinsanya*", 'Raw data'!$K:$K,"*1v1 defense*",'Raw data'!$M:$M,"*Duel Unsucceeded*")</f>
        <v>0</v>
      </c>
      <c r="HN45" s="54" t="str">
        <f t="shared" si="214"/>
        <v>-</v>
      </c>
      <c r="HO45" s="54" t="str">
        <f t="shared" si="215"/>
        <v>-</v>
      </c>
      <c r="HP45" s="8">
        <f>COUNTIFS('Raw data'!$D:$D,"*Ayodele Akinsanya*", 'Raw data'!$J:$J,"*Tackles*")</f>
        <v>0</v>
      </c>
      <c r="HQ45" s="8">
        <f>COUNTIFS('Raw data'!$D:$D,"*Ayodele Akinsanya*", 'Raw data'!$J:$J,"*Tackles*", 'Raw data'!$M:$M,"*Duel Succeeded*")</f>
        <v>0</v>
      </c>
      <c r="HR45" s="8">
        <f>COUNTIFS('Raw data'!$D:$D,"*Ayodele Akinsanya*", 'Raw data'!$J:$J,"*Tackles*", 'Raw data'!$M:$M,"*Duel Unsucceeded*")</f>
        <v>0</v>
      </c>
      <c r="HS45" s="54" t="str">
        <f t="shared" si="216"/>
        <v>-</v>
      </c>
      <c r="HT45" s="54" t="str">
        <f t="shared" si="217"/>
        <v>-</v>
      </c>
      <c r="HU45" s="8">
        <f>COUNTIFS('Raw data'!$D:$D,"*Ayodele Akinsanya*", 'Raw data'!$K:$K,"*2nd Balls*")</f>
        <v>0</v>
      </c>
      <c r="HV45" s="8">
        <f>COUNTIFS('Raw data'!$D:$D,"*Ayodele Akinsanya*", 'Raw data'!$K:$K,"*2nd Balls*", 'Raw data'!$M:$M,"*Duel Succeeded*")</f>
        <v>0</v>
      </c>
      <c r="HW45" s="8">
        <f>COUNTIFS('Raw data'!$D:$D,"*Ayodele Akinsanya*", 'Raw data'!$K:$K,"*2nd Balls*", 'Raw data'!$M:$M,"*Duel Unsucceeded*")</f>
        <v>0</v>
      </c>
      <c r="HX45" s="54" t="str">
        <f t="shared" si="218"/>
        <v>-</v>
      </c>
      <c r="HY45" s="54" t="str">
        <f t="shared" si="219"/>
        <v>-</v>
      </c>
      <c r="HZ45" s="8">
        <f>COUNTIFS('Raw data'!$D:$D,"*Ayodele Akinsanya*", 'Raw data'!$J:$J,"*Clearance*")</f>
        <v>0</v>
      </c>
      <c r="IA45" s="8">
        <f>COUNTIFS('Raw data'!$D:$D,"*Ayodele Akinsanya*", 'Raw data'!$J:$J,"*Interception*")</f>
        <v>1</v>
      </c>
      <c r="IB45" s="8">
        <f>COUNTIFS('Raw data'!$D:$D,"*Ayodele Akinsanya*", 'Raw data'!$J:$J,"*Turnover Won*")</f>
        <v>0</v>
      </c>
      <c r="IC45" s="8">
        <f>COUNTIFS('Raw data'!$D:$D,"*Ayodele Akinsanya*", 'Raw data'!$J:$J,"*Recovery*")</f>
        <v>0</v>
      </c>
      <c r="ID45" s="8">
        <f>COUNTIFS('Raw data'!$D:$D,"*Ayodele Akinsanya*", 'Raw data'!$J:$J,"*Blocked Shots*")</f>
        <v>0</v>
      </c>
      <c r="IE45" s="8">
        <f>COUNTIFS('Raw data'!$D:$D,"*Ayodele Akinsanya*", 'Raw data'!$J:$J,"*Man-marking*")</f>
        <v>0</v>
      </c>
      <c r="IF45" s="8">
        <f>COUNTIFS('Raw data'!$D:$D,"*Ayodele Akinsanya*", 'Raw data'!$J:$J,"*Fouls*")</f>
        <v>0</v>
      </c>
      <c r="IG45" s="8">
        <f>COUNTIFS('Raw data'!$D:$D,"*Ayodele Akinsanya*", 'Raw data'!$J:$J,"*Won F*")</f>
        <v>0</v>
      </c>
      <c r="IH45" s="8">
        <f>COUNTIFS('Raw data'!$D:$D,"*Ayodele Akinsanya*", 'Raw data'!$G:$G,"*1v1*")</f>
        <v>0</v>
      </c>
      <c r="II45" s="8">
        <f>COUNTIFS('Raw data'!$D:$D,"*Ayodele Akinsanya*", 'Raw data'!$G:$G,"*On Target*")</f>
        <v>0</v>
      </c>
      <c r="IJ45" s="8">
        <f>COUNTIFS('Raw data'!$D:$D,"*Ayodele Akinsanya*", 'Raw data'!$G:$G,"*Off Target*")</f>
        <v>0</v>
      </c>
      <c r="IK45" s="8">
        <f>COUNTIFS('Raw data'!$D:$D,"*Ayodele Akinsanya*", 'Raw data'!$G:$G,"*Defend the Space*")</f>
        <v>0</v>
      </c>
      <c r="IL45" s="8">
        <f>COUNTIFS('Raw data'!$D:$D,"*Ayodele Akinsanya*", 'Raw data'!$G:$G,"*Conceded*")</f>
        <v>0</v>
      </c>
      <c r="IM45" s="8">
        <f>COUNTIFS('Raw data'!$D:$D,"*Ayodele Akinsanya*", 'Raw data'!$G:$G,"*Save*")</f>
        <v>0</v>
      </c>
      <c r="IN45" s="8">
        <f>COUNTIFS('Raw data'!$D:$D,"*Ayodele Akinsanya*", 'Raw data'!$G:$G,"*Defend the line (Cross)*")</f>
        <v>0</v>
      </c>
      <c r="IO45" s="8">
        <f>COUNTIFS('Raw data'!$D:$D,"*Ayodele Akinsanya*", 'Raw data'!$G:$G,"*Counter Kick*")</f>
        <v>0</v>
      </c>
      <c r="IP45" t="s">
        <v>738</v>
      </c>
    </row>
    <row r="46" spans="3:250">
      <c r="DW46" t="s">
        <v>501</v>
      </c>
      <c r="DX46" t="s">
        <v>636</v>
      </c>
      <c r="DY46">
        <v>70</v>
      </c>
      <c r="DZ46" t="s">
        <v>452</v>
      </c>
      <c r="EA46">
        <f t="shared" si="179"/>
        <v>13</v>
      </c>
      <c r="EB46" s="8">
        <f t="shared" si="304"/>
        <v>10</v>
      </c>
      <c r="EC46" s="8">
        <f t="shared" si="305"/>
        <v>3</v>
      </c>
      <c r="ED46" s="54">
        <f t="shared" si="181"/>
        <v>0.76923076923076927</v>
      </c>
      <c r="EE46" s="54">
        <f t="shared" si="182"/>
        <v>0.23076923076923078</v>
      </c>
      <c r="EF46">
        <f t="shared" si="183"/>
        <v>6</v>
      </c>
      <c r="EG46">
        <f>COUNTIFS('Raw data'!$D:$D,"*Sam Miljkovic*", 'Raw data'!$I:$I,"*Forward Pass*",'Raw data'!$M:$M,"*Pass completed*")</f>
        <v>3</v>
      </c>
      <c r="EH46">
        <f>COUNTIFS('Raw data'!$D:$D,"*Sam Miljkovic*", 'Raw data'!$I:$I,"*Forward Pass*",'Raw data'!$M:$M,"*Pass Uncompleted*")</f>
        <v>3</v>
      </c>
      <c r="EI46" s="54">
        <f t="shared" si="184"/>
        <v>0.5</v>
      </c>
      <c r="EJ46" s="54">
        <f t="shared" si="185"/>
        <v>0.5</v>
      </c>
      <c r="EK46">
        <f t="shared" si="186"/>
        <v>2</v>
      </c>
      <c r="EL46" s="8">
        <f>COUNTIFS('Raw data'!$D:$D,"*Sam Miljkovic*", 'Raw data'!$I:$I,"*Lateral Pass*",'Raw data'!$M:$M,"*Pass completed*")</f>
        <v>2</v>
      </c>
      <c r="EM46" s="8">
        <f>COUNTIFS('Raw data'!$D:$D,"*Sam Miljkovic*", 'Raw data'!$I:$I,"*Lateral Pass*",'Raw data'!$M:$M,"*Pass Uncompleted*")</f>
        <v>0</v>
      </c>
      <c r="EN46" s="54">
        <f t="shared" si="187"/>
        <v>1</v>
      </c>
      <c r="EO46" s="54">
        <f t="shared" si="188"/>
        <v>0</v>
      </c>
      <c r="EP46">
        <f t="shared" si="189"/>
        <v>5</v>
      </c>
      <c r="EQ46" s="8">
        <f>COUNTIFS('Raw data'!$D:$D,"*Sam Miljkovic*", 'Raw data'!$I:$I,"*Backward Pass*",'Raw data'!$M:$M,"*Pass completed*")</f>
        <v>5</v>
      </c>
      <c r="ER46" s="8">
        <f>COUNTIFS('Raw data'!$D:$D,"*Sam Miljkovic*", 'Raw data'!$I:$I,"*Backward Pass*",'Raw data'!$M:$M,"*Pass Uncompleted*")</f>
        <v>0</v>
      </c>
      <c r="ES46" s="54">
        <f t="shared" si="190"/>
        <v>1</v>
      </c>
      <c r="ET46" s="54">
        <f t="shared" si="191"/>
        <v>0</v>
      </c>
      <c r="EU46" s="8">
        <f>COUNTIFS('Raw data'!$D:$D,"*Sam Miljkovic*", 'Raw data'!$I:$I,"*Long Kick*")</f>
        <v>0</v>
      </c>
      <c r="EV46" s="8">
        <f>COUNTIFS('Raw data'!$D:$D,"*Sam Miljkovic*", 'Raw data'!$I:$I,"*Long Kick*",'Raw data'!$M:$M,"*Pass completed*")</f>
        <v>0</v>
      </c>
      <c r="EW46" s="8">
        <f>COUNTIFS('Raw data'!$D:$D,"*Sam Miljkovic*", 'Raw data'!$I:$I,"*Long Kick*",'Raw data'!$M:$M,"*Pass Uncompleted*")</f>
        <v>0</v>
      </c>
      <c r="EX46" s="54" t="str">
        <f t="shared" si="192"/>
        <v>-</v>
      </c>
      <c r="EY46" s="54" t="str">
        <f t="shared" si="193"/>
        <v>-</v>
      </c>
      <c r="EZ46" s="8">
        <f>COUNTIFS('Raw data'!$D:$D,"*Sam Miljkovic*", 'Raw data'!$I:$I,"*Balls in Behind*")</f>
        <v>1</v>
      </c>
      <c r="FA46" s="8">
        <f>COUNTIFS('Raw data'!$D:$D,"*Sam Miljkovic*", 'Raw data'!$I:$I,"*Balls in Behind*",'Raw data'!$M:$M,"*Pass completed*")</f>
        <v>0</v>
      </c>
      <c r="FB46" s="8">
        <f>COUNTIFS('Raw data'!$D:$D,"*Sam Miljkovic*", 'Raw data'!$I:$I,"*Balls in Behind*",'Raw data'!$M:$M,"*Pass Uncompleted*")</f>
        <v>1</v>
      </c>
      <c r="FC46" s="54">
        <f t="shared" si="194"/>
        <v>0</v>
      </c>
      <c r="FD46" s="54">
        <f t="shared" si="195"/>
        <v>1</v>
      </c>
      <c r="FE46" s="8">
        <f>COUNTIFS('Raw data'!$D:$D,"*Sam Miljkovic*", 'Raw data'!$I:$I,"*Key/Through pass*")</f>
        <v>1</v>
      </c>
      <c r="FF46" s="8">
        <f>COUNTIFS('Raw data'!$D:$D,"*Sam Miljkovic*", 'Raw data'!$I:$I,"*Diagonal pass*")</f>
        <v>0</v>
      </c>
      <c r="FG46" s="8">
        <f>COUNTIFS('Raw data'!$D:$D,"*Sam Miljkovic*", 'Raw data'!$I:$I,"*Diagonal pass*",'Raw data'!$M:$M,"*Pass completed*")</f>
        <v>0</v>
      </c>
      <c r="FH46" s="8">
        <f>COUNTIFS('Raw data'!$D:$D,"*Sam Miljkovic*", 'Raw data'!$I:$I,"*Diagonal pass*",'Raw data'!$M:$M,"*Pass Uncompleted*")</f>
        <v>0</v>
      </c>
      <c r="FI46" s="54" t="str">
        <f t="shared" si="196"/>
        <v>-</v>
      </c>
      <c r="FJ46" s="54" t="str">
        <f t="shared" si="197"/>
        <v>-</v>
      </c>
      <c r="FK46" s="8">
        <f>COUNTIFS('Raw data'!$D:$D,"*Sam Miljkovic*", 'Raw data'!$M:$M,"*Pass Received*")</f>
        <v>8</v>
      </c>
      <c r="FL46" s="8">
        <f>COUNTIFS('Raw data'!$D:$D,"*Sam Miljkovic*", 'Raw data'!$M:$M,"*Pass Completed*",'Raw data'!$M:$M,"*Pass Received*")</f>
        <v>8</v>
      </c>
      <c r="FM46" s="8">
        <f>COUNTIFS('Raw data'!$D:$D,"*Sam Miljkovic*", 'Raw data'!$M:$M,"*Pass Uncompleted*",'Raw data'!$M:$M,"*Pass Received*")</f>
        <v>0</v>
      </c>
      <c r="FN46" s="8">
        <f>COUNTIFS('Raw data'!$D:$D,"*Sam Miljkovic*", 'Raw data'!$M:$M,"*Kept Possession*",'Raw data'!$M:$M,"*Pass Received*")</f>
        <v>0</v>
      </c>
      <c r="FO46" s="8">
        <f>COUNTIFS('Raw data'!$D:$D,"*Sam Miljkovic*", 'Raw data'!$M:$M,"*Lost Possession*")</f>
        <v>0</v>
      </c>
      <c r="FP46" s="8">
        <f>COUNTIFS('Raw data'!$D:$D,"*Sam Miljkovic*", 'Raw data'!$M:$M,"*Lost Possession*",'Raw data'!$M:$M,"*Lost Final 1/3*")</f>
        <v>0</v>
      </c>
      <c r="FQ46" s="8">
        <f>COUNTIFS('Raw data'!$D:$D,"*Sam Miljkovic*", 'Raw data'!$M:$M,"*Lost Possession*",'Raw data'!$M:$M,"*Lost Middle 1/3*")</f>
        <v>0</v>
      </c>
      <c r="FR46" s="8">
        <f>COUNTIFS('Raw data'!$D:$D,"*Sam Miljkovic*", 'Raw data'!$M:$M,"*Lost Possession*",'Raw data'!$M:$M,"*Lost Own 1/3*")</f>
        <v>0</v>
      </c>
      <c r="FS46" s="8">
        <f>COUNTIFS('Raw data'!$D:$D,"*Sam Miljkovic*", 'Raw data'!$H:$H,"*Touches in the Box*")</f>
        <v>1</v>
      </c>
      <c r="FT46" s="8">
        <f>COUNTIFS('Raw data'!$D:$D,"*Sam Miljkovic*", 'Raw data'!$H:$H,"*1v1 Attack*")</f>
        <v>0</v>
      </c>
      <c r="FU46" s="8">
        <f>COUNTIFS('Raw data'!$D:$D,"*Sam Miljkovic*", 'Raw data'!$H:$H,"*1v1 Attack*",'Raw data'!$H:$H,"*1v1 Attack*",'Raw data'!$M:$M,"*Kept Possession*")</f>
        <v>0</v>
      </c>
      <c r="FV46" s="8">
        <f>COUNTIFS('Raw data'!$D:$D,"*Sam Miljkovic*", 'Raw data'!$H:$H,"*1v1 Attack*",'Raw data'!$H:$H,"*1v1 Attack*",'Raw data'!$M:$M,"*Lost Possession*")</f>
        <v>0</v>
      </c>
      <c r="FW46" s="54" t="str">
        <f t="shared" si="198"/>
        <v>-</v>
      </c>
      <c r="FX46" s="54" t="str">
        <f t="shared" si="199"/>
        <v>-</v>
      </c>
      <c r="FY46" s="8">
        <f>COUNTIFS('Raw data'!$D:$D,"*Sam Miljkovic*", 'Raw data'!$I:$I,"*Cross*")</f>
        <v>1</v>
      </c>
      <c r="FZ46" s="8">
        <f>COUNTIFS('Raw data'!$D:$D,"*Sam Miljkovic*", 'Raw data'!$I:$I,"*Cross*",'Raw data'!$M:$M,"*Pass Completed*")</f>
        <v>0</v>
      </c>
      <c r="GA46" s="8">
        <f>COUNTIFS('Raw data'!$D:$D,"*Sam Miljkovic*", 'Raw data'!$I:$I,"*Cross*",'Raw data'!$M:$M,"*Pass Uncompleted*")</f>
        <v>1</v>
      </c>
      <c r="GB46" s="54">
        <f t="shared" si="200"/>
        <v>0</v>
      </c>
      <c r="GC46" s="54">
        <f t="shared" si="201"/>
        <v>1</v>
      </c>
      <c r="GD46" s="8">
        <f t="shared" si="202"/>
        <v>0</v>
      </c>
      <c r="GE46" s="8">
        <f>COUNTIFS('Raw data'!$D:$D,"*Sam Miljkovic*", 'Raw data'!$L:$L,"*On Target*")</f>
        <v>0</v>
      </c>
      <c r="GF46" s="8">
        <f>COUNTIFS('Raw data'!$D:$D,"*Sam Miljkovic*", 'Raw data'!$L:$L,"*Off Target*")</f>
        <v>0</v>
      </c>
      <c r="GG46" s="8">
        <f>COUNTIFS('Raw data'!$D:$D,"*Sam Miljkovic*", 'Raw data'!$L:$L,"*Blocked*")</f>
        <v>0</v>
      </c>
      <c r="GH46" s="8">
        <f>COUNTIFS('Raw data'!$D:$D,"*Sam Miljkovic*", 'Raw data'!$M:$M,"*Goal*")</f>
        <v>0</v>
      </c>
      <c r="GI46" s="8">
        <f>COUNTIFS('Raw data'!$D:$D,"*Sam Miljkovic*", 'Raw data'!$M:$M,"*Assist*")</f>
        <v>0</v>
      </c>
      <c r="GJ46" s="8">
        <f>COUNTIFS('Raw data'!$D:$D,"*Sam Miljkovic*", 'Raw data'!$H:$H,"*Offensive duel*")</f>
        <v>0</v>
      </c>
      <c r="GK46" s="8">
        <f>COUNTIFS('Raw data'!$D:$D,"*Sam Miljkovic*", 'Raw data'!$H:$H,"*Offensive Duel*",'Raw data'!$H:$H,"*Offensive Duel*",'Raw data'!$M:$M,"*Kept Possession*")</f>
        <v>0</v>
      </c>
      <c r="GL46" s="8">
        <f>COUNTIFS('Raw data'!$D:$D,"*Sam Miljkovic*", 'Raw data'!$H:$H,"*Offensive Duel*",'Raw data'!$H:$H,"*Offensive Duel*",'Raw data'!$M:$M,"*Lost Possession*")</f>
        <v>0</v>
      </c>
      <c r="GM46" s="54" t="str">
        <f t="shared" si="203"/>
        <v>-</v>
      </c>
      <c r="GN46" s="54" t="str">
        <f t="shared" si="204"/>
        <v>-</v>
      </c>
      <c r="GO46" s="8">
        <f>COUNTIFS('Raw data'!$D:$D,"*Sam Miljkovic*", 'Raw data'!$H:$H,"*Acceleration*")</f>
        <v>0</v>
      </c>
      <c r="GP46" s="8">
        <f>COUNTIFS('Raw data'!$D:$D,"*Sam Miljkovic*", 'Raw data'!$H:$H,"*Move into Pocket*")</f>
        <v>0</v>
      </c>
      <c r="GQ46" s="8">
        <f>COUNTIFS('Raw data'!$D:$D,"*Sam Miljkovic*", 'Raw data'!$H:$H,"*Wide area*")</f>
        <v>4</v>
      </c>
      <c r="GR46" s="8">
        <f>COUNTIFS('Raw data'!$D:$D,"*Sam Miljkovic*", 'Raw data'!$H:$H,"*Back to goal*")</f>
        <v>0</v>
      </c>
      <c r="GS46" s="8">
        <f>COUNTIFS('Raw data'!$D:$D,"*Sam Miljkovic*", 'Raw data'!$H:$H,"*Over/Underlaps*")</f>
        <v>0</v>
      </c>
      <c r="GT46" s="8">
        <f>COUNTIFS('Raw data'!$D:$D,"*Sam Miljkovic*", 'Raw data'!$H:$H,"*Runs in Behind*")</f>
        <v>0</v>
      </c>
      <c r="GU46" s="8">
        <f>COUNTIFS('Raw data'!$D:$D,"*Sam Miljkovic*", 'Raw data'!$H:$H,"*Half-space Runs*")</f>
        <v>0</v>
      </c>
      <c r="GV46" s="8">
        <f t="shared" si="205"/>
        <v>4</v>
      </c>
      <c r="GW46" s="8">
        <f t="shared" si="206"/>
        <v>3</v>
      </c>
      <c r="GX46" s="8">
        <f t="shared" si="207"/>
        <v>1</v>
      </c>
      <c r="GY46" s="54">
        <f t="shared" si="208"/>
        <v>0.75</v>
      </c>
      <c r="GZ46" s="54">
        <f t="shared" si="209"/>
        <v>0.25</v>
      </c>
      <c r="HA46" s="8">
        <f>COUNTIFS('Raw data'!$D:$D,"*Sam Miljkovic*", 'Raw data'!$K:$K,"*Ground duel*")</f>
        <v>3</v>
      </c>
      <c r="HB46" s="8">
        <f>COUNTIFS('Raw data'!$D:$D,"*Sam Miljkovic*", 'Raw data'!$K:$K,"*Ground duel*",'Raw data'!$M:$M,"*Duel Succeeded*")</f>
        <v>2</v>
      </c>
      <c r="HC46" s="8">
        <f>COUNTIFS('Raw data'!$D:$D,"*Sam Miljkovic*", 'Raw data'!$K:$K,"*Ground duel*",'Raw data'!$M:$M,"*Duel Unsucceeded*")</f>
        <v>1</v>
      </c>
      <c r="HD46" s="54">
        <f t="shared" si="210"/>
        <v>0.66666666666666663</v>
      </c>
      <c r="HE46" s="54">
        <f t="shared" si="211"/>
        <v>0.33333333333333331</v>
      </c>
      <c r="HF46" s="8">
        <f>COUNTIFS('Raw data'!$D:$D,"*Sam Miljkovic*", 'Raw data'!$K:$K,"*Aerial duel*")</f>
        <v>1</v>
      </c>
      <c r="HG46" s="8">
        <f>COUNTIFS('Raw data'!$D:$D,"*Sam Miljkovic*", 'Raw data'!$K:$K,"*Aerial duel*",'Raw data'!$M:$M,"*Duel Succeeded*")</f>
        <v>1</v>
      </c>
      <c r="HH46" s="8">
        <f>COUNTIFS('Raw data'!$D:$D,"*Sam Miljkovic*", 'Raw data'!$K:$K,"*Aerial duel*",'Raw data'!$M:$M,"*Duel Unsucceeded*")</f>
        <v>0</v>
      </c>
      <c r="HI46" s="54">
        <f t="shared" si="212"/>
        <v>1</v>
      </c>
      <c r="HJ46" s="54">
        <f t="shared" si="213"/>
        <v>0</v>
      </c>
      <c r="HK46" s="8">
        <f>COUNTIFS('Raw data'!$D:$D,"*Sam Miljkovic*", 'Raw data'!$K:$K,"*1v1 defense*")</f>
        <v>0</v>
      </c>
      <c r="HL46" s="8">
        <f>COUNTIFS('Raw data'!$D:$D,"*Sam Miljkovic*", 'Raw data'!$K:$K,"*1v1 defense*",'Raw data'!$M:$M,"*Duel Succeeded*")</f>
        <v>0</v>
      </c>
      <c r="HM46" s="8">
        <f>COUNTIFS('Raw data'!$D:$D,"*Sam Miljkovic*", 'Raw data'!$K:$K,"*1v1 defense*",'Raw data'!$M:$M,"*Duel Unsucceeded*")</f>
        <v>0</v>
      </c>
      <c r="HN46" s="54" t="str">
        <f t="shared" si="214"/>
        <v>-</v>
      </c>
      <c r="HO46" s="54" t="str">
        <f t="shared" si="215"/>
        <v>-</v>
      </c>
      <c r="HP46" s="8">
        <f>COUNTIFS('Raw data'!$D:$D,"*Sam Miljkovic*", 'Raw data'!$J:$J,"*Tackles*")</f>
        <v>0</v>
      </c>
      <c r="HQ46" s="8">
        <f>COUNTIFS('Raw data'!$D:$D,"*Sam Miljkovic*", 'Raw data'!$J:$J,"*Tackles*", 'Raw data'!$M:$M,"*Duel Succeeded*")</f>
        <v>0</v>
      </c>
      <c r="HR46" s="8">
        <f>COUNTIFS('Raw data'!$D:$D,"*Sam Miljkovic*", 'Raw data'!$J:$J,"*Tackles*", 'Raw data'!$M:$M,"*Duel Unsucceeded*")</f>
        <v>0</v>
      </c>
      <c r="HS46" s="54" t="str">
        <f t="shared" si="216"/>
        <v>-</v>
      </c>
      <c r="HT46" s="54" t="str">
        <f t="shared" si="217"/>
        <v>-</v>
      </c>
      <c r="HU46" s="8">
        <f>COUNTIFS('Raw data'!$D:$D,"*Sam Miljkovic*", 'Raw data'!$K:$K,"*2nd Balls*")</f>
        <v>0</v>
      </c>
      <c r="HV46" s="8">
        <f>COUNTIFS('Raw data'!$D:$D,"*Sam Miljkovic*", 'Raw data'!$K:$K,"*2nd Balls*", 'Raw data'!$M:$M,"*Duel Succeeded*")</f>
        <v>0</v>
      </c>
      <c r="HW46" s="8">
        <f>COUNTIFS('Raw data'!$D:$D,"*Sam Miljkovic*", 'Raw data'!$K:$K,"*2nd Balls*", 'Raw data'!$M:$M,"*Duel Unsucceeded*")</f>
        <v>0</v>
      </c>
      <c r="HX46" s="54" t="str">
        <f t="shared" si="218"/>
        <v>-</v>
      </c>
      <c r="HY46" s="54" t="str">
        <f t="shared" si="219"/>
        <v>-</v>
      </c>
      <c r="HZ46" s="8">
        <f>COUNTIFS('Raw data'!$D:$D,"*Sam Miljkovic*", 'Raw data'!$J:$J,"*Clearance*")</f>
        <v>0</v>
      </c>
      <c r="IA46" s="8">
        <f>COUNTIFS('Raw data'!$D:$D,"*Sam Miljkovic*", 'Raw data'!$J:$J,"*Interception*")</f>
        <v>3</v>
      </c>
      <c r="IB46" s="8">
        <f>COUNTIFS('Raw data'!$D:$D,"*Sam Miljkovic*", 'Raw data'!$J:$J,"*Turnover Won*")</f>
        <v>4</v>
      </c>
      <c r="IC46" s="8">
        <f>COUNTIFS('Raw data'!$D:$D,"*Sam Miljkovic*", 'Raw data'!$J:$J,"*Recovery*")</f>
        <v>1</v>
      </c>
      <c r="ID46" s="8">
        <f>COUNTIFS('Raw data'!$D:$D,"*Sam Miljkovic*", 'Raw data'!$J:$J,"*Blocked Shots*")</f>
        <v>0</v>
      </c>
      <c r="IE46" s="8">
        <f>COUNTIFS('Raw data'!$D:$D,"*Sam Miljkovic*", 'Raw data'!$J:$J,"*Man-marking*")</f>
        <v>0</v>
      </c>
      <c r="IF46" s="8">
        <f>COUNTIFS('Raw data'!$D:$D,"*Sam Miljkovic*", 'Raw data'!$J:$J,"*Fouls*")</f>
        <v>1</v>
      </c>
      <c r="IG46" s="8">
        <f>COUNTIFS('Raw data'!$D:$D,"*Sam Miljkovic*", 'Raw data'!$J:$J,"*Won F*")</f>
        <v>0</v>
      </c>
      <c r="IH46" s="8">
        <f>COUNTIFS('Raw data'!$D:$D,"*Sam Miljkovic*", 'Raw data'!$G:$G,"*1v1*")</f>
        <v>0</v>
      </c>
      <c r="II46" s="8">
        <f>COUNTIFS('Raw data'!$D:$D,"*Sam Miljkovic*", 'Raw data'!$G:$G,"*On Target*")</f>
        <v>0</v>
      </c>
      <c r="IJ46" s="8">
        <f>COUNTIFS('Raw data'!$D:$D,"*Sam Miljkovic*", 'Raw data'!$G:$G,"*Off Target*")</f>
        <v>0</v>
      </c>
      <c r="IK46" s="8">
        <f>COUNTIFS('Raw data'!$D:$D,"*Sam Miljkovic*", 'Raw data'!$G:$G,"*Defend the Space*")</f>
        <v>0</v>
      </c>
      <c r="IL46" s="8">
        <f>COUNTIFS('Raw data'!$D:$D,"*Sam Miljkovic*", 'Raw data'!$G:$G,"*Conceded*")</f>
        <v>0</v>
      </c>
      <c r="IM46" s="8">
        <f>COUNTIFS('Raw data'!$D:$D,"*Sam Miljkovic*", 'Raw data'!$G:$G,"*Save*")</f>
        <v>0</v>
      </c>
      <c r="IN46" s="8">
        <f>COUNTIFS('Raw data'!$D:$D,"*Sam Miljkovic*", 'Raw data'!$G:$G,"*Defend the line (Cross)*")</f>
        <v>0</v>
      </c>
      <c r="IO46" s="8">
        <f>COUNTIFS('Raw data'!$D:$D,"*Sam Miljkovic*", 'Raw data'!$G:$G,"*Counter Kick*")</f>
        <v>0</v>
      </c>
      <c r="IP46" t="s">
        <v>636</v>
      </c>
    </row>
    <row r="47" spans="3:250">
      <c r="DW47" t="s">
        <v>501</v>
      </c>
      <c r="DX47" t="s">
        <v>626</v>
      </c>
      <c r="DY47">
        <v>80</v>
      </c>
      <c r="DZ47" t="s">
        <v>538</v>
      </c>
      <c r="EA47">
        <f t="shared" si="179"/>
        <v>20</v>
      </c>
      <c r="EB47" s="8">
        <f t="shared" si="304"/>
        <v>17</v>
      </c>
      <c r="EC47" s="8">
        <f t="shared" si="305"/>
        <v>3</v>
      </c>
      <c r="ED47" s="54">
        <f t="shared" si="181"/>
        <v>0.85</v>
      </c>
      <c r="EE47" s="54">
        <f t="shared" si="182"/>
        <v>0.15</v>
      </c>
      <c r="EF47">
        <f t="shared" si="183"/>
        <v>7</v>
      </c>
      <c r="EG47">
        <f>COUNTIFS('Raw data'!$D:$D,"*Romeo Hamilton*", 'Raw data'!$I:$I,"*Forward Pass*",'Raw data'!$M:$M,"*Pass completed*")</f>
        <v>4</v>
      </c>
      <c r="EH47">
        <f>COUNTIFS('Raw data'!$D:$D,"*Romeo Hamilton*", 'Raw data'!$I:$I,"*Forward Pass*",'Raw data'!$M:$M,"*Pass Uncompleted*")</f>
        <v>3</v>
      </c>
      <c r="EI47" s="54">
        <f t="shared" si="184"/>
        <v>0.5714285714285714</v>
      </c>
      <c r="EJ47" s="54">
        <f t="shared" si="185"/>
        <v>0.42857142857142855</v>
      </c>
      <c r="EK47">
        <f t="shared" si="186"/>
        <v>3</v>
      </c>
      <c r="EL47" s="8">
        <f>COUNTIFS('Raw data'!$D:$D,"*Romeo Hamilton*", 'Raw data'!$I:$I,"*Lateral Pass*",'Raw data'!$M:$M,"*Pass completed*")</f>
        <v>3</v>
      </c>
      <c r="EM47" s="8">
        <f>COUNTIFS('Raw data'!$D:$D,"*Romeo Hamilton*", 'Raw data'!$I:$I,"*Lateral Pass*",'Raw data'!$M:$M,"*Pass Uncompleted*")</f>
        <v>0</v>
      </c>
      <c r="EN47" s="54">
        <f t="shared" si="187"/>
        <v>1</v>
      </c>
      <c r="EO47" s="54">
        <f t="shared" si="188"/>
        <v>0</v>
      </c>
      <c r="EP47">
        <f t="shared" si="189"/>
        <v>10</v>
      </c>
      <c r="EQ47" s="8">
        <f>COUNTIFS('Raw data'!$D:$D,"*Romeo Hamilton*", 'Raw data'!$I:$I,"*Backward Pass*",'Raw data'!$M:$M,"*Pass completed*")</f>
        <v>10</v>
      </c>
      <c r="ER47" s="8">
        <f>COUNTIFS('Raw data'!$D:$D,"*Romeo Hamilton*", 'Raw data'!$I:$I,"*Backward Pass*",'Raw data'!$M:$M,"*Pass Uncompleted*")</f>
        <v>0</v>
      </c>
      <c r="ES47" s="54">
        <f t="shared" si="190"/>
        <v>1</v>
      </c>
      <c r="ET47" s="54">
        <f t="shared" si="191"/>
        <v>0</v>
      </c>
      <c r="EU47" s="8">
        <f>COUNTIFS('Raw data'!$D:$D,"*Romeo Hamilton*", 'Raw data'!$I:$I,"*Long Kick*")</f>
        <v>1</v>
      </c>
      <c r="EV47" s="8">
        <f>COUNTIFS('Raw data'!$D:$D,"*Romeo Hamilton*", 'Raw data'!$I:$I,"*Long Kick*",'Raw data'!$M:$M,"*Pass completed*")</f>
        <v>0</v>
      </c>
      <c r="EW47" s="8">
        <f>COUNTIFS('Raw data'!$D:$D,"*Romeo Hamilton*", 'Raw data'!$I:$I,"*Long Kick*",'Raw data'!$M:$M,"*Pass Uncompleted*")</f>
        <v>1</v>
      </c>
      <c r="EX47" s="54">
        <f t="shared" si="192"/>
        <v>0</v>
      </c>
      <c r="EY47" s="54">
        <f t="shared" si="193"/>
        <v>1</v>
      </c>
      <c r="EZ47" s="8">
        <f>COUNTIFS('Raw data'!$D:$D,"*Romeo Hamilton*", 'Raw data'!$I:$I,"*Balls in Behind*")</f>
        <v>2</v>
      </c>
      <c r="FA47" s="8">
        <f>COUNTIFS('Raw data'!$D:$D,"*Romeo Hamilton*", 'Raw data'!$I:$I,"*Balls in Behind*",'Raw data'!$M:$M,"*Pass completed*")</f>
        <v>2</v>
      </c>
      <c r="FB47" s="8">
        <f>COUNTIFS('Raw data'!$D:$D,"*Romeo Hamilton*", 'Raw data'!$I:$I,"*Balls in Behind*",'Raw data'!$M:$M,"*Pass Uncompleted*")</f>
        <v>0</v>
      </c>
      <c r="FC47" s="54">
        <f t="shared" si="194"/>
        <v>1</v>
      </c>
      <c r="FD47" s="54">
        <f t="shared" si="195"/>
        <v>0</v>
      </c>
      <c r="FE47" s="8">
        <f>COUNTIFS('Raw data'!$D:$D,"*Romeo Hamilton*", 'Raw data'!$I:$I,"*Key/Through pass*")</f>
        <v>1</v>
      </c>
      <c r="FF47" s="8">
        <f>COUNTIFS('Raw data'!$D:$D,"*Romeo Hamilton*", 'Raw data'!$I:$I,"*Diagonal pass*")</f>
        <v>0</v>
      </c>
      <c r="FG47" s="8">
        <f>COUNTIFS('Raw data'!$D:$D,"*Romeo Hamilton*", 'Raw data'!$I:$I,"*Diagonal pass*",'Raw data'!$M:$M,"*Pass completed*")</f>
        <v>0</v>
      </c>
      <c r="FH47" s="8">
        <f>COUNTIFS('Raw data'!$D:$D,"*Romeo Hamilton*", 'Raw data'!$I:$I,"*Diagonal pass*",'Raw data'!$M:$M,"*Pass Uncompleted*")</f>
        <v>0</v>
      </c>
      <c r="FI47" s="54" t="str">
        <f t="shared" si="196"/>
        <v>-</v>
      </c>
      <c r="FJ47" s="54" t="str">
        <f t="shared" si="197"/>
        <v>-</v>
      </c>
      <c r="FK47" s="8">
        <f>COUNTIFS('Raw data'!$D:$D,"*Romeo Hamilton*", 'Raw data'!$M:$M,"*Pass Received*")</f>
        <v>20</v>
      </c>
      <c r="FL47" s="8">
        <f>COUNTIFS('Raw data'!$D:$D,"*Romeo Hamilton*", 'Raw data'!$M:$M,"*Pass Completed*",'Raw data'!$M:$M,"*Pass Received*")</f>
        <v>15</v>
      </c>
      <c r="FM47" s="8">
        <f>COUNTIFS('Raw data'!$D:$D,"*Romeo Hamilton*", 'Raw data'!$M:$M,"*Pass Uncompleted*",'Raw data'!$M:$M,"*Pass Received*")</f>
        <v>2</v>
      </c>
      <c r="FN47" s="8">
        <f>COUNTIFS('Raw data'!$D:$D,"*Romeo Hamilton*", 'Raw data'!$M:$M,"*Kept Possession*",'Raw data'!$M:$M,"*Pass Received*")</f>
        <v>3</v>
      </c>
      <c r="FO47" s="8">
        <f>COUNTIFS('Raw data'!$D:$D,"*Romeo Hamilton*", 'Raw data'!$M:$M,"*Lost Possession*")</f>
        <v>4</v>
      </c>
      <c r="FP47" s="8">
        <f>COUNTIFS('Raw data'!$D:$D,"*Romeo Hamilton*", 'Raw data'!$M:$M,"*Lost Possession*",'Raw data'!$M:$M,"*Lost Final 1/3*")</f>
        <v>3</v>
      </c>
      <c r="FQ47" s="8">
        <f>COUNTIFS('Raw data'!$D:$D,"*Romeo Hamilton*", 'Raw data'!$M:$M,"*Lost Possession*",'Raw data'!$M:$M,"*Lost Middle 1/3*")</f>
        <v>0</v>
      </c>
      <c r="FR47" s="8">
        <f>COUNTIFS('Raw data'!$D:$D,"*Romeo Hamilton*", 'Raw data'!$M:$M,"*Lost Possession*",'Raw data'!$M:$M,"*Lost Own 1/3*")</f>
        <v>1</v>
      </c>
      <c r="FS47" s="8">
        <f>COUNTIFS('Raw data'!$D:$D,"*Romeo Hamilton*", 'Raw data'!$H:$H,"*Touches in the Box*")</f>
        <v>1</v>
      </c>
      <c r="FT47" s="8">
        <f>COUNTIFS('Raw data'!$D:$D,"*Romeo Hamilton*", 'Raw data'!$H:$H,"*1v1 Attack*")</f>
        <v>5</v>
      </c>
      <c r="FU47" s="8">
        <f>COUNTIFS('Raw data'!$D:$D,"*Romeo Hamilton*", 'Raw data'!$H:$H,"*1v1 Attack*",'Raw data'!$H:$H,"*1v1 Attack*",'Raw data'!$M:$M,"*Kept Possession*")</f>
        <v>3</v>
      </c>
      <c r="FV47" s="8">
        <f>COUNTIFS('Raw data'!$D:$D,"*Romeo Hamilton*", 'Raw data'!$H:$H,"*1v1 Attack*",'Raw data'!$H:$H,"*1v1 Attack*",'Raw data'!$M:$M,"*Lost Possession*")</f>
        <v>2</v>
      </c>
      <c r="FW47" s="54">
        <f t="shared" si="198"/>
        <v>0.6</v>
      </c>
      <c r="FX47" s="54">
        <f t="shared" si="199"/>
        <v>0.4</v>
      </c>
      <c r="FY47" s="8">
        <f>COUNTIFS('Raw data'!$D:$D,"*Romeo Hamilton*", 'Raw data'!$I:$I,"*Cross*")</f>
        <v>2</v>
      </c>
      <c r="FZ47" s="8">
        <f>COUNTIFS('Raw data'!$D:$D,"*Romeo Hamilton*", 'Raw data'!$I:$I,"*Cross*",'Raw data'!$M:$M,"*Pass Completed*")</f>
        <v>2</v>
      </c>
      <c r="GA47" s="8">
        <f>COUNTIFS('Raw data'!$D:$D,"*Romeo Hamilton*", 'Raw data'!$I:$I,"*Cross*",'Raw data'!$M:$M,"*Pass Uncompleted*")</f>
        <v>0</v>
      </c>
      <c r="GB47" s="54">
        <f t="shared" si="200"/>
        <v>1</v>
      </c>
      <c r="GC47" s="54">
        <f t="shared" si="201"/>
        <v>0</v>
      </c>
      <c r="GD47" s="8">
        <f t="shared" si="202"/>
        <v>0</v>
      </c>
      <c r="GE47" s="8">
        <f>COUNTIFS('Raw data'!$D:$D,"*Romeo Hamilton*", 'Raw data'!$L:$L,"*On Target*")</f>
        <v>0</v>
      </c>
      <c r="GF47" s="8">
        <f>COUNTIFS('Raw data'!$D:$D,"*Romeo Hamilton*", 'Raw data'!$L:$L,"*Off Target*")</f>
        <v>0</v>
      </c>
      <c r="GG47" s="8">
        <f>COUNTIFS('Raw data'!$D:$D,"*Romeo Hamilton*", 'Raw data'!$L:$L,"*Blocked*")</f>
        <v>0</v>
      </c>
      <c r="GH47" s="8">
        <f>COUNTIFS('Raw data'!$D:$D,"*Romeo Hamilton*", 'Raw data'!$M:$M,"*Goal*")</f>
        <v>0</v>
      </c>
      <c r="GI47" s="8">
        <f>COUNTIFS('Raw data'!$D:$D,"*Romeo Hamilton*", 'Raw data'!$M:$M,"*Assist*")</f>
        <v>1</v>
      </c>
      <c r="GJ47" s="8">
        <f>COUNTIFS('Raw data'!$D:$D,"*Romeo Hamilton*", 'Raw data'!$H:$H,"*Offensive duel*")</f>
        <v>3</v>
      </c>
      <c r="GK47" s="8">
        <f>COUNTIFS('Raw data'!$D:$D,"*Romeo Hamilton*", 'Raw data'!$H:$H,"*Offensive Duel*",'Raw data'!$H:$H,"*Offensive Duel*",'Raw data'!$M:$M,"*Kept Possession*")</f>
        <v>3</v>
      </c>
      <c r="GL47" s="8">
        <f>COUNTIFS('Raw data'!$D:$D,"*Romeo Hamilton*", 'Raw data'!$H:$H,"*Offensive Duel*",'Raw data'!$H:$H,"*Offensive Duel*",'Raw data'!$M:$M,"*Lost Possession*")</f>
        <v>0</v>
      </c>
      <c r="GM47" s="54">
        <f t="shared" si="203"/>
        <v>1</v>
      </c>
      <c r="GN47" s="54">
        <f t="shared" si="204"/>
        <v>0</v>
      </c>
      <c r="GO47" s="8">
        <f>COUNTIFS('Raw data'!$D:$D,"*Romeo Hamilton*", 'Raw data'!$H:$H,"*Acceleration*")</f>
        <v>2</v>
      </c>
      <c r="GP47" s="8">
        <f>COUNTIFS('Raw data'!$D:$D,"*Romeo Hamilton*", 'Raw data'!$H:$H,"*Move into Pocket*")</f>
        <v>2</v>
      </c>
      <c r="GQ47" s="8">
        <f>COUNTIFS('Raw data'!$D:$D,"*Romeo Hamilton*", 'Raw data'!$H:$H,"*Wide area*")</f>
        <v>14</v>
      </c>
      <c r="GR47" s="8">
        <f>COUNTIFS('Raw data'!$D:$D,"*Romeo Hamilton*", 'Raw data'!$H:$H,"*Back to goal*")</f>
        <v>0</v>
      </c>
      <c r="GS47" s="8">
        <f>COUNTIFS('Raw data'!$D:$D,"*Romeo Hamilton*", 'Raw data'!$H:$H,"*Over/Underlaps*")</f>
        <v>0</v>
      </c>
      <c r="GT47" s="8">
        <f>COUNTIFS('Raw data'!$D:$D,"*Romeo Hamilton*", 'Raw data'!$H:$H,"*Runs in Behind*")</f>
        <v>1</v>
      </c>
      <c r="GU47" s="8">
        <f>COUNTIFS('Raw data'!$D:$D,"*Romeo Hamilton*", 'Raw data'!$H:$H,"*Half-space Runs*")</f>
        <v>0</v>
      </c>
      <c r="GV47" s="8">
        <f t="shared" si="205"/>
        <v>7</v>
      </c>
      <c r="GW47" s="8">
        <f t="shared" si="206"/>
        <v>6</v>
      </c>
      <c r="GX47" s="8">
        <f t="shared" si="207"/>
        <v>1</v>
      </c>
      <c r="GY47" s="54">
        <f t="shared" si="208"/>
        <v>0.8571428571428571</v>
      </c>
      <c r="GZ47" s="54">
        <f t="shared" si="209"/>
        <v>0.14285714285714285</v>
      </c>
      <c r="HA47" s="8">
        <f>COUNTIFS('Raw data'!$D:$D,"*Romeo Hamilton*", 'Raw data'!$K:$K,"*Ground duel*")</f>
        <v>3</v>
      </c>
      <c r="HB47" s="8">
        <f>COUNTIFS('Raw data'!$D:$D,"*Romeo Hamilton*", 'Raw data'!$K:$K,"*Ground duel*",'Raw data'!$M:$M,"*Duel Succeeded*")</f>
        <v>3</v>
      </c>
      <c r="HC47" s="8">
        <f>COUNTIFS('Raw data'!$D:$D,"*Romeo Hamilton*", 'Raw data'!$K:$K,"*Ground duel*",'Raw data'!$M:$M,"*Duel Unsucceeded*")</f>
        <v>0</v>
      </c>
      <c r="HD47" s="54">
        <f t="shared" si="210"/>
        <v>1</v>
      </c>
      <c r="HE47" s="54">
        <f t="shared" si="211"/>
        <v>0</v>
      </c>
      <c r="HF47" s="8">
        <f>COUNTIFS('Raw data'!$D:$D,"*Romeo Hamilton*", 'Raw data'!$K:$K,"*Aerial duel*")</f>
        <v>1</v>
      </c>
      <c r="HG47" s="8">
        <f>COUNTIFS('Raw data'!$D:$D,"*Romeo Hamilton*", 'Raw data'!$K:$K,"*Aerial duel*",'Raw data'!$M:$M,"*Duel Succeeded*")</f>
        <v>0</v>
      </c>
      <c r="HH47" s="8">
        <f>COUNTIFS('Raw data'!$D:$D,"*Romeo Hamilton*", 'Raw data'!$K:$K,"*Aerial duel*",'Raw data'!$M:$M,"*Duel Unsucceeded*")</f>
        <v>1</v>
      </c>
      <c r="HI47" s="54" t="str">
        <f t="shared" si="212"/>
        <v>-</v>
      </c>
      <c r="HJ47" s="54" t="str">
        <f t="shared" si="213"/>
        <v>-</v>
      </c>
      <c r="HK47" s="8">
        <f>COUNTIFS('Raw data'!$D:$D,"*Romeo Hamilton*", 'Raw data'!$K:$K,"*1v1 defense*")</f>
        <v>2</v>
      </c>
      <c r="HL47" s="8">
        <f>COUNTIFS('Raw data'!$D:$D,"*Romeo Hamilton*", 'Raw data'!$K:$K,"*1v1 defense*",'Raw data'!$M:$M,"*Duel Succeeded*")</f>
        <v>1</v>
      </c>
      <c r="HM47" s="8">
        <f>COUNTIFS('Raw data'!$D:$D,"*Romeo Hamilton*", 'Raw data'!$K:$K,"*1v1 defense*",'Raw data'!$M:$M,"*Duel Unsucceeded*")</f>
        <v>1</v>
      </c>
      <c r="HN47" s="54">
        <f t="shared" si="214"/>
        <v>0.5</v>
      </c>
      <c r="HO47" s="54">
        <f t="shared" si="215"/>
        <v>0.5</v>
      </c>
      <c r="HP47" s="8">
        <f>COUNTIFS('Raw data'!$D:$D,"*Romeo Hamilton*", 'Raw data'!$J:$J,"*Tackles*")</f>
        <v>1</v>
      </c>
      <c r="HQ47" s="8">
        <f>COUNTIFS('Raw data'!$D:$D,"*Romeo Hamilton*", 'Raw data'!$J:$J,"*Tackles*", 'Raw data'!$M:$M,"*Duel Succeeded*")</f>
        <v>1</v>
      </c>
      <c r="HR47" s="8">
        <f>COUNTIFS('Raw data'!$D:$D,"*Romeo Hamilton*", 'Raw data'!$J:$J,"*Tackles*", 'Raw data'!$M:$M,"*Duel Unsucceeded*")</f>
        <v>0</v>
      </c>
      <c r="HS47" s="54">
        <f t="shared" si="216"/>
        <v>1</v>
      </c>
      <c r="HT47" s="54">
        <f t="shared" si="217"/>
        <v>0</v>
      </c>
      <c r="HU47" s="8">
        <f>COUNTIFS('Raw data'!$D:$D,"*Romeo Hamilton*", 'Raw data'!$K:$K,"*2nd Balls*")</f>
        <v>1</v>
      </c>
      <c r="HV47" s="8">
        <f>COUNTIFS('Raw data'!$D:$D,"*Romeo Hamilton*", 'Raw data'!$K:$K,"*2nd Balls*", 'Raw data'!$M:$M,"*Duel Succeeded*")</f>
        <v>0</v>
      </c>
      <c r="HW47" s="8">
        <f>COUNTIFS('Raw data'!$D:$D,"*Romeo Hamilton*", 'Raw data'!$K:$K,"*2nd Balls*", 'Raw data'!$M:$M,"*Duel Unsucceeded*")</f>
        <v>1</v>
      </c>
      <c r="HX47" s="54">
        <f t="shared" si="218"/>
        <v>0</v>
      </c>
      <c r="HY47" s="54">
        <f t="shared" si="219"/>
        <v>1</v>
      </c>
      <c r="HZ47" s="8">
        <f>COUNTIFS('Raw data'!$D:$D,"*Romeo Hamilton*", 'Raw data'!$J:$J,"*Clearance*")</f>
        <v>2</v>
      </c>
      <c r="IA47" s="8">
        <f>COUNTIFS('Raw data'!$D:$D,"*Romeo Hamilton*", 'Raw data'!$J:$J,"*Interception*")</f>
        <v>1</v>
      </c>
      <c r="IB47" s="8">
        <f>COUNTIFS('Raw data'!$D:$D,"*Romeo Hamilton*", 'Raw data'!$J:$J,"*Turnover Won*")</f>
        <v>3</v>
      </c>
      <c r="IC47" s="8">
        <f>COUNTIFS('Raw data'!$D:$D,"*Romeo Hamilton*", 'Raw data'!$J:$J,"*Recovery*")</f>
        <v>2</v>
      </c>
      <c r="ID47" s="8">
        <f>COUNTIFS('Raw data'!$D:$D,"*Romeo Hamilton*", 'Raw data'!$J:$J,"*Blocked Shots*")</f>
        <v>0</v>
      </c>
      <c r="IE47" s="8">
        <f>COUNTIFS('Raw data'!$D:$D,"*Romeo Hamilton*", 'Raw data'!$J:$J,"*Man-marking*")</f>
        <v>0</v>
      </c>
      <c r="IF47" s="8">
        <f>COUNTIFS('Raw data'!$D:$D,"*Romeo Hamilton*", 'Raw data'!$J:$J,"*Fouls*")</f>
        <v>0</v>
      </c>
      <c r="IG47" s="8">
        <f>COUNTIFS('Raw data'!$D:$D,"*Romeo Hamilton*", 'Raw data'!$J:$J,"*Won F*")</f>
        <v>0</v>
      </c>
      <c r="IH47" s="8">
        <f>COUNTIFS('Raw data'!$D:$D,"*Romeo Hamilton*", 'Raw data'!$G:$G,"*1v1*")</f>
        <v>0</v>
      </c>
      <c r="II47" s="8">
        <f>COUNTIFS('Raw data'!$D:$D,"*Romeo Hamilton*", 'Raw data'!$G:$G,"*On Target*")</f>
        <v>0</v>
      </c>
      <c r="IJ47" s="8">
        <f>COUNTIFS('Raw data'!$D:$D,"*Romeo Hamilton*", 'Raw data'!$G:$G,"*Off Target*")</f>
        <v>0</v>
      </c>
      <c r="IK47" s="8">
        <f>COUNTIFS('Raw data'!$D:$D,"*Romeo Hamilton*", 'Raw data'!$G:$G,"*Defend the Space*")</f>
        <v>0</v>
      </c>
      <c r="IL47" s="8">
        <f>COUNTIFS('Raw data'!$D:$D,"*Romeo Hamilton*", 'Raw data'!$G:$G,"*Conceded*")</f>
        <v>0</v>
      </c>
      <c r="IM47" s="8">
        <f>COUNTIFS('Raw data'!$D:$D,"*Romeo Hamilton*", 'Raw data'!$G:$G,"*Save*")</f>
        <v>0</v>
      </c>
      <c r="IN47" s="8">
        <f>COUNTIFS('Raw data'!$D:$D,"*Romeo Hamilton*", 'Raw data'!$G:$G,"*Defend the line (Cross)*")</f>
        <v>0</v>
      </c>
      <c r="IO47" s="8">
        <f>COUNTIFS('Raw data'!$D:$D,"*Romeo Hamilton*", 'Raw data'!$G:$G,"*Counter Kick*")</f>
        <v>0</v>
      </c>
      <c r="IP47" t="s">
        <v>626</v>
      </c>
    </row>
    <row r="48" spans="3:250">
      <c r="DW48" t="s">
        <v>501</v>
      </c>
      <c r="DX48" t="s">
        <v>651</v>
      </c>
      <c r="DY48">
        <v>80</v>
      </c>
      <c r="DZ48" t="s">
        <v>538</v>
      </c>
      <c r="EA48">
        <f t="shared" ref="EA48" si="306">EB48+EC48</f>
        <v>27</v>
      </c>
      <c r="EB48" s="8">
        <f t="shared" ref="EB48" si="307">EG48+EL48+EQ48</f>
        <v>22</v>
      </c>
      <c r="EC48" s="8">
        <f t="shared" ref="EC48" si="308">EH48+EM48+ER48</f>
        <v>5</v>
      </c>
      <c r="ED48" s="54">
        <f t="shared" ref="ED48" si="309">IFERROR(EB48/$EA48,"-")</f>
        <v>0.81481481481481477</v>
      </c>
      <c r="EE48" s="54">
        <f t="shared" ref="EE48" si="310">IFERROR(EC48/$EA48,"-")</f>
        <v>0.18518518518518517</v>
      </c>
      <c r="EF48">
        <f t="shared" ref="EF48" si="311">EG48+EH48</f>
        <v>12</v>
      </c>
      <c r="EG48">
        <f>COUNTIFS('Raw data'!$D:$D,"*Levi Ampofo*", 'Raw data'!$I:$I,"*Forward Pass*",'Raw data'!$M:$M,"*Pass completed*")</f>
        <v>8</v>
      </c>
      <c r="EH48">
        <f>COUNTIFS('Raw data'!$D:$D,"*Levi Ampofo*", 'Raw data'!$I:$I,"*Forward Pass*",'Raw data'!$M:$M,"*Pass Uncompleted*")</f>
        <v>4</v>
      </c>
      <c r="EI48" s="54">
        <f t="shared" ref="EI48" si="312">IFERROR(EG48/$EF48,"-")</f>
        <v>0.66666666666666663</v>
      </c>
      <c r="EJ48" s="54">
        <f t="shared" ref="EJ48" si="313">IFERROR(EH48/$EF48,"-")</f>
        <v>0.33333333333333331</v>
      </c>
      <c r="EK48">
        <f t="shared" ref="EK48" si="314">EL48+EM48</f>
        <v>4</v>
      </c>
      <c r="EL48" s="8">
        <f>COUNTIFS('Raw data'!$D:$D,"*Levi Ampofo*", 'Raw data'!$I:$I,"*Lateral Pass*",'Raw data'!$M:$M,"*Pass completed*")</f>
        <v>4</v>
      </c>
      <c r="EM48" s="8">
        <f>COUNTIFS('Raw data'!$D:$D,"*Levi Ampofo*", 'Raw data'!$I:$I,"*Lateral Pass*",'Raw data'!$M:$M,"*Pass Uncompleted*")</f>
        <v>0</v>
      </c>
      <c r="EN48" s="54">
        <f t="shared" ref="EN48" si="315">IFERROR(EL48/$EK48,"-")</f>
        <v>1</v>
      </c>
      <c r="EO48" s="54">
        <f t="shared" ref="EO48" si="316">IFERROR(EM48/$EK48,"-")</f>
        <v>0</v>
      </c>
      <c r="EP48">
        <f t="shared" ref="EP48" si="317">EQ48+ER48</f>
        <v>11</v>
      </c>
      <c r="EQ48" s="8">
        <f>COUNTIFS('Raw data'!$D:$D,"*Levi Ampofo*", 'Raw data'!$I:$I,"*Backward Pass*",'Raw data'!$M:$M,"*Pass completed*")</f>
        <v>10</v>
      </c>
      <c r="ER48" s="8">
        <f>COUNTIFS('Raw data'!$D:$D,"*Levi Ampofo*", 'Raw data'!$I:$I,"*Backward Pass*",'Raw data'!$M:$M,"*Pass Uncompleted*")</f>
        <v>1</v>
      </c>
      <c r="ES48" s="54">
        <f t="shared" ref="ES48" si="318">IFERROR(EQ48/$EQ48,"-")</f>
        <v>1</v>
      </c>
      <c r="ET48" s="54">
        <f t="shared" ref="ET48" si="319">IFERROR(ER48/$EQ48,"-")</f>
        <v>0.1</v>
      </c>
      <c r="EU48" s="8">
        <f>COUNTIFS('Raw data'!$D:$D,"*Levi Ampofo*", 'Raw data'!$I:$I,"*Long Kick*")</f>
        <v>2</v>
      </c>
      <c r="EV48" s="8">
        <f>COUNTIFS('Raw data'!$D:$D,"*Levi Ampofo*", 'Raw data'!$I:$I,"*Long Kick*",'Raw data'!$M:$M,"*Pass completed*")</f>
        <v>1</v>
      </c>
      <c r="EW48" s="8">
        <f>COUNTIFS('Raw data'!$D:$D,"*Levi Ampofo*", 'Raw data'!$I:$I,"*Long Kick*",'Raw data'!$M:$M,"*Pass Uncompleted*")</f>
        <v>2</v>
      </c>
      <c r="EX48" s="54">
        <f t="shared" ref="EX48" si="320">IFERROR(EV48/$EU48,"-")</f>
        <v>0.5</v>
      </c>
      <c r="EY48" s="54">
        <f t="shared" ref="EY48" si="321">IFERROR(EW48/$EU48,"-")</f>
        <v>1</v>
      </c>
      <c r="EZ48" s="8">
        <f>COUNTIFS('Raw data'!$D:$D,"*Levi Ampofo*", 'Raw data'!$I:$I,"*Balls in Behind*")</f>
        <v>2</v>
      </c>
      <c r="FA48" s="8">
        <f>COUNTIFS('Raw data'!$D:$D,"*Levi Ampofo*", 'Raw data'!$I:$I,"*Balls in Behind*",'Raw data'!$M:$M,"*Pass completed*")</f>
        <v>2</v>
      </c>
      <c r="FB48" s="8">
        <f>COUNTIFS('Raw data'!$D:$D,"*Levi Ampofo*", 'Raw data'!$I:$I,"*Balls in Behind*",'Raw data'!$M:$M,"*Pass Uncompleted*")</f>
        <v>0</v>
      </c>
      <c r="FC48" s="54">
        <f t="shared" ref="FC48" si="322">IFERROR(FA48/$EZ48,"-")</f>
        <v>1</v>
      </c>
      <c r="FD48" s="54">
        <f t="shared" ref="FD48" si="323">IFERROR(FB48/$EZ48,"-")</f>
        <v>0</v>
      </c>
      <c r="FE48" s="8">
        <f>COUNTIFS('Raw data'!$D:$D,"*Levi Ampofo*", 'Raw data'!$I:$I,"*Key/Through pass*")</f>
        <v>0</v>
      </c>
      <c r="FF48" s="8">
        <f>COUNTIFS('Raw data'!$D:$D,"*Levi Ampofo*", 'Raw data'!$I:$I,"*Diagonal pass*")</f>
        <v>0</v>
      </c>
      <c r="FG48" s="8">
        <f>COUNTIFS('Raw data'!$D:$D,"*Levi Ampofo*", 'Raw data'!$I:$I,"*Diagonal pass*",'Raw data'!$M:$M,"*Pass completed*")</f>
        <v>0</v>
      </c>
      <c r="FH48" s="8">
        <f>COUNTIFS('Raw data'!$D:$D,"*Levi Ampofo*", 'Raw data'!$I:$I,"*Diagonal pass*",'Raw data'!$M:$M,"*Pass Uncompleted*")</f>
        <v>0</v>
      </c>
      <c r="FI48" s="54" t="str">
        <f t="shared" ref="FI48" si="324">IFERROR(FG48/$FF48,"-")</f>
        <v>-</v>
      </c>
      <c r="FJ48" s="54" t="str">
        <f t="shared" ref="FJ48" si="325">IFERROR(FH48/$FF48,"-")</f>
        <v>-</v>
      </c>
      <c r="FK48" s="8">
        <f>COUNTIFS('Raw data'!$D:$D,"*Levi Ampofo*", 'Raw data'!$M:$M,"*Pass Received*")</f>
        <v>21</v>
      </c>
      <c r="FL48" s="8">
        <f>COUNTIFS('Raw data'!$D:$D,"*Levi Ampofo*", 'Raw data'!$M:$M,"*Pass Completed*",'Raw data'!$M:$M,"*Pass Received*")</f>
        <v>15</v>
      </c>
      <c r="FM48" s="8">
        <f>COUNTIFS('Raw data'!$D:$D,"*Levi Ampofo*", 'Raw data'!$M:$M,"*Pass Uncompleted*",'Raw data'!$M:$M,"*Pass Received*")</f>
        <v>4</v>
      </c>
      <c r="FN48" s="8">
        <f>COUNTIFS('Raw data'!$D:$D,"*Levi Ampofo*", 'Raw data'!$M:$M,"*Kept Possession*",'Raw data'!$M:$M,"*Pass Received*")</f>
        <v>2</v>
      </c>
      <c r="FO48" s="8">
        <f>COUNTIFS('Raw data'!$D:$D,"*Levi Ampofo*", 'Raw data'!$M:$M,"*Lost Possession*")</f>
        <v>4</v>
      </c>
      <c r="FP48" s="8">
        <f>COUNTIFS('Raw data'!$D:$D,"*Levi Ampofo*", 'Raw data'!$M:$M,"*Lost Possession*",'Raw data'!$M:$M,"*Lost Final 1/3*")</f>
        <v>1</v>
      </c>
      <c r="FQ48" s="8">
        <f>COUNTIFS('Raw data'!$D:$D,"*Levi Ampofo*", 'Raw data'!$M:$M,"*Lost Possession*",'Raw data'!$M:$M,"*Lost Middle 1/3*")</f>
        <v>1</v>
      </c>
      <c r="FR48" s="8">
        <f>COUNTIFS('Raw data'!$D:$D,"*Levi Ampofo*", 'Raw data'!$M:$M,"*Lost Possession*",'Raw data'!$M:$M,"*Lost Own 1/3*")</f>
        <v>2</v>
      </c>
      <c r="FS48" s="8">
        <f>COUNTIFS('Raw data'!$D:$D,"*Levi Ampofo*", 'Raw data'!$H:$H,"*Touches in the Box*")</f>
        <v>0</v>
      </c>
      <c r="FT48" s="8">
        <f>COUNTIFS('Raw data'!$D:$D,"*Levi Ampofo*", 'Raw data'!$H:$H,"*1v1 Attack*")</f>
        <v>3</v>
      </c>
      <c r="FU48" s="8">
        <f>COUNTIFS('Raw data'!$D:$D,"*Levi Ampofo*", 'Raw data'!$H:$H,"*1v1 Attack*",'Raw data'!$H:$H,"*1v1 Attack*",'Raw data'!$M:$M,"*Kept Possession*")</f>
        <v>2</v>
      </c>
      <c r="FV48" s="8">
        <f>COUNTIFS('Raw data'!$D:$D,"*Levi Ampofo*", 'Raw data'!$H:$H,"*1v1 Attack*",'Raw data'!$H:$H,"*1v1 Attack*",'Raw data'!$M:$M,"*Lost Possession*")</f>
        <v>1</v>
      </c>
      <c r="FW48" s="54">
        <f t="shared" ref="FW48" si="326">IFERROR(FU48/$FT48,"-")</f>
        <v>0.66666666666666663</v>
      </c>
      <c r="FX48" s="54">
        <f t="shared" ref="FX48" si="327">IFERROR(FV48/$FT48,"-")</f>
        <v>0.33333333333333331</v>
      </c>
      <c r="FY48" s="8">
        <f>COUNTIFS('Raw data'!$D:$D,"*Levi Ampofo*", 'Raw data'!$I:$I,"*Cross*")</f>
        <v>1</v>
      </c>
      <c r="FZ48" s="8">
        <f>COUNTIFS('Raw data'!$D:$D,"*Levi Ampofo*", 'Raw data'!$I:$I,"*Cross*",'Raw data'!$M:$M,"*Pass Completed*")</f>
        <v>0</v>
      </c>
      <c r="GA48" s="8">
        <f>COUNTIFS('Raw data'!$D:$D,"*Levi Ampofo*", 'Raw data'!$I:$I,"*Cross*",'Raw data'!$M:$M,"*Pass Uncompleted*")</f>
        <v>1</v>
      </c>
      <c r="GB48" s="54">
        <f t="shared" ref="GB48" si="328">IFERROR(FZ48/$FY48,"-")</f>
        <v>0</v>
      </c>
      <c r="GC48" s="54">
        <f t="shared" ref="GC48" si="329">IFERROR(GA48/$FY48,"-")</f>
        <v>1</v>
      </c>
      <c r="GD48" s="8">
        <f t="shared" ref="GD48" si="330">SUM(GE48:GG48)</f>
        <v>1</v>
      </c>
      <c r="GE48" s="8">
        <f>COUNTIFS('Raw data'!$D:$D,"*Levi Ampofo*", 'Raw data'!$L:$L,"*On Target*")</f>
        <v>0</v>
      </c>
      <c r="GF48" s="8">
        <f>COUNTIFS('Raw data'!$D:$D,"*Levi Ampofo*", 'Raw data'!$L:$L,"*Off Target*")</f>
        <v>0</v>
      </c>
      <c r="GG48" s="8">
        <f>COUNTIFS('Raw data'!$D:$D,"*Levi Ampofo*", 'Raw data'!$L:$L,"*Blocked*")</f>
        <v>1</v>
      </c>
      <c r="GH48" s="8">
        <f>COUNTIFS('Raw data'!$D:$D,"*Levi Ampofo*", 'Raw data'!$M:$M,"*Goal*")</f>
        <v>0</v>
      </c>
      <c r="GI48" s="8">
        <f>COUNTIFS('Raw data'!$D:$D,"*Levi Ampofo*", 'Raw data'!$M:$M,"*Assist*")</f>
        <v>0</v>
      </c>
      <c r="GJ48" s="8">
        <f>COUNTIFS('Raw data'!$D:$D,"*Levi Ampofo*", 'Raw data'!$H:$H,"*Offensive duel*")</f>
        <v>0</v>
      </c>
      <c r="GK48" s="8">
        <f>COUNTIFS('Raw data'!$D:$D,"*Levi Ampofo*", 'Raw data'!$H:$H,"*Offensive Duel*",'Raw data'!$H:$H,"*Offensive Duel*",'Raw data'!$M:$M,"*Kept Possession*")</f>
        <v>0</v>
      </c>
      <c r="GL48" s="8">
        <f>COUNTIFS('Raw data'!$D:$D,"*Levi Ampofo*", 'Raw data'!$H:$H,"*Offensive Duel*",'Raw data'!$H:$H,"*Offensive Duel*",'Raw data'!$M:$M,"*Lost Possession*")</f>
        <v>0</v>
      </c>
      <c r="GM48" s="54" t="str">
        <f t="shared" ref="GM48" si="331">IFERROR(GK48/$GJ48,"-")</f>
        <v>-</v>
      </c>
      <c r="GN48" s="54" t="str">
        <f t="shared" ref="GN48" si="332">IFERROR(GL48/$GJ48,"-")</f>
        <v>-</v>
      </c>
      <c r="GO48" s="8">
        <f>COUNTIFS('Raw data'!$D:$D,"*Levi Ampofo*", 'Raw data'!$H:$H,"*Acceleration*")</f>
        <v>0</v>
      </c>
      <c r="GP48" s="8">
        <f>COUNTIFS('Raw data'!$D:$D,"*Levi Ampofo*", 'Raw data'!$H:$H,"*Move into Pocket*")</f>
        <v>0</v>
      </c>
      <c r="GQ48" s="8">
        <f>COUNTIFS('Raw data'!$D:$D,"*Levi Ampofo*", 'Raw data'!$H:$H,"*Wide area*")</f>
        <v>14</v>
      </c>
      <c r="GR48" s="8">
        <f>COUNTIFS('Raw data'!$D:$D,"*Levi Ampofo*", 'Raw data'!$H:$H,"*Back to goal*")</f>
        <v>0</v>
      </c>
      <c r="GS48" s="8">
        <f>COUNTIFS('Raw data'!$D:$D,"*Levi Ampofo*", 'Raw data'!$H:$H,"*Over/Underlaps*")</f>
        <v>1</v>
      </c>
      <c r="GT48" s="8">
        <f>COUNTIFS('Raw data'!$D:$D,"*Levi Ampofo*", 'Raw data'!$H:$H,"*Runs in Behind*")</f>
        <v>0</v>
      </c>
      <c r="GU48" s="8">
        <f>COUNTIFS('Raw data'!$D:$D,"*Levi Ampofo*", 'Raw data'!$H:$H,"*Half-space Runs*")</f>
        <v>0</v>
      </c>
      <c r="GV48" s="8">
        <f t="shared" ref="GV48" si="333">SUM(GJ48,HA48,HF48)</f>
        <v>3</v>
      </c>
      <c r="GW48" s="8">
        <f t="shared" ref="GW48" si="334">SUM(GK48,HB48,HG48)</f>
        <v>1</v>
      </c>
      <c r="GX48" s="8">
        <f t="shared" ref="GX48" si="335">SUM(GL48,HC48,HH48)</f>
        <v>2</v>
      </c>
      <c r="GY48" s="54">
        <f t="shared" ref="GY48" si="336">IFERROR(GW48/$GV48,"-")</f>
        <v>0.33333333333333331</v>
      </c>
      <c r="GZ48" s="54">
        <f t="shared" ref="GZ48" si="337">IFERROR(GX48/$GV48,"-")</f>
        <v>0.66666666666666663</v>
      </c>
      <c r="HA48" s="8">
        <f>COUNTIFS('Raw data'!$D:$D,"*Levi Ampofo*", 'Raw data'!$K:$K,"*Ground duel*")</f>
        <v>3</v>
      </c>
      <c r="HB48" s="8">
        <f>COUNTIFS('Raw data'!$D:$D,"*Levi Ampofo*", 'Raw data'!$K:$K,"*Ground duel*",'Raw data'!$M:$M,"*Duel Succeeded*")</f>
        <v>1</v>
      </c>
      <c r="HC48" s="8">
        <f>COUNTIFS('Raw data'!$D:$D,"*Levi Ampofo*", 'Raw data'!$K:$K,"*Ground duel*",'Raw data'!$M:$M,"*Duel Unsucceeded*")</f>
        <v>2</v>
      </c>
      <c r="HD48" s="54">
        <f t="shared" ref="HD48" si="338">IFERROR(HB48/$HA48,"-")</f>
        <v>0.33333333333333331</v>
      </c>
      <c r="HE48" s="54">
        <f t="shared" ref="HE48" si="339">IFERROR(HC48/$HA48,"-")</f>
        <v>0.66666666666666663</v>
      </c>
      <c r="HF48" s="8">
        <f>COUNTIFS('Raw data'!$D:$D,"*Levi Ampofo*", 'Raw data'!$K:$K,"*Aerial duel*")</f>
        <v>0</v>
      </c>
      <c r="HG48" s="8">
        <f>COUNTIFS('Raw data'!$D:$D,"*Levi Ampofo*", 'Raw data'!$K:$K,"*Aerial duel*",'Raw data'!$M:$M,"*Duel Succeeded*")</f>
        <v>0</v>
      </c>
      <c r="HH48" s="8">
        <f>COUNTIFS('Raw data'!$D:$D,"*Levi Ampofo*", 'Raw data'!$K:$K,"*Aerial duel*",'Raw data'!$M:$M,"*Duel Unsucceeded*")</f>
        <v>0</v>
      </c>
      <c r="HI48" s="54" t="str">
        <f t="shared" ref="HI48" si="340">IFERROR(HG48/$HG48,"-")</f>
        <v>-</v>
      </c>
      <c r="HJ48" s="54" t="str">
        <f t="shared" ref="HJ48" si="341">IFERROR(HH48/$HG48,"-")</f>
        <v>-</v>
      </c>
      <c r="HK48" s="8">
        <f>COUNTIFS('Raw data'!$D:$D,"*Levi Ampofo*", 'Raw data'!$K:$K,"*1v1 defense*")</f>
        <v>0</v>
      </c>
      <c r="HL48" s="8">
        <f>COUNTIFS('Raw data'!$D:$D,"*Levi Ampofo*", 'Raw data'!$K:$K,"*1v1 defense*",'Raw data'!$M:$M,"*Duel Succeeded*")</f>
        <v>0</v>
      </c>
      <c r="HM48" s="8">
        <f>COUNTIFS('Raw data'!$D:$D,"*Levi Ampofo*", 'Raw data'!$K:$K,"*1v1 defense*",'Raw data'!$M:$M,"*Duel Unsucceeded*")</f>
        <v>0</v>
      </c>
      <c r="HN48" s="54" t="str">
        <f t="shared" ref="HN48" si="342">IFERROR(HL48/$HK48,"-")</f>
        <v>-</v>
      </c>
      <c r="HO48" s="54" t="str">
        <f t="shared" ref="HO48" si="343">IFERROR(HM48/$HK48,"-")</f>
        <v>-</v>
      </c>
      <c r="HP48" s="8">
        <f>COUNTIFS('Raw data'!$D:$D,"*Levi Ampofo*", 'Raw data'!$J:$J,"*Tackles*")</f>
        <v>1</v>
      </c>
      <c r="HQ48" s="8">
        <f>COUNTIFS('Raw data'!$D:$D,"*Levi Ampofo*", 'Raw data'!$J:$J,"*Tackles*", 'Raw data'!$M:$M,"*Duel Succeeded*")</f>
        <v>0</v>
      </c>
      <c r="HR48" s="8">
        <f>COUNTIFS('Raw data'!$D:$D,"*Levi Ampofo*", 'Raw data'!$J:$J,"*Tackles*", 'Raw data'!$M:$M,"*Duel Unsucceeded*")</f>
        <v>1</v>
      </c>
      <c r="HS48" s="54">
        <f t="shared" ref="HS48" si="344">IFERROR(HQ48/$HP48,"-")</f>
        <v>0</v>
      </c>
      <c r="HT48" s="54">
        <f t="shared" ref="HT48" si="345">IFERROR(HR48/$HP48,"-")</f>
        <v>1</v>
      </c>
      <c r="HU48" s="8">
        <f>COUNTIFS('Raw data'!$D:$D,"*Levi Ampofo*", 'Raw data'!$K:$K,"*2nd Balls*")</f>
        <v>1</v>
      </c>
      <c r="HV48" s="8">
        <f>COUNTIFS('Raw data'!$D:$D,"*Levi Ampofo*", 'Raw data'!$K:$K,"*2nd Balls*", 'Raw data'!$M:$M,"*Duel Succeeded*")</f>
        <v>1</v>
      </c>
      <c r="HW48" s="8">
        <f>COUNTIFS('Raw data'!$D:$D,"*Levi Ampofo*", 'Raw data'!$K:$K,"*2nd Balls*", 'Raw data'!$M:$M,"*Duel Unsucceeded*")</f>
        <v>0</v>
      </c>
      <c r="HX48" s="54">
        <f t="shared" ref="HX48" si="346">IFERROR(HV48/$HU48,"-")</f>
        <v>1</v>
      </c>
      <c r="HY48" s="54">
        <f t="shared" ref="HY48" si="347">IFERROR(HW48/$HU48,"-")</f>
        <v>0</v>
      </c>
      <c r="HZ48" s="8">
        <f>COUNTIFS('Raw data'!$D:$D,"*Levi Ampofo*", 'Raw data'!$J:$J,"*Clearance*")</f>
        <v>0</v>
      </c>
      <c r="IA48" s="8">
        <f>COUNTIFS('Raw data'!$D:$D,"*Levi Ampofo*", 'Raw data'!$J:$J,"*Interception*")</f>
        <v>2</v>
      </c>
      <c r="IB48" s="8">
        <f>COUNTIFS('Raw data'!$D:$D,"*Levi Ampofo*", 'Raw data'!$J:$J,"*Turnover Won*")</f>
        <v>1</v>
      </c>
      <c r="IC48" s="8">
        <f>COUNTIFS('Raw data'!$D:$D,"*Levi Ampofo*", 'Raw data'!$J:$J,"*Recovery*")</f>
        <v>1</v>
      </c>
      <c r="ID48" s="8">
        <f>COUNTIFS('Raw data'!$D:$D,"*Levi Ampofo*", 'Raw data'!$J:$J,"*Blocked Shots*")</f>
        <v>0</v>
      </c>
      <c r="IE48" s="8">
        <f>COUNTIFS('Raw data'!$D:$D,"*Levi Ampofo*", 'Raw data'!$J:$J,"*Man-marking*")</f>
        <v>0</v>
      </c>
      <c r="IF48" s="8">
        <f>COUNTIFS('Raw data'!$D:$D,"*Levi Ampofo*", 'Raw data'!$J:$J,"*Fouls*")</f>
        <v>3</v>
      </c>
      <c r="IG48" s="8">
        <f>COUNTIFS('Raw data'!$D:$D,"*Levi Ampofo*", 'Raw data'!$J:$J,"*Won F*")</f>
        <v>2</v>
      </c>
      <c r="IH48" s="8">
        <f>COUNTIFS('Raw data'!$D:$D,"*Levi Ampofo*", 'Raw data'!$G:$G,"*1v1*")</f>
        <v>0</v>
      </c>
      <c r="II48" s="8">
        <f>COUNTIFS('Raw data'!$D:$D,"*Levi Ampofo*", 'Raw data'!$G:$G,"*On Target*")</f>
        <v>0</v>
      </c>
      <c r="IJ48" s="8">
        <f>COUNTIFS('Raw data'!$D:$D,"*Levi Ampofo*", 'Raw data'!$G:$G,"*Off Target*")</f>
        <v>0</v>
      </c>
      <c r="IK48" s="8">
        <f>COUNTIFS('Raw data'!$D:$D,"*Levi Ampofo*", 'Raw data'!$G:$G,"*Defend the Space*")</f>
        <v>0</v>
      </c>
      <c r="IL48" s="8">
        <f>COUNTIFS('Raw data'!$D:$D,"*Levi Ampofo*", 'Raw data'!$G:$G,"*Conceded*")</f>
        <v>0</v>
      </c>
      <c r="IM48" s="8">
        <f>COUNTIFS('Raw data'!$D:$D,"*Levi Ampofo*", 'Raw data'!$G:$G,"*Save*")</f>
        <v>0</v>
      </c>
      <c r="IN48" s="8">
        <f>COUNTIFS('Raw data'!$D:$D,"*Levi Ampofo*", 'Raw data'!$G:$G,"*Defend the line (Cross)*")</f>
        <v>0</v>
      </c>
      <c r="IO48" s="8">
        <f>COUNTIFS('Raw data'!$D:$D,"*Levi Ampofo*", 'Raw data'!$G:$G,"*Counter Kick*")</f>
        <v>0</v>
      </c>
      <c r="IP48" t="s">
        <v>651</v>
      </c>
    </row>
    <row r="49" spans="127:250">
      <c r="DW49" t="s">
        <v>501</v>
      </c>
      <c r="DX49" t="s">
        <v>632</v>
      </c>
      <c r="DY49">
        <v>70</v>
      </c>
      <c r="DZ49" t="s">
        <v>539</v>
      </c>
      <c r="EA49">
        <f t="shared" si="179"/>
        <v>21</v>
      </c>
      <c r="EB49" s="8">
        <f t="shared" si="304"/>
        <v>18</v>
      </c>
      <c r="EC49" s="8">
        <f t="shared" si="305"/>
        <v>3</v>
      </c>
      <c r="ED49" s="54">
        <f t="shared" si="181"/>
        <v>0.8571428571428571</v>
      </c>
      <c r="EE49" s="54">
        <f t="shared" si="182"/>
        <v>0.14285714285714285</v>
      </c>
      <c r="EF49">
        <f t="shared" si="183"/>
        <v>9</v>
      </c>
      <c r="EG49">
        <f>COUNTIFS('Raw data'!$D:$D,"*Kevin Jalo-Gomes*", 'Raw data'!$I:$I,"*Forward Pass*",'Raw data'!$M:$M,"*Pass completed*")</f>
        <v>6</v>
      </c>
      <c r="EH49">
        <f>COUNTIFS('Raw data'!$D:$D,"*Kevin Jalo-Gomes*", 'Raw data'!$I:$I,"*Forward Pass*",'Raw data'!$M:$M,"*Pass Uncompleted*")</f>
        <v>3</v>
      </c>
      <c r="EI49" s="54">
        <f t="shared" si="184"/>
        <v>0.66666666666666663</v>
      </c>
      <c r="EJ49" s="54">
        <f t="shared" si="185"/>
        <v>0.33333333333333331</v>
      </c>
      <c r="EK49">
        <f t="shared" si="186"/>
        <v>9</v>
      </c>
      <c r="EL49" s="8">
        <f>COUNTIFS('Raw data'!$D:$D,"*Kevin Jalo-Gomes*", 'Raw data'!$I:$I,"*Lateral Pass*",'Raw data'!$M:$M,"*Pass completed*")</f>
        <v>9</v>
      </c>
      <c r="EM49" s="8">
        <f>COUNTIFS('Raw data'!$D:$D,"*Kevin Jalo-Gomes*", 'Raw data'!$I:$I,"*Lateral Pass*",'Raw data'!$M:$M,"*Pass Uncompleted*")</f>
        <v>0</v>
      </c>
      <c r="EN49" s="54">
        <f t="shared" si="187"/>
        <v>1</v>
      </c>
      <c r="EO49" s="54">
        <f t="shared" si="188"/>
        <v>0</v>
      </c>
      <c r="EP49">
        <f t="shared" si="189"/>
        <v>3</v>
      </c>
      <c r="EQ49" s="8">
        <f>COUNTIFS('Raw data'!$D:$D,"*Kevin Jalo-Gomes*", 'Raw data'!$I:$I,"*Backward Pass*",'Raw data'!$M:$M,"*Pass completed*")</f>
        <v>3</v>
      </c>
      <c r="ER49" s="8">
        <f>COUNTIFS('Raw data'!$D:$D,"*Kevin Jalo-Gomes*", 'Raw data'!$I:$I,"*Backward Pass*",'Raw data'!$M:$M,"*Pass Uncompleted*")</f>
        <v>0</v>
      </c>
      <c r="ES49" s="54">
        <f t="shared" si="190"/>
        <v>1</v>
      </c>
      <c r="ET49" s="54">
        <f t="shared" si="191"/>
        <v>0</v>
      </c>
      <c r="EU49" s="8">
        <f>COUNTIFS('Raw data'!$D:$D,"*Kevin Jalo-Gomes*", 'Raw data'!$I:$I,"*Long Kick*")</f>
        <v>0</v>
      </c>
      <c r="EV49" s="8">
        <f>COUNTIFS('Raw data'!$D:$D,"*Kevin Jalo-Gomes*", 'Raw data'!$I:$I,"*Long Kick*",'Raw data'!$M:$M,"*Pass completed*")</f>
        <v>0</v>
      </c>
      <c r="EW49" s="8">
        <f>COUNTIFS('Raw data'!$D:$D,"*Kevin Jalo-Gomes*", 'Raw data'!$I:$I,"*Long Kick*",'Raw data'!$M:$M,"*Pass Uncompleted*")</f>
        <v>0</v>
      </c>
      <c r="EX49" s="54" t="str">
        <f t="shared" si="192"/>
        <v>-</v>
      </c>
      <c r="EY49" s="54" t="str">
        <f t="shared" si="193"/>
        <v>-</v>
      </c>
      <c r="EZ49" s="8">
        <f>COUNTIFS('Raw data'!$D:$D,"*Kevin Jalo-Gomes*", 'Raw data'!$I:$I,"*Balls in Behind*")</f>
        <v>0</v>
      </c>
      <c r="FA49" s="8">
        <f>COUNTIFS('Raw data'!$D:$D,"*Kevin Jalo-Gomes*", 'Raw data'!$I:$I,"*Balls in Behind*",'Raw data'!$M:$M,"*Pass completed*")</f>
        <v>0</v>
      </c>
      <c r="FB49" s="8">
        <f>COUNTIFS('Raw data'!$D:$D,"*Kevin Jalo-Gomes*", 'Raw data'!$I:$I,"*Balls in Behind*",'Raw data'!$M:$M,"*Pass Uncompleted*")</f>
        <v>0</v>
      </c>
      <c r="FC49" s="54" t="str">
        <f t="shared" si="194"/>
        <v>-</v>
      </c>
      <c r="FD49" s="54" t="str">
        <f t="shared" si="195"/>
        <v>-</v>
      </c>
      <c r="FE49" s="8">
        <f>COUNTIFS('Raw data'!$D:$D,"*Kevin Jalo-Gomes*", 'Raw data'!$I:$I,"*Key/Through pass*")</f>
        <v>0</v>
      </c>
      <c r="FF49" s="8">
        <f>COUNTIFS('Raw data'!$D:$D,"*Kevin Jalo-Gomes*", 'Raw data'!$I:$I,"*Diagonal pass*")</f>
        <v>0</v>
      </c>
      <c r="FG49" s="8">
        <f>COUNTIFS('Raw data'!$D:$D,"*Kevin Jalo-Gomes*", 'Raw data'!$I:$I,"*Diagonal pass*",'Raw data'!$M:$M,"*Pass completed*")</f>
        <v>0</v>
      </c>
      <c r="FH49" s="8">
        <f>COUNTIFS('Raw data'!$D:$D,"*Kevin Jalo-Gomes*", 'Raw data'!$I:$I,"*Diagonal pass*",'Raw data'!$M:$M,"*Pass Uncompleted*")</f>
        <v>0</v>
      </c>
      <c r="FI49" s="54" t="str">
        <f t="shared" si="196"/>
        <v>-</v>
      </c>
      <c r="FJ49" s="54" t="str">
        <f t="shared" si="197"/>
        <v>-</v>
      </c>
      <c r="FK49" s="8">
        <f>COUNTIFS('Raw data'!$D:$D,"*Kevin Jalo-Gomes*", 'Raw data'!$M:$M,"*Pass Received*")</f>
        <v>12</v>
      </c>
      <c r="FL49" s="8">
        <f>COUNTIFS('Raw data'!$D:$D,"*Kevin Jalo-Gomes*", 'Raw data'!$M:$M,"*Pass Completed*",'Raw data'!$M:$M,"*Pass Received*")</f>
        <v>11</v>
      </c>
      <c r="FM49" s="8">
        <f>COUNTIFS('Raw data'!$D:$D,"*Kevin Jalo-Gomes*", 'Raw data'!$M:$M,"*Pass Uncompleted*",'Raw data'!$M:$M,"*Pass Received*")</f>
        <v>1</v>
      </c>
      <c r="FN49" s="8">
        <f>COUNTIFS('Raw data'!$D:$D,"*Kevin Jalo-Gomes*", 'Raw data'!$M:$M,"*Kept Possession*",'Raw data'!$M:$M,"*Pass Received*")</f>
        <v>0</v>
      </c>
      <c r="FO49" s="8">
        <f>COUNTIFS('Raw data'!$D:$D,"*Kevin Jalo-Gomes*", 'Raw data'!$M:$M,"*Lost Possession*")</f>
        <v>0</v>
      </c>
      <c r="FP49" s="8">
        <f>COUNTIFS('Raw data'!$D:$D,"*Kevin Jalo-Gomes*", 'Raw data'!$M:$M,"*Lost Possession*",'Raw data'!$M:$M,"*Lost Final 1/3*")</f>
        <v>0</v>
      </c>
      <c r="FQ49" s="8">
        <f>COUNTIFS('Raw data'!$D:$D,"*Kevin Jalo-Gomes*", 'Raw data'!$M:$M,"*Lost Possession*",'Raw data'!$M:$M,"*Lost Middle 1/3*")</f>
        <v>0</v>
      </c>
      <c r="FR49" s="8">
        <f>COUNTIFS('Raw data'!$D:$D,"*Kevin Jalo-Gomes*", 'Raw data'!$M:$M,"*Lost Possession*",'Raw data'!$M:$M,"*Lost Own 1/3*")</f>
        <v>0</v>
      </c>
      <c r="FS49" s="8">
        <f>COUNTIFS('Raw data'!$D:$D,"*Kevin Jalo-Gomes*", 'Raw data'!$H:$H,"*Touches in the Box*")</f>
        <v>0</v>
      </c>
      <c r="FT49" s="8">
        <f>COUNTIFS('Raw data'!$D:$D,"*Kevin Jalo-Gomes*", 'Raw data'!$H:$H,"*1v1 Attack*")</f>
        <v>1</v>
      </c>
      <c r="FU49" s="8">
        <f>COUNTIFS('Raw data'!$D:$D,"*Kevin Jalo-Gomes*", 'Raw data'!$H:$H,"*1v1 Attack*",'Raw data'!$H:$H,"*1v1 Attack*",'Raw data'!$M:$M,"*Kept Possession*")</f>
        <v>1</v>
      </c>
      <c r="FV49" s="8">
        <f>COUNTIFS('Raw data'!$D:$D,"*Kevin Jalo-Gomes*", 'Raw data'!$H:$H,"*1v1 Attack*",'Raw data'!$H:$H,"*1v1 Attack*",'Raw data'!$M:$M,"*Lost Possession*")</f>
        <v>0</v>
      </c>
      <c r="FW49" s="54">
        <f t="shared" si="198"/>
        <v>1</v>
      </c>
      <c r="FX49" s="54">
        <f t="shared" si="199"/>
        <v>0</v>
      </c>
      <c r="FY49" s="8">
        <f>COUNTIFS('Raw data'!$D:$D,"*Kevin Jalo-Gomes*", 'Raw data'!$I:$I,"*Cross*")</f>
        <v>0</v>
      </c>
      <c r="FZ49" s="8">
        <f>COUNTIFS('Raw data'!$D:$D,"*Kevin Jalo-Gomes*", 'Raw data'!$I:$I,"*Cross*",'Raw data'!$M:$M,"*Pass Completed*")</f>
        <v>0</v>
      </c>
      <c r="GA49" s="8">
        <f>COUNTIFS('Raw data'!$D:$D,"*Kevin Jalo-Gomes*", 'Raw data'!$I:$I,"*Cross*",'Raw data'!$M:$M,"*Pass Uncompleted*")</f>
        <v>0</v>
      </c>
      <c r="GB49" s="54" t="str">
        <f t="shared" si="200"/>
        <v>-</v>
      </c>
      <c r="GC49" s="54" t="str">
        <f t="shared" si="201"/>
        <v>-</v>
      </c>
      <c r="GD49" s="8">
        <f t="shared" si="202"/>
        <v>0</v>
      </c>
      <c r="GE49" s="8">
        <f>COUNTIFS('Raw data'!$D:$D,"*Kevin Jalo-Gomes*", 'Raw data'!$L:$L,"*On Target*")</f>
        <v>0</v>
      </c>
      <c r="GF49" s="8">
        <f>COUNTIFS('Raw data'!$D:$D,"*Kevin Jalo-Gomes*", 'Raw data'!$L:$L,"*Off Target*")</f>
        <v>0</v>
      </c>
      <c r="GG49" s="8">
        <f>COUNTIFS('Raw data'!$D:$D,"*Kevin Jalo-Gomes*", 'Raw data'!$L:$L,"*Blocked*")</f>
        <v>0</v>
      </c>
      <c r="GH49" s="8">
        <f>COUNTIFS('Raw data'!$D:$D,"*Kevin Jalo-Gomes*", 'Raw data'!$M:$M,"*Goal*")</f>
        <v>0</v>
      </c>
      <c r="GI49" s="8">
        <f>COUNTIFS('Raw data'!$D:$D,"*Kevin Jalo-Gomes*", 'Raw data'!$M:$M,"*Assist*")</f>
        <v>0</v>
      </c>
      <c r="GJ49" s="8">
        <f>COUNTIFS('Raw data'!$D:$D,"*Kevin Jalo-Gomes*", 'Raw data'!$H:$H,"*Offensive duel*")</f>
        <v>0</v>
      </c>
      <c r="GK49" s="8">
        <f>COUNTIFS('Raw data'!$D:$D,"*Kevin Jalo-Gomes*", 'Raw data'!$H:$H,"*Offensive Duel*",'Raw data'!$H:$H,"*Offensive Duel*",'Raw data'!$M:$M,"*Kept Possession*")</f>
        <v>0</v>
      </c>
      <c r="GL49" s="8">
        <f>COUNTIFS('Raw data'!$D:$D,"*Kevin Jalo-Gomes*", 'Raw data'!$H:$H,"*Offensive Duel*",'Raw data'!$H:$H,"*Offensive Duel*",'Raw data'!$M:$M,"*Lost Possession*")</f>
        <v>0</v>
      </c>
      <c r="GM49" s="54" t="str">
        <f t="shared" si="203"/>
        <v>-</v>
      </c>
      <c r="GN49" s="54" t="str">
        <f t="shared" si="204"/>
        <v>-</v>
      </c>
      <c r="GO49" s="8">
        <f>COUNTIFS('Raw data'!$D:$D,"*Kevin Jalo-Gomes*", 'Raw data'!$H:$H,"*Acceleration*")</f>
        <v>0</v>
      </c>
      <c r="GP49" s="8">
        <f>COUNTIFS('Raw data'!$D:$D,"*Kevin Jalo-Gomes*", 'Raw data'!$H:$H,"*Move into Pocket*")</f>
        <v>5</v>
      </c>
      <c r="GQ49" s="8">
        <f>COUNTIFS('Raw data'!$D:$D,"*Kevin Jalo-Gomes*", 'Raw data'!$H:$H,"*Wide area*")</f>
        <v>0</v>
      </c>
      <c r="GR49" s="8">
        <f>COUNTIFS('Raw data'!$D:$D,"*Kevin Jalo-Gomes*", 'Raw data'!$H:$H,"*Back to goal*")</f>
        <v>0</v>
      </c>
      <c r="GS49" s="8">
        <f>COUNTIFS('Raw data'!$D:$D,"*Kevin Jalo-Gomes*", 'Raw data'!$H:$H,"*Over/Underlaps*")</f>
        <v>0</v>
      </c>
      <c r="GT49" s="8">
        <f>COUNTIFS('Raw data'!$D:$D,"*Kevin Jalo-Gomes*", 'Raw data'!$H:$H,"*Runs in Behind*")</f>
        <v>0</v>
      </c>
      <c r="GU49" s="8">
        <f>COUNTIFS('Raw data'!$D:$D,"*Kevin Jalo-Gomes*", 'Raw data'!$H:$H,"*Half-space Runs*")</f>
        <v>0</v>
      </c>
      <c r="GV49" s="8">
        <f t="shared" si="205"/>
        <v>3</v>
      </c>
      <c r="GW49" s="8">
        <f t="shared" si="206"/>
        <v>1</v>
      </c>
      <c r="GX49" s="8">
        <f t="shared" si="207"/>
        <v>2</v>
      </c>
      <c r="GY49" s="54">
        <f t="shared" si="208"/>
        <v>0.33333333333333331</v>
      </c>
      <c r="GZ49" s="54">
        <f t="shared" si="209"/>
        <v>0.66666666666666663</v>
      </c>
      <c r="HA49" s="8">
        <f>COUNTIFS('Raw data'!$D:$D,"*Kevin Jalo-Gomes*", 'Raw data'!$K:$K,"*Ground duel*")</f>
        <v>3</v>
      </c>
      <c r="HB49" s="8">
        <f>COUNTIFS('Raw data'!$D:$D,"*Kevin Jalo-Gomes*", 'Raw data'!$K:$K,"*Ground duel*",'Raw data'!$M:$M,"*Duel Succeeded*")</f>
        <v>1</v>
      </c>
      <c r="HC49" s="8">
        <f>COUNTIFS('Raw data'!$D:$D,"*Kevin Jalo-Gomes*", 'Raw data'!$K:$K,"*Ground duel*",'Raw data'!$M:$M,"*Duel Unsucceeded*")</f>
        <v>2</v>
      </c>
      <c r="HD49" s="54">
        <f t="shared" si="210"/>
        <v>0.33333333333333331</v>
      </c>
      <c r="HE49" s="54">
        <f t="shared" si="211"/>
        <v>0.66666666666666663</v>
      </c>
      <c r="HF49" s="8">
        <f>COUNTIFS('Raw data'!$D:$D,"*Kevin Jalo-Gomes*", 'Raw data'!$K:$K,"*Aerial duel*")</f>
        <v>0</v>
      </c>
      <c r="HG49" s="8">
        <f>COUNTIFS('Raw data'!$D:$D,"*Kevin Jalo-Gomes*", 'Raw data'!$K:$K,"*Aerial duel*",'Raw data'!$M:$M,"*Duel Succeeded*")</f>
        <v>0</v>
      </c>
      <c r="HH49" s="8">
        <f>COUNTIFS('Raw data'!$D:$D,"*Kevin Jalo-Gomes*", 'Raw data'!$K:$K,"*Aerial duel*",'Raw data'!$M:$M,"*Duel Unsucceeded*")</f>
        <v>0</v>
      </c>
      <c r="HI49" s="54" t="str">
        <f t="shared" si="212"/>
        <v>-</v>
      </c>
      <c r="HJ49" s="54" t="str">
        <f t="shared" si="213"/>
        <v>-</v>
      </c>
      <c r="HK49" s="8">
        <f>COUNTIFS('Raw data'!$D:$D,"*Kevin Jalo-Gomes*", 'Raw data'!$K:$K,"*1v1 defense*")</f>
        <v>0</v>
      </c>
      <c r="HL49" s="8">
        <f>COUNTIFS('Raw data'!$D:$D,"*Kevin Jalo-Gomes*", 'Raw data'!$K:$K,"*1v1 defense*",'Raw data'!$M:$M,"*Duel Succeeded*")</f>
        <v>0</v>
      </c>
      <c r="HM49" s="8">
        <f>COUNTIFS('Raw data'!$D:$D,"*Kevin Jalo-Gomes*", 'Raw data'!$K:$K,"*1v1 defense*",'Raw data'!$M:$M,"*Duel Unsucceeded*")</f>
        <v>0</v>
      </c>
      <c r="HN49" s="54" t="str">
        <f t="shared" si="214"/>
        <v>-</v>
      </c>
      <c r="HO49" s="54" t="str">
        <f t="shared" si="215"/>
        <v>-</v>
      </c>
      <c r="HP49" s="8">
        <f>COUNTIFS('Raw data'!$D:$D,"*Kevin Jalo-Gomes*", 'Raw data'!$J:$J,"*Tackles*")</f>
        <v>1</v>
      </c>
      <c r="HQ49" s="8">
        <f>COUNTIFS('Raw data'!$D:$D,"*Kevin Jalo-Gomes*", 'Raw data'!$J:$J,"*Tackles*", 'Raw data'!$M:$M,"*Duel Succeeded*")</f>
        <v>1</v>
      </c>
      <c r="HR49" s="8">
        <f>COUNTIFS('Raw data'!$D:$D,"*Kevin Jalo-Gomes*", 'Raw data'!$J:$J,"*Tackles*", 'Raw data'!$M:$M,"*Duel Unsucceeded*")</f>
        <v>0</v>
      </c>
      <c r="HS49" s="54">
        <f t="shared" si="216"/>
        <v>1</v>
      </c>
      <c r="HT49" s="54">
        <f t="shared" si="217"/>
        <v>0</v>
      </c>
      <c r="HU49" s="8">
        <f>COUNTIFS('Raw data'!$D:$D,"*Kevin Jalo-Gomes*", 'Raw data'!$K:$K,"*2nd Balls*")</f>
        <v>1</v>
      </c>
      <c r="HV49" s="8">
        <f>COUNTIFS('Raw data'!$D:$D,"*Kevin Jalo-Gomes*", 'Raw data'!$K:$K,"*2nd Balls*", 'Raw data'!$M:$M,"*Duel Succeeded*")</f>
        <v>0</v>
      </c>
      <c r="HW49" s="8">
        <f>COUNTIFS('Raw data'!$D:$D,"*Kevin Jalo-Gomes*", 'Raw data'!$K:$K,"*2nd Balls*", 'Raw data'!$M:$M,"*Duel Unsucceeded*")</f>
        <v>1</v>
      </c>
      <c r="HX49" s="54">
        <f t="shared" si="218"/>
        <v>0</v>
      </c>
      <c r="HY49" s="54">
        <f t="shared" si="219"/>
        <v>1</v>
      </c>
      <c r="HZ49" s="8">
        <f>COUNTIFS('Raw data'!$D:$D,"*Kevin Jalo-Gomes*", 'Raw data'!$J:$J,"*Clearance*")</f>
        <v>0</v>
      </c>
      <c r="IA49" s="8">
        <f>COUNTIFS('Raw data'!$D:$D,"*Kevin Jalo-Gomes*", 'Raw data'!$J:$J,"*Interception*")</f>
        <v>6</v>
      </c>
      <c r="IB49" s="8">
        <f>COUNTIFS('Raw data'!$D:$D,"*Kevin Jalo-Gomes*", 'Raw data'!$J:$J,"*Turnover Won*")</f>
        <v>8</v>
      </c>
      <c r="IC49" s="8">
        <f>COUNTIFS('Raw data'!$D:$D,"*Kevin Jalo-Gomes*", 'Raw data'!$J:$J,"*Recovery*")</f>
        <v>0</v>
      </c>
      <c r="ID49" s="8">
        <f>COUNTIFS('Raw data'!$D:$D,"*Kevin Jalo-Gomes*", 'Raw data'!$J:$J,"*Blocked Shots*")</f>
        <v>0</v>
      </c>
      <c r="IE49" s="8">
        <f>COUNTIFS('Raw data'!$D:$D,"*Kevin Jalo-Gomes*", 'Raw data'!$J:$J,"*Man-marking*")</f>
        <v>0</v>
      </c>
      <c r="IF49" s="8">
        <f>COUNTIFS('Raw data'!$D:$D,"*Kevin Jalo-Gomes*", 'Raw data'!$J:$J,"*Fouls*")</f>
        <v>1</v>
      </c>
      <c r="IG49" s="8">
        <f>COUNTIFS('Raw data'!$D:$D,"*Kevin Jalo-Gomes*", 'Raw data'!$J:$J,"*Won F*")</f>
        <v>0</v>
      </c>
      <c r="IH49" s="8">
        <f>COUNTIFS('Raw data'!$D:$D,"*Kevin Jalo-Gomes*", 'Raw data'!$G:$G,"*1v1*")</f>
        <v>0</v>
      </c>
      <c r="II49" s="8">
        <f>COUNTIFS('Raw data'!$D:$D,"*Kevin Jalo-Gomes*", 'Raw data'!$G:$G,"*On Target*")</f>
        <v>0</v>
      </c>
      <c r="IJ49" s="8">
        <f>COUNTIFS('Raw data'!$D:$D,"*Kevin Jalo-Gomes*", 'Raw data'!$G:$G,"*Off Target*")</f>
        <v>0</v>
      </c>
      <c r="IK49" s="8">
        <f>COUNTIFS('Raw data'!$D:$D,"*Kevin Jalo-Gomes*", 'Raw data'!$G:$G,"*Defend the Space*")</f>
        <v>0</v>
      </c>
      <c r="IL49" s="8">
        <f>COUNTIFS('Raw data'!$D:$D,"*Kevin Jalo-Gomes*", 'Raw data'!$G:$G,"*Conceded*")</f>
        <v>0</v>
      </c>
      <c r="IM49" s="8">
        <f>COUNTIFS('Raw data'!$D:$D,"*Kevin Jalo-Gomes*", 'Raw data'!$G:$G,"*Save*")</f>
        <v>0</v>
      </c>
      <c r="IN49" s="8">
        <f>COUNTIFS('Raw data'!$D:$D,"*Kevin Jalo-Gomes*", 'Raw data'!$G:$G,"*Defend the line (Cross)*")</f>
        <v>0</v>
      </c>
      <c r="IO49" s="8">
        <f>COUNTIFS('Raw data'!$D:$D,"*Kevin Jalo-Gomes*", 'Raw data'!$G:$G,"*Counter Kick*")</f>
        <v>0</v>
      </c>
      <c r="IP49" t="s">
        <v>632</v>
      </c>
    </row>
    <row r="50" spans="127:250">
      <c r="DW50" t="s">
        <v>501</v>
      </c>
      <c r="DX50" t="s">
        <v>645</v>
      </c>
      <c r="DY50">
        <v>60</v>
      </c>
      <c r="DZ50" t="s">
        <v>539</v>
      </c>
      <c r="EA50">
        <f t="shared" si="179"/>
        <v>37</v>
      </c>
      <c r="EB50" s="8">
        <f t="shared" si="304"/>
        <v>35</v>
      </c>
      <c r="EC50" s="8">
        <f t="shared" si="305"/>
        <v>2</v>
      </c>
      <c r="ED50" s="54">
        <f t="shared" si="181"/>
        <v>0.94594594594594594</v>
      </c>
      <c r="EE50" s="54">
        <f t="shared" si="182"/>
        <v>5.4054054054054057E-2</v>
      </c>
      <c r="EF50">
        <f t="shared" si="183"/>
        <v>13</v>
      </c>
      <c r="EG50">
        <f>COUNTIFS('Raw data'!$D:$D,"*Ethan Lake*", 'Raw data'!$I:$I,"*Forward Pass*",'Raw data'!$M:$M,"*Pass completed*")</f>
        <v>12</v>
      </c>
      <c r="EH50">
        <f>COUNTIFS('Raw data'!$D:$D,"*Ethan Lake*", 'Raw data'!$I:$I,"*Forward Pass*",'Raw data'!$M:$M,"*Pass Uncompleted*")</f>
        <v>1</v>
      </c>
      <c r="EI50" s="54">
        <f t="shared" si="184"/>
        <v>0.92307692307692313</v>
      </c>
      <c r="EJ50" s="54">
        <f t="shared" si="185"/>
        <v>7.6923076923076927E-2</v>
      </c>
      <c r="EK50">
        <f t="shared" si="186"/>
        <v>7</v>
      </c>
      <c r="EL50" s="8">
        <f>COUNTIFS('Raw data'!$D:$D,"*Ethan Lake*", 'Raw data'!$I:$I,"*Lateral Pass*",'Raw data'!$M:$M,"*Pass completed*")</f>
        <v>6</v>
      </c>
      <c r="EM50" s="8">
        <f>COUNTIFS('Raw data'!$D:$D,"*Ethan Lake*", 'Raw data'!$I:$I,"*Lateral Pass*",'Raw data'!$M:$M,"*Pass Uncompleted*")</f>
        <v>1</v>
      </c>
      <c r="EN50" s="54">
        <f t="shared" si="187"/>
        <v>0.8571428571428571</v>
      </c>
      <c r="EO50" s="54">
        <f t="shared" si="188"/>
        <v>0.14285714285714285</v>
      </c>
      <c r="EP50">
        <f t="shared" si="189"/>
        <v>17</v>
      </c>
      <c r="EQ50" s="8">
        <f>COUNTIFS('Raw data'!$D:$D,"*Ethan Lake*", 'Raw data'!$I:$I,"*Backward Pass*",'Raw data'!$M:$M,"*Pass completed*")</f>
        <v>17</v>
      </c>
      <c r="ER50" s="8">
        <f>COUNTIFS('Raw data'!$D:$D,"*Ethan Lake*", 'Raw data'!$I:$I,"*Backward Pass*",'Raw data'!$M:$M,"*Pass Uncompleted*")</f>
        <v>0</v>
      </c>
      <c r="ES50" s="54">
        <f t="shared" si="190"/>
        <v>1</v>
      </c>
      <c r="ET50" s="54">
        <f t="shared" si="191"/>
        <v>0</v>
      </c>
      <c r="EU50" s="8">
        <f>COUNTIFS('Raw data'!$D:$D,"*Ethan Lake*", 'Raw data'!$I:$I,"*Long Kick*")</f>
        <v>4</v>
      </c>
      <c r="EV50" s="8">
        <f>COUNTIFS('Raw data'!$D:$D,"*Ethan Lake*", 'Raw data'!$I:$I,"*Long Kick*",'Raw data'!$M:$M,"*Pass completed*")</f>
        <v>3</v>
      </c>
      <c r="EW50" s="8">
        <f>COUNTIFS('Raw data'!$D:$D,"*Ethan Lake*", 'Raw data'!$I:$I,"*Long Kick*",'Raw data'!$M:$M,"*Pass Uncompleted*")</f>
        <v>1</v>
      </c>
      <c r="EX50" s="54">
        <f t="shared" si="192"/>
        <v>0.75</v>
      </c>
      <c r="EY50" s="54">
        <f t="shared" si="193"/>
        <v>0.25</v>
      </c>
      <c r="EZ50" s="8">
        <f>COUNTIFS('Raw data'!$D:$D,"*Ethan Lake*", 'Raw data'!$I:$I,"*Balls in Behind*")</f>
        <v>3</v>
      </c>
      <c r="FA50" s="8">
        <f>COUNTIFS('Raw data'!$D:$D,"*Ethan Lake*", 'Raw data'!$I:$I,"*Balls in Behind*",'Raw data'!$M:$M,"*Pass completed*")</f>
        <v>2</v>
      </c>
      <c r="FB50" s="8">
        <f>COUNTIFS('Raw data'!$D:$D,"*Ethan Lake*", 'Raw data'!$I:$I,"*Balls in Behind*",'Raw data'!$M:$M,"*Pass Uncompleted*")</f>
        <v>1</v>
      </c>
      <c r="FC50" s="54">
        <f t="shared" si="194"/>
        <v>0.66666666666666663</v>
      </c>
      <c r="FD50" s="54">
        <f t="shared" si="195"/>
        <v>0.33333333333333331</v>
      </c>
      <c r="FE50" s="8">
        <f>COUNTIFS('Raw data'!$D:$D,"*Ethan Lake*", 'Raw data'!$I:$I,"*Key/Through pass*")</f>
        <v>2</v>
      </c>
      <c r="FF50" s="8">
        <f>COUNTIFS('Raw data'!$D:$D,"*Ethan Lake*", 'Raw data'!$I:$I,"*Diagonal pass*")</f>
        <v>0</v>
      </c>
      <c r="FG50" s="8">
        <f>COUNTIFS('Raw data'!$D:$D,"*Ethan Lake*", 'Raw data'!$I:$I,"*Diagonal pass*",'Raw data'!$M:$M,"*Pass completed*")</f>
        <v>0</v>
      </c>
      <c r="FH50" s="8">
        <f>COUNTIFS('Raw data'!$D:$D,"*Ethan Lake*", 'Raw data'!$I:$I,"*Diagonal pass*",'Raw data'!$M:$M,"*Pass Uncompleted*")</f>
        <v>0</v>
      </c>
      <c r="FI50" s="54" t="str">
        <f t="shared" si="196"/>
        <v>-</v>
      </c>
      <c r="FJ50" s="54" t="str">
        <f t="shared" si="197"/>
        <v>-</v>
      </c>
      <c r="FK50" s="8">
        <f>COUNTIFS('Raw data'!$D:$D,"*Ethan Lake*", 'Raw data'!$M:$M,"*Pass Received*")</f>
        <v>34</v>
      </c>
      <c r="FL50" s="8">
        <f>COUNTIFS('Raw data'!$D:$D,"*Ethan Lake*", 'Raw data'!$M:$M,"*Pass Completed*",'Raw data'!$M:$M,"*Pass Received*")</f>
        <v>26</v>
      </c>
      <c r="FM50" s="8">
        <f>COUNTIFS('Raw data'!$D:$D,"*Ethan Lake*", 'Raw data'!$M:$M,"*Pass Uncompleted*",'Raw data'!$M:$M,"*Pass Received*")</f>
        <v>2</v>
      </c>
      <c r="FN50" s="8">
        <f>COUNTIFS('Raw data'!$D:$D,"*Ethan Lake*", 'Raw data'!$M:$M,"*Kept Possession*",'Raw data'!$M:$M,"*Pass Received*")</f>
        <v>2</v>
      </c>
      <c r="FO50" s="8">
        <f>COUNTIFS('Raw data'!$D:$D,"*Ethan Lake*", 'Raw data'!$M:$M,"*Lost Possession*")</f>
        <v>4</v>
      </c>
      <c r="FP50" s="8">
        <f>COUNTIFS('Raw data'!$D:$D,"*Ethan Lake*", 'Raw data'!$M:$M,"*Lost Possession*",'Raw data'!$M:$M,"*Lost Final 1/3*")</f>
        <v>2</v>
      </c>
      <c r="FQ50" s="8">
        <f>COUNTIFS('Raw data'!$D:$D,"*Ethan Lake*", 'Raw data'!$M:$M,"*Lost Possession*",'Raw data'!$M:$M,"*Lost Middle 1/3*")</f>
        <v>0</v>
      </c>
      <c r="FR50" s="8">
        <f>COUNTIFS('Raw data'!$D:$D,"*Ethan Lake*", 'Raw data'!$M:$M,"*Lost Possession*",'Raw data'!$M:$M,"*Lost Own 1/3*")</f>
        <v>2</v>
      </c>
      <c r="FS50" s="8">
        <f>COUNTIFS('Raw data'!$D:$D,"*Ethan Lake*", 'Raw data'!$H:$H,"*Touches in the Box*")</f>
        <v>1</v>
      </c>
      <c r="FT50" s="8">
        <f>COUNTIFS('Raw data'!$D:$D,"*Ethan Lake*", 'Raw data'!$H:$H,"*1v1 Attack*")</f>
        <v>4</v>
      </c>
      <c r="FU50" s="8">
        <f>COUNTIFS('Raw data'!$D:$D,"*Ethan Lake*", 'Raw data'!$H:$H,"*1v1 Attack*",'Raw data'!$H:$H,"*1v1 Attack*",'Raw data'!$M:$M,"*Kept Possession*")</f>
        <v>3</v>
      </c>
      <c r="FV50" s="8">
        <f>COUNTIFS('Raw data'!$D:$D,"*Ethan Lake*", 'Raw data'!$H:$H,"*1v1 Attack*",'Raw data'!$H:$H,"*1v1 Attack*",'Raw data'!$M:$M,"*Lost Possession*")</f>
        <v>1</v>
      </c>
      <c r="FW50" s="54">
        <f t="shared" si="198"/>
        <v>0.75</v>
      </c>
      <c r="FX50" s="54">
        <f t="shared" si="199"/>
        <v>0.25</v>
      </c>
      <c r="FY50" s="8">
        <f>COUNTIFS('Raw data'!$D:$D,"*Ethan Lake*", 'Raw data'!$I:$I,"*Cross*")</f>
        <v>0</v>
      </c>
      <c r="FZ50" s="8">
        <f>COUNTIFS('Raw data'!$D:$D,"*Ethan Lake*", 'Raw data'!$I:$I,"*Cross*",'Raw data'!$M:$M,"*Pass Completed*")</f>
        <v>0</v>
      </c>
      <c r="GA50" s="8">
        <f>COUNTIFS('Raw data'!$D:$D,"*Ethan Lake*", 'Raw data'!$I:$I,"*Cross*",'Raw data'!$M:$M,"*Pass Uncompleted*")</f>
        <v>0</v>
      </c>
      <c r="GB50" s="54" t="str">
        <f t="shared" si="200"/>
        <v>-</v>
      </c>
      <c r="GC50" s="54" t="str">
        <f t="shared" si="201"/>
        <v>-</v>
      </c>
      <c r="GD50" s="8">
        <f t="shared" si="202"/>
        <v>2</v>
      </c>
      <c r="GE50" s="8">
        <f>COUNTIFS('Raw data'!$D:$D,"*Ethan Lake*", 'Raw data'!$L:$L,"*On Target*")</f>
        <v>2</v>
      </c>
      <c r="GF50" s="8">
        <f>COUNTIFS('Raw data'!$D:$D,"*Ethan Lake*", 'Raw data'!$L:$L,"*Off Target*")</f>
        <v>0</v>
      </c>
      <c r="GG50" s="8">
        <f>COUNTIFS('Raw data'!$D:$D,"*Ethan Lake*", 'Raw data'!$L:$L,"*Blocked*")</f>
        <v>0</v>
      </c>
      <c r="GH50" s="8">
        <f>COUNTIFS('Raw data'!$D:$D,"*Ethan Lake*", 'Raw data'!$M:$M,"*Goal*")</f>
        <v>1</v>
      </c>
      <c r="GI50" s="8">
        <f>COUNTIFS('Raw data'!$D:$D,"*Ethan Lake*", 'Raw data'!$M:$M,"*Assist*")</f>
        <v>0</v>
      </c>
      <c r="GJ50" s="8">
        <f>COUNTIFS('Raw data'!$D:$D,"*Ethan Lake*", 'Raw data'!$H:$H,"*Offensive duel*")</f>
        <v>0</v>
      </c>
      <c r="GK50" s="8">
        <f>COUNTIFS('Raw data'!$D:$D,"*Ethan Lake*", 'Raw data'!$H:$H,"*Offensive Duel*",'Raw data'!$H:$H,"*Offensive Duel*",'Raw data'!$M:$M,"*Kept Possession*")</f>
        <v>0</v>
      </c>
      <c r="GL50" s="8">
        <f>COUNTIFS('Raw data'!$D:$D,"*Ethan Lake*", 'Raw data'!$H:$H,"*Offensive Duel*",'Raw data'!$H:$H,"*Offensive Duel*",'Raw data'!$M:$M,"*Lost Possession*")</f>
        <v>0</v>
      </c>
      <c r="GM50" s="54" t="str">
        <f t="shared" si="203"/>
        <v>-</v>
      </c>
      <c r="GN50" s="54" t="str">
        <f t="shared" si="204"/>
        <v>-</v>
      </c>
      <c r="GO50" s="8">
        <f>COUNTIFS('Raw data'!$D:$D,"*Ethan Lake*", 'Raw data'!$H:$H,"*Acceleration*")</f>
        <v>0</v>
      </c>
      <c r="GP50" s="8">
        <f>COUNTIFS('Raw data'!$D:$D,"*Ethan Lake*", 'Raw data'!$H:$H,"*Move into Pocket*")</f>
        <v>9</v>
      </c>
      <c r="GQ50" s="8">
        <f>COUNTIFS('Raw data'!$D:$D,"*Ethan Lake*", 'Raw data'!$H:$H,"*Wide area*")</f>
        <v>2</v>
      </c>
      <c r="GR50" s="8">
        <f>COUNTIFS('Raw data'!$D:$D,"*Ethan Lake*", 'Raw data'!$H:$H,"*Back to goal*")</f>
        <v>0</v>
      </c>
      <c r="GS50" s="8">
        <f>COUNTIFS('Raw data'!$D:$D,"*Ethan Lake*", 'Raw data'!$H:$H,"*Over/Underlaps*")</f>
        <v>0</v>
      </c>
      <c r="GT50" s="8">
        <f>COUNTIFS('Raw data'!$D:$D,"*Ethan Lake*", 'Raw data'!$H:$H,"*Runs in Behind*")</f>
        <v>1</v>
      </c>
      <c r="GU50" s="8">
        <f>COUNTIFS('Raw data'!$D:$D,"*Ethan Lake*", 'Raw data'!$H:$H,"*Half-space Runs*")</f>
        <v>0</v>
      </c>
      <c r="GV50" s="8">
        <f t="shared" si="205"/>
        <v>2</v>
      </c>
      <c r="GW50" s="8">
        <f t="shared" si="206"/>
        <v>1</v>
      </c>
      <c r="GX50" s="8">
        <f t="shared" si="207"/>
        <v>1</v>
      </c>
      <c r="GY50" s="54">
        <f t="shared" si="208"/>
        <v>0.5</v>
      </c>
      <c r="GZ50" s="54">
        <f t="shared" si="209"/>
        <v>0.5</v>
      </c>
      <c r="HA50" s="8">
        <f>COUNTIFS('Raw data'!$D:$D,"*Ethan Lake*", 'Raw data'!$K:$K,"*Ground duel*")</f>
        <v>1</v>
      </c>
      <c r="HB50" s="8">
        <f>COUNTIFS('Raw data'!$D:$D,"*Ethan Lake*", 'Raw data'!$K:$K,"*Ground duel*",'Raw data'!$M:$M,"*Duel Succeeded*")</f>
        <v>0</v>
      </c>
      <c r="HC50" s="8">
        <f>COUNTIFS('Raw data'!$D:$D,"*Ethan Lake*", 'Raw data'!$K:$K,"*Ground duel*",'Raw data'!$M:$M,"*Duel Unsucceeded*")</f>
        <v>1</v>
      </c>
      <c r="HD50" s="54">
        <f t="shared" si="210"/>
        <v>0</v>
      </c>
      <c r="HE50" s="54">
        <f t="shared" si="211"/>
        <v>1</v>
      </c>
      <c r="HF50" s="8">
        <f>COUNTIFS('Raw data'!$D:$D,"*Ethan Lake*", 'Raw data'!$K:$K,"*Aerial duel*")</f>
        <v>1</v>
      </c>
      <c r="HG50" s="8">
        <f>COUNTIFS('Raw data'!$D:$D,"*Ethan Lake*", 'Raw data'!$K:$K,"*Aerial duel*",'Raw data'!$M:$M,"*Duel Succeeded*")</f>
        <v>1</v>
      </c>
      <c r="HH50" s="8">
        <f>COUNTIFS('Raw data'!$D:$D,"*Ethan Lake*", 'Raw data'!$K:$K,"*Aerial duel*",'Raw data'!$M:$M,"*Duel Unsucceeded*")</f>
        <v>0</v>
      </c>
      <c r="HI50" s="54">
        <f t="shared" si="212"/>
        <v>1</v>
      </c>
      <c r="HJ50" s="54">
        <f t="shared" si="213"/>
        <v>0</v>
      </c>
      <c r="HK50" s="8">
        <f>COUNTIFS('Raw data'!$D:$D,"*Ethan Lake*", 'Raw data'!$K:$K,"*1v1 defense*")</f>
        <v>1</v>
      </c>
      <c r="HL50" s="8">
        <f>COUNTIFS('Raw data'!$D:$D,"*Ethan Lake*", 'Raw data'!$K:$K,"*1v1 defense*",'Raw data'!$M:$M,"*Duel Succeeded*")</f>
        <v>0</v>
      </c>
      <c r="HM50" s="8">
        <f>COUNTIFS('Raw data'!$D:$D,"*Ethan Lake*", 'Raw data'!$K:$K,"*1v1 defense*",'Raw data'!$M:$M,"*Duel Unsucceeded*")</f>
        <v>1</v>
      </c>
      <c r="HN50" s="54">
        <f t="shared" si="214"/>
        <v>0</v>
      </c>
      <c r="HO50" s="54">
        <f t="shared" si="215"/>
        <v>1</v>
      </c>
      <c r="HP50" s="8">
        <f>COUNTIFS('Raw data'!$D:$D,"*Ethan Lake*", 'Raw data'!$J:$J,"*Tackles*")</f>
        <v>1</v>
      </c>
      <c r="HQ50" s="8">
        <f>COUNTIFS('Raw data'!$D:$D,"*Ethan Lake*", 'Raw data'!$J:$J,"*Tackles*", 'Raw data'!$M:$M,"*Duel Succeeded*")</f>
        <v>0</v>
      </c>
      <c r="HR50" s="8">
        <f>COUNTIFS('Raw data'!$D:$D,"*Ethan Lake*", 'Raw data'!$J:$J,"*Tackles*", 'Raw data'!$M:$M,"*Duel Unsucceeded*")</f>
        <v>1</v>
      </c>
      <c r="HS50" s="54">
        <f t="shared" si="216"/>
        <v>0</v>
      </c>
      <c r="HT50" s="54">
        <f t="shared" si="217"/>
        <v>1</v>
      </c>
      <c r="HU50" s="8">
        <f>COUNTIFS('Raw data'!$D:$D,"*Ethan Lake*", 'Raw data'!$K:$K,"*2nd Balls*")</f>
        <v>1</v>
      </c>
      <c r="HV50" s="8">
        <f>COUNTIFS('Raw data'!$D:$D,"*Ethan Lake*", 'Raw data'!$K:$K,"*2nd Balls*", 'Raw data'!$M:$M,"*Duel Succeeded*")</f>
        <v>0</v>
      </c>
      <c r="HW50" s="8">
        <f>COUNTIFS('Raw data'!$D:$D,"*Ethan Lake*", 'Raw data'!$K:$K,"*2nd Balls*", 'Raw data'!$M:$M,"*Duel Unsucceeded*")</f>
        <v>1</v>
      </c>
      <c r="HX50" s="54">
        <f t="shared" si="218"/>
        <v>0</v>
      </c>
      <c r="HY50" s="54">
        <f t="shared" si="219"/>
        <v>1</v>
      </c>
      <c r="HZ50" s="8">
        <f>COUNTIFS('Raw data'!$D:$D,"*Ethan Lake*", 'Raw data'!$J:$J,"*Clearance*")</f>
        <v>1</v>
      </c>
      <c r="IA50" s="8">
        <f>COUNTIFS('Raw data'!$D:$D,"*Ethan Lake*", 'Raw data'!$J:$J,"*Interception*")</f>
        <v>2</v>
      </c>
      <c r="IB50" s="8">
        <f>COUNTIFS('Raw data'!$D:$D,"*Ethan Lake*", 'Raw data'!$J:$J,"*Turnover Won*")</f>
        <v>6</v>
      </c>
      <c r="IC50" s="8">
        <f>COUNTIFS('Raw data'!$D:$D,"*Ethan Lake*", 'Raw data'!$J:$J,"*Recovery*")</f>
        <v>0</v>
      </c>
      <c r="ID50" s="8">
        <f>COUNTIFS('Raw data'!$D:$D,"*Ethan Lake*", 'Raw data'!$J:$J,"*Blocked Shots*")</f>
        <v>0</v>
      </c>
      <c r="IE50" s="8">
        <f>COUNTIFS('Raw data'!$D:$D,"*Ethan Lake*", 'Raw data'!$J:$J,"*Man-marking*")</f>
        <v>0</v>
      </c>
      <c r="IF50" s="8">
        <f>COUNTIFS('Raw data'!$D:$D,"*Ethan Lake*", 'Raw data'!$J:$J,"*Fouls*")</f>
        <v>0</v>
      </c>
      <c r="IG50" s="8">
        <f>COUNTIFS('Raw data'!$D:$D,"*Ethan Lake*", 'Raw data'!$J:$J,"*Won F*")</f>
        <v>0</v>
      </c>
      <c r="IH50" s="8">
        <f>COUNTIFS('Raw data'!$D:$D,"*Ethan Lake*", 'Raw data'!$G:$G,"*1v1*")</f>
        <v>0</v>
      </c>
      <c r="II50" s="8">
        <f>COUNTIFS('Raw data'!$D:$D,"*Ethan Lake*", 'Raw data'!$G:$G,"*On Target*")</f>
        <v>0</v>
      </c>
      <c r="IJ50" s="8">
        <f>COUNTIFS('Raw data'!$D:$D,"*Ethan Lake*", 'Raw data'!$G:$G,"*Off Target*")</f>
        <v>0</v>
      </c>
      <c r="IK50" s="8">
        <f>COUNTIFS('Raw data'!$D:$D,"*Ethan Lake*", 'Raw data'!$G:$G,"*Defend the Space*")</f>
        <v>0</v>
      </c>
      <c r="IL50" s="8">
        <f>COUNTIFS('Raw data'!$D:$D,"*Ethan Lake*", 'Raw data'!$G:$G,"*Conceded*")</f>
        <v>0</v>
      </c>
      <c r="IM50" s="8">
        <f>COUNTIFS('Raw data'!$D:$D,"*Ethan Lake*", 'Raw data'!$G:$G,"*Save*")</f>
        <v>0</v>
      </c>
      <c r="IN50" s="8">
        <f>COUNTIFS('Raw data'!$D:$D,"*Ethan Lake*", 'Raw data'!$G:$G,"*Defend the line (Cross)*")</f>
        <v>0</v>
      </c>
      <c r="IO50" s="8">
        <f>COUNTIFS('Raw data'!$D:$D,"*Ethan Lake*", 'Raw data'!$G:$G,"*Counter Kick*")</f>
        <v>0</v>
      </c>
      <c r="IP50" t="s">
        <v>645</v>
      </c>
    </row>
    <row r="51" spans="127:250">
      <c r="DW51" t="s">
        <v>501</v>
      </c>
      <c r="DX51" t="s">
        <v>653</v>
      </c>
      <c r="DY51">
        <v>60</v>
      </c>
      <c r="DZ51" t="s">
        <v>539</v>
      </c>
      <c r="EA51">
        <f t="shared" si="179"/>
        <v>26</v>
      </c>
      <c r="EB51" s="8">
        <f t="shared" si="304"/>
        <v>21</v>
      </c>
      <c r="EC51" s="8">
        <f t="shared" si="305"/>
        <v>5</v>
      </c>
      <c r="ED51" s="54">
        <f t="shared" si="181"/>
        <v>0.80769230769230771</v>
      </c>
      <c r="EE51" s="54">
        <f t="shared" si="182"/>
        <v>0.19230769230769232</v>
      </c>
      <c r="EF51">
        <f t="shared" si="183"/>
        <v>10</v>
      </c>
      <c r="EG51">
        <f>COUNTIFS('Raw data'!$D:$D,"*Jayden To*", 'Raw data'!$I:$I,"*Forward Pass*",'Raw data'!$M:$M,"*Pass completed*")</f>
        <v>6</v>
      </c>
      <c r="EH51">
        <f>COUNTIFS('Raw data'!$D:$D,"*Jayden To*", 'Raw data'!$I:$I,"*Forward Pass*",'Raw data'!$M:$M,"*Pass Uncompleted*")</f>
        <v>4</v>
      </c>
      <c r="EI51" s="54">
        <f t="shared" si="184"/>
        <v>0.6</v>
      </c>
      <c r="EJ51" s="54">
        <f t="shared" si="185"/>
        <v>0.4</v>
      </c>
      <c r="EK51">
        <f t="shared" si="186"/>
        <v>5</v>
      </c>
      <c r="EL51" s="8">
        <f>COUNTIFS('Raw data'!$D:$D,"*Jayden To*", 'Raw data'!$I:$I,"*Lateral Pass*",'Raw data'!$M:$M,"*Pass completed*")</f>
        <v>4</v>
      </c>
      <c r="EM51" s="8">
        <f>COUNTIFS('Raw data'!$D:$D,"*Jayden To*", 'Raw data'!$I:$I,"*Lateral Pass*",'Raw data'!$M:$M,"*Pass Uncompleted*")</f>
        <v>1</v>
      </c>
      <c r="EN51" s="54">
        <f t="shared" si="187"/>
        <v>0.8</v>
      </c>
      <c r="EO51" s="54">
        <f t="shared" si="188"/>
        <v>0.2</v>
      </c>
      <c r="EP51">
        <f t="shared" si="189"/>
        <v>11</v>
      </c>
      <c r="EQ51" s="8">
        <f>COUNTIFS('Raw data'!$D:$D,"*Jayden To*", 'Raw data'!$I:$I,"*Backward Pass*",'Raw data'!$M:$M,"*Pass completed*")</f>
        <v>11</v>
      </c>
      <c r="ER51" s="8">
        <f>COUNTIFS('Raw data'!$D:$D,"*Jayden To*", 'Raw data'!$I:$I,"*Backward Pass*",'Raw data'!$M:$M,"*Pass Uncompleted*")</f>
        <v>0</v>
      </c>
      <c r="ES51" s="54">
        <f t="shared" si="190"/>
        <v>1</v>
      </c>
      <c r="ET51" s="54">
        <f t="shared" si="191"/>
        <v>0</v>
      </c>
      <c r="EU51" s="8">
        <f>COUNTIFS('Raw data'!$D:$D,"*Jayden To*", 'Raw data'!$I:$I,"*Long Kick*")</f>
        <v>0</v>
      </c>
      <c r="EV51" s="8">
        <f>COUNTIFS('Raw data'!$D:$D,"*Jayden To*", 'Raw data'!$I:$I,"*Long Kick*",'Raw data'!$M:$M,"*Pass completed*")</f>
        <v>0</v>
      </c>
      <c r="EW51" s="8">
        <f>COUNTIFS('Raw data'!$D:$D,"*Jayden To*", 'Raw data'!$I:$I,"*Long Kick*",'Raw data'!$M:$M,"*Pass Uncompleted*")</f>
        <v>0</v>
      </c>
      <c r="EX51" s="54" t="str">
        <f t="shared" si="192"/>
        <v>-</v>
      </c>
      <c r="EY51" s="54" t="str">
        <f t="shared" si="193"/>
        <v>-</v>
      </c>
      <c r="EZ51" s="8">
        <f>COUNTIFS('Raw data'!$D:$D,"*Jayden To*", 'Raw data'!$I:$I,"*Balls in Behind*")</f>
        <v>3</v>
      </c>
      <c r="FA51" s="8">
        <f>COUNTIFS('Raw data'!$D:$D,"*Jayden To*", 'Raw data'!$I:$I,"*Balls in Behind*",'Raw data'!$M:$M,"*Pass completed*")</f>
        <v>1</v>
      </c>
      <c r="FB51" s="8">
        <f>COUNTIFS('Raw data'!$D:$D,"*Jayden To*", 'Raw data'!$I:$I,"*Balls in Behind*",'Raw data'!$M:$M,"*Pass Uncompleted*")</f>
        <v>2</v>
      </c>
      <c r="FC51" s="54">
        <f t="shared" si="194"/>
        <v>0.33333333333333331</v>
      </c>
      <c r="FD51" s="54">
        <f t="shared" si="195"/>
        <v>0.66666666666666663</v>
      </c>
      <c r="FE51" s="8">
        <f>COUNTIFS('Raw data'!$D:$D,"*Jayden To*", 'Raw data'!$I:$I,"*Key/Through pass*")</f>
        <v>3</v>
      </c>
      <c r="FF51" s="8">
        <f>COUNTIFS('Raw data'!$D:$D,"*Jayden To*", 'Raw data'!$I:$I,"*Diagonal pass*")</f>
        <v>0</v>
      </c>
      <c r="FG51" s="8">
        <f>COUNTIFS('Raw data'!$D:$D,"*Jayden To*", 'Raw data'!$I:$I,"*Diagonal pass*",'Raw data'!$M:$M,"*Pass completed*")</f>
        <v>0</v>
      </c>
      <c r="FH51" s="8">
        <f>COUNTIFS('Raw data'!$D:$D,"*Jayden To*", 'Raw data'!$I:$I,"*Diagonal pass*",'Raw data'!$M:$M,"*Pass Uncompleted*")</f>
        <v>0</v>
      </c>
      <c r="FI51" s="54" t="str">
        <f t="shared" si="196"/>
        <v>-</v>
      </c>
      <c r="FJ51" s="54" t="str">
        <f t="shared" si="197"/>
        <v>-</v>
      </c>
      <c r="FK51" s="8">
        <f>COUNTIFS('Raw data'!$D:$D,"*Jayden To*", 'Raw data'!$M:$M,"*Pass Received*")</f>
        <v>15</v>
      </c>
      <c r="FL51" s="8">
        <f>COUNTIFS('Raw data'!$D:$D,"*Jayden To*", 'Raw data'!$M:$M,"*Pass Completed*",'Raw data'!$M:$M,"*Pass Received*")</f>
        <v>12</v>
      </c>
      <c r="FM51" s="8">
        <f>COUNTIFS('Raw data'!$D:$D,"*Jayden To*", 'Raw data'!$M:$M,"*Pass Uncompleted*",'Raw data'!$M:$M,"*Pass Received*")</f>
        <v>3</v>
      </c>
      <c r="FN51" s="8">
        <f>COUNTIFS('Raw data'!$D:$D,"*Jayden To*", 'Raw data'!$M:$M,"*Kept Possession*",'Raw data'!$M:$M,"*Pass Received*")</f>
        <v>2</v>
      </c>
      <c r="FO51" s="8">
        <f>COUNTIFS('Raw data'!$D:$D,"*Jayden To*", 'Raw data'!$M:$M,"*Lost Possession*")</f>
        <v>5</v>
      </c>
      <c r="FP51" s="8">
        <f>COUNTIFS('Raw data'!$D:$D,"*Jayden To*", 'Raw data'!$M:$M,"*Lost Possession*",'Raw data'!$M:$M,"*Lost Final 1/3*")</f>
        <v>3</v>
      </c>
      <c r="FQ51" s="8">
        <f>COUNTIFS('Raw data'!$D:$D,"*Jayden To*", 'Raw data'!$M:$M,"*Lost Possession*",'Raw data'!$M:$M,"*Lost Middle 1/3*")</f>
        <v>1</v>
      </c>
      <c r="FR51" s="8">
        <f>COUNTIFS('Raw data'!$D:$D,"*Jayden To*", 'Raw data'!$M:$M,"*Lost Possession*",'Raw data'!$M:$M,"*Lost Own 1/3*")</f>
        <v>1</v>
      </c>
      <c r="FS51" s="8">
        <f>COUNTIFS('Raw data'!$D:$D,"*Jayden To*", 'Raw data'!$H:$H,"*Touches in the Box*")</f>
        <v>0</v>
      </c>
      <c r="FT51" s="8">
        <f>COUNTIFS('Raw data'!$D:$D,"*Jayden To*", 'Raw data'!$H:$H,"*1v1 Attack*")</f>
        <v>1</v>
      </c>
      <c r="FU51" s="8">
        <f>COUNTIFS('Raw data'!$D:$D,"*Jayden To*", 'Raw data'!$H:$H,"*1v1 Attack*",'Raw data'!$H:$H,"*1v1 Attack*",'Raw data'!$M:$M,"*Kept Possession*")</f>
        <v>1</v>
      </c>
      <c r="FV51" s="8">
        <f>COUNTIFS('Raw data'!$D:$D,"*Jayden To*", 'Raw data'!$H:$H,"*1v1 Attack*",'Raw data'!$H:$H,"*1v1 Attack*",'Raw data'!$M:$M,"*Lost Possession*")</f>
        <v>0</v>
      </c>
      <c r="FW51" s="54">
        <f t="shared" si="198"/>
        <v>1</v>
      </c>
      <c r="FX51" s="54">
        <f t="shared" si="199"/>
        <v>0</v>
      </c>
      <c r="FY51" s="8">
        <f>COUNTIFS('Raw data'!$D:$D,"*Jayden To*", 'Raw data'!$I:$I,"*Cross*")</f>
        <v>0</v>
      </c>
      <c r="FZ51" s="8">
        <f>COUNTIFS('Raw data'!$D:$D,"*Jayden To*", 'Raw data'!$I:$I,"*Cross*",'Raw data'!$M:$M,"*Pass Completed*")</f>
        <v>0</v>
      </c>
      <c r="GA51" s="8">
        <f>COUNTIFS('Raw data'!$D:$D,"*Jayden To*", 'Raw data'!$I:$I,"*Cross*",'Raw data'!$M:$M,"*Pass Uncompleted*")</f>
        <v>0</v>
      </c>
      <c r="GB51" s="54" t="str">
        <f t="shared" si="200"/>
        <v>-</v>
      </c>
      <c r="GC51" s="54" t="str">
        <f t="shared" si="201"/>
        <v>-</v>
      </c>
      <c r="GD51" s="8">
        <f t="shared" si="202"/>
        <v>0</v>
      </c>
      <c r="GE51" s="8">
        <f>COUNTIFS('Raw data'!$D:$D,"*Jayden To*", 'Raw data'!$L:$L,"*On Target*")</f>
        <v>0</v>
      </c>
      <c r="GF51" s="8">
        <f>COUNTIFS('Raw data'!$D:$D,"*Jayden To*", 'Raw data'!$L:$L,"*Off Target*")</f>
        <v>0</v>
      </c>
      <c r="GG51" s="8">
        <f>COUNTIFS('Raw data'!$D:$D,"*Jayden To*", 'Raw data'!$L:$L,"*Blocked*")</f>
        <v>0</v>
      </c>
      <c r="GH51" s="8">
        <f>COUNTIFS('Raw data'!$D:$D,"*Jayden To*", 'Raw data'!$M:$M,"*Goal*")</f>
        <v>0</v>
      </c>
      <c r="GI51" s="8">
        <f>COUNTIFS('Raw data'!$D:$D,"*Jayden To*", 'Raw data'!$M:$M,"*Assist*")</f>
        <v>0</v>
      </c>
      <c r="GJ51" s="8">
        <f>COUNTIFS('Raw data'!$D:$D,"*Jayden To*", 'Raw data'!$H:$H,"*Offensive duel*")</f>
        <v>4</v>
      </c>
      <c r="GK51" s="8">
        <f>COUNTIFS('Raw data'!$D:$D,"*Jayden To*", 'Raw data'!$H:$H,"*Offensive Duel*",'Raw data'!$H:$H,"*Offensive Duel*",'Raw data'!$M:$M,"*Kept Possession*")</f>
        <v>3</v>
      </c>
      <c r="GL51" s="8">
        <f>COUNTIFS('Raw data'!$D:$D,"*Jayden To*", 'Raw data'!$H:$H,"*Offensive Duel*",'Raw data'!$H:$H,"*Offensive Duel*",'Raw data'!$M:$M,"*Lost Possession*")</f>
        <v>1</v>
      </c>
      <c r="GM51" s="54">
        <f t="shared" si="203"/>
        <v>0.75</v>
      </c>
      <c r="GN51" s="54">
        <f t="shared" si="204"/>
        <v>0.25</v>
      </c>
      <c r="GO51" s="8">
        <f>COUNTIFS('Raw data'!$D:$D,"*Jayden To*", 'Raw data'!$H:$H,"*Acceleration*")</f>
        <v>1</v>
      </c>
      <c r="GP51" s="8">
        <f>COUNTIFS('Raw data'!$D:$D,"*Jayden To*", 'Raw data'!$H:$H,"*Move into Pocket*")</f>
        <v>5</v>
      </c>
      <c r="GQ51" s="8">
        <f>COUNTIFS('Raw data'!$D:$D,"*Jayden To*", 'Raw data'!$H:$H,"*Wide area*")</f>
        <v>1</v>
      </c>
      <c r="GR51" s="8">
        <f>COUNTIFS('Raw data'!$D:$D,"*Jayden To*", 'Raw data'!$H:$H,"*Back to goal*")</f>
        <v>1</v>
      </c>
      <c r="GS51" s="8">
        <f>COUNTIFS('Raw data'!$D:$D,"*Jayden To*", 'Raw data'!$H:$H,"*Over/Underlaps*")</f>
        <v>0</v>
      </c>
      <c r="GT51" s="8">
        <f>COUNTIFS('Raw data'!$D:$D,"*Jayden To*", 'Raw data'!$H:$H,"*Runs in Behind*")</f>
        <v>0</v>
      </c>
      <c r="GU51" s="8">
        <f>COUNTIFS('Raw data'!$D:$D,"*Jayden To*", 'Raw data'!$H:$H,"*Half-space Runs*")</f>
        <v>1</v>
      </c>
      <c r="GV51" s="8">
        <f t="shared" si="205"/>
        <v>5</v>
      </c>
      <c r="GW51" s="8">
        <f t="shared" si="206"/>
        <v>4</v>
      </c>
      <c r="GX51" s="8">
        <f t="shared" si="207"/>
        <v>1</v>
      </c>
      <c r="GY51" s="54">
        <f t="shared" si="208"/>
        <v>0.8</v>
      </c>
      <c r="GZ51" s="54">
        <f t="shared" si="209"/>
        <v>0.2</v>
      </c>
      <c r="HA51" s="8">
        <f>COUNTIFS('Raw data'!$D:$D,"*Jayden To*", 'Raw data'!$K:$K,"*Ground duel*")</f>
        <v>1</v>
      </c>
      <c r="HB51" s="8">
        <f>COUNTIFS('Raw data'!$D:$D,"*Jayden To*", 'Raw data'!$K:$K,"*Ground duel*",'Raw data'!$M:$M,"*Duel Succeeded*")</f>
        <v>1</v>
      </c>
      <c r="HC51" s="8">
        <f>COUNTIFS('Raw data'!$D:$D,"*Jayden To*", 'Raw data'!$K:$K,"*Ground duel*",'Raw data'!$M:$M,"*Duel Unsucceeded*")</f>
        <v>0</v>
      </c>
      <c r="HD51" s="54">
        <f t="shared" si="210"/>
        <v>1</v>
      </c>
      <c r="HE51" s="54">
        <f t="shared" si="211"/>
        <v>0</v>
      </c>
      <c r="HF51" s="8">
        <f>COUNTIFS('Raw data'!$D:$D,"*Jayden To*", 'Raw data'!$K:$K,"*Aerial duel*")</f>
        <v>0</v>
      </c>
      <c r="HG51" s="8">
        <f>COUNTIFS('Raw data'!$D:$D,"*Jayden To*", 'Raw data'!$K:$K,"*Aerial duel*",'Raw data'!$M:$M,"*Duel Succeeded*")</f>
        <v>0</v>
      </c>
      <c r="HH51" s="8">
        <f>COUNTIFS('Raw data'!$D:$D,"*Jayden To*", 'Raw data'!$K:$K,"*Aerial duel*",'Raw data'!$M:$M,"*Duel Unsucceeded*")</f>
        <v>0</v>
      </c>
      <c r="HI51" s="54" t="str">
        <f t="shared" si="212"/>
        <v>-</v>
      </c>
      <c r="HJ51" s="54" t="str">
        <f t="shared" si="213"/>
        <v>-</v>
      </c>
      <c r="HK51" s="8">
        <f>COUNTIFS('Raw data'!$D:$D,"*Jayden To*", 'Raw data'!$K:$K,"*1v1 defense*")</f>
        <v>0</v>
      </c>
      <c r="HL51" s="8">
        <f>COUNTIFS('Raw data'!$D:$D,"*Jayden To*", 'Raw data'!$K:$K,"*1v1 defense*",'Raw data'!$M:$M,"*Duel Succeeded*")</f>
        <v>0</v>
      </c>
      <c r="HM51" s="8">
        <f>COUNTIFS('Raw data'!$D:$D,"*Jayden To*", 'Raw data'!$K:$K,"*1v1 defense*",'Raw data'!$M:$M,"*Duel Unsucceeded*")</f>
        <v>0</v>
      </c>
      <c r="HN51" s="54" t="str">
        <f t="shared" si="214"/>
        <v>-</v>
      </c>
      <c r="HO51" s="54" t="str">
        <f t="shared" si="215"/>
        <v>-</v>
      </c>
      <c r="HP51" s="8">
        <f>COUNTIFS('Raw data'!$D:$D,"*Jayden To*", 'Raw data'!$J:$J,"*Tackles*")</f>
        <v>1</v>
      </c>
      <c r="HQ51" s="8">
        <f>COUNTIFS('Raw data'!$D:$D,"*Jayden To*", 'Raw data'!$J:$J,"*Tackles*", 'Raw data'!$M:$M,"*Duel Succeeded*")</f>
        <v>0</v>
      </c>
      <c r="HR51" s="8">
        <f>COUNTIFS('Raw data'!$D:$D,"*Jayden To*", 'Raw data'!$J:$J,"*Tackles*", 'Raw data'!$M:$M,"*Duel Unsucceeded*")</f>
        <v>1</v>
      </c>
      <c r="HS51" s="54">
        <f t="shared" si="216"/>
        <v>0</v>
      </c>
      <c r="HT51" s="54">
        <f t="shared" si="217"/>
        <v>1</v>
      </c>
      <c r="HU51" s="8">
        <f>COUNTIFS('Raw data'!$D:$D,"*Jayden To*", 'Raw data'!$K:$K,"*2nd Balls*")</f>
        <v>4</v>
      </c>
      <c r="HV51" s="8">
        <f>COUNTIFS('Raw data'!$D:$D,"*Jayden To*", 'Raw data'!$K:$K,"*2nd Balls*", 'Raw data'!$M:$M,"*Duel Succeeded*")</f>
        <v>2</v>
      </c>
      <c r="HW51" s="8">
        <f>COUNTIFS('Raw data'!$D:$D,"*Jayden To*", 'Raw data'!$K:$K,"*2nd Balls*", 'Raw data'!$M:$M,"*Duel Unsucceeded*")</f>
        <v>2</v>
      </c>
      <c r="HX51" s="54">
        <f t="shared" si="218"/>
        <v>0.5</v>
      </c>
      <c r="HY51" s="54">
        <f t="shared" si="219"/>
        <v>0.5</v>
      </c>
      <c r="HZ51" s="8">
        <f>COUNTIFS('Raw data'!$D:$D,"*Jayden To*", 'Raw data'!$J:$J,"*Clearance*")</f>
        <v>0</v>
      </c>
      <c r="IA51" s="8">
        <f>COUNTIFS('Raw data'!$D:$D,"*Jayden To*", 'Raw data'!$J:$J,"*Interception*")</f>
        <v>7</v>
      </c>
      <c r="IB51" s="8">
        <f>COUNTIFS('Raw data'!$D:$D,"*Jayden To*", 'Raw data'!$J:$J,"*Turnover Won*")</f>
        <v>8</v>
      </c>
      <c r="IC51" s="8">
        <f>COUNTIFS('Raw data'!$D:$D,"*Jayden To*", 'Raw data'!$J:$J,"*Recovery*")</f>
        <v>0</v>
      </c>
      <c r="ID51" s="8">
        <f>COUNTIFS('Raw data'!$D:$D,"*Jayden To*", 'Raw data'!$J:$J,"*Blocked Shots*")</f>
        <v>0</v>
      </c>
      <c r="IE51" s="8">
        <f>COUNTIFS('Raw data'!$D:$D,"*Jayden To*", 'Raw data'!$J:$J,"*Man-marking*")</f>
        <v>0</v>
      </c>
      <c r="IF51" s="8">
        <f>COUNTIFS('Raw data'!$D:$D,"*Jayden To*", 'Raw data'!$J:$J,"*Fouls*")</f>
        <v>2</v>
      </c>
      <c r="IG51" s="8">
        <f>COUNTIFS('Raw data'!$D:$D,"*Jayden To*", 'Raw data'!$J:$J,"*Won F*")</f>
        <v>2</v>
      </c>
      <c r="IH51" s="8">
        <f>COUNTIFS('Raw data'!$D:$D,"*Jayden To*", 'Raw data'!$G:$G,"*1v1*")</f>
        <v>0</v>
      </c>
      <c r="II51" s="8">
        <f>COUNTIFS('Raw data'!$D:$D,"*Jayden To*", 'Raw data'!$G:$G,"*On Target*")</f>
        <v>0</v>
      </c>
      <c r="IJ51" s="8">
        <f>COUNTIFS('Raw data'!$D:$D,"*Jayden To*", 'Raw data'!$G:$G,"*Off Target*")</f>
        <v>0</v>
      </c>
      <c r="IK51" s="8">
        <f>COUNTIFS('Raw data'!$D:$D,"*Jayden To*", 'Raw data'!$G:$G,"*Defend the Space*")</f>
        <v>0</v>
      </c>
      <c r="IL51" s="8">
        <f>COUNTIFS('Raw data'!$D:$D,"*Jayden To*", 'Raw data'!$G:$G,"*Conceded*")</f>
        <v>0</v>
      </c>
      <c r="IM51" s="8">
        <f>COUNTIFS('Raw data'!$D:$D,"*Jayden To*", 'Raw data'!$G:$G,"*Save*")</f>
        <v>0</v>
      </c>
      <c r="IN51" s="8">
        <f>COUNTIFS('Raw data'!$D:$D,"*Jayden To*", 'Raw data'!$G:$G,"*Defend the line (Cross)*")</f>
        <v>0</v>
      </c>
      <c r="IO51" s="8">
        <f>COUNTIFS('Raw data'!$D:$D,"*Jayden To*", 'Raw data'!$G:$G,"*Counter Kick*")</f>
        <v>0</v>
      </c>
      <c r="IP51" t="s">
        <v>653</v>
      </c>
    </row>
    <row r="52" spans="127:250">
      <c r="DW52" t="s">
        <v>501</v>
      </c>
      <c r="DX52" t="s">
        <v>761</v>
      </c>
      <c r="DY52">
        <v>60</v>
      </c>
      <c r="DZ52" t="s">
        <v>539</v>
      </c>
      <c r="EA52">
        <f t="shared" ref="EA52" si="348">EB52+EC52</f>
        <v>9</v>
      </c>
      <c r="EB52" s="8">
        <f t="shared" ref="EB52" si="349">EG52+EL52+EQ52</f>
        <v>9</v>
      </c>
      <c r="EC52" s="8">
        <f t="shared" ref="EC52" si="350">EH52+EM52+ER52</f>
        <v>0</v>
      </c>
      <c r="ED52" s="54">
        <f t="shared" ref="ED52" si="351">IFERROR(EB52/$EA52,"-")</f>
        <v>1</v>
      </c>
      <c r="EE52" s="54">
        <f t="shared" ref="EE52" si="352">IFERROR(EC52/$EA52,"-")</f>
        <v>0</v>
      </c>
      <c r="EF52">
        <f t="shared" ref="EF52" si="353">EG52+EH52</f>
        <v>1</v>
      </c>
      <c r="EG52">
        <f>COUNTIFS('Raw data'!$D:$D,"*Harley Moyes*", 'Raw data'!$I:$I,"*Forward Pass*",'Raw data'!$M:$M,"*Pass completed*")</f>
        <v>1</v>
      </c>
      <c r="EH52">
        <f>COUNTIFS('Raw data'!$D:$D,"*Harley Moyes*", 'Raw data'!$I:$I,"*Forward Pass*",'Raw data'!$M:$M,"*Pass Uncompleted*")</f>
        <v>0</v>
      </c>
      <c r="EI52" s="54">
        <f t="shared" ref="EI52" si="354">IFERROR(EG52/$EF52,"-")</f>
        <v>1</v>
      </c>
      <c r="EJ52" s="54">
        <f t="shared" ref="EJ52" si="355">IFERROR(EH52/$EF52,"-")</f>
        <v>0</v>
      </c>
      <c r="EK52">
        <f t="shared" ref="EK52" si="356">EL52+EM52</f>
        <v>6</v>
      </c>
      <c r="EL52" s="8">
        <f>COUNTIFS('Raw data'!$D:$D,"*Harley Moyes*", 'Raw data'!$I:$I,"*Lateral Pass*",'Raw data'!$M:$M,"*Pass completed*")</f>
        <v>6</v>
      </c>
      <c r="EM52" s="8">
        <f>COUNTIFS('Raw data'!$D:$D,"*Harley Moyes*", 'Raw data'!$I:$I,"*Lateral Pass*",'Raw data'!$M:$M,"*Pass Uncompleted*")</f>
        <v>0</v>
      </c>
      <c r="EN52" s="54">
        <f t="shared" ref="EN52" si="357">IFERROR(EL52/$EK52,"-")</f>
        <v>1</v>
      </c>
      <c r="EO52" s="54">
        <f t="shared" ref="EO52" si="358">IFERROR(EM52/$EK52,"-")</f>
        <v>0</v>
      </c>
      <c r="EP52">
        <f t="shared" ref="EP52" si="359">EQ52+ER52</f>
        <v>2</v>
      </c>
      <c r="EQ52" s="8">
        <f>COUNTIFS('Raw data'!$D:$D,"*Harley Moyes*", 'Raw data'!$I:$I,"*Backward Pass*",'Raw data'!$M:$M,"*Pass completed*")</f>
        <v>2</v>
      </c>
      <c r="ER52" s="8">
        <f>COUNTIFS('Raw data'!$D:$D,"*Harley Moyes*", 'Raw data'!$I:$I,"*Backward Pass*",'Raw data'!$M:$M,"*Pass Uncompleted*")</f>
        <v>0</v>
      </c>
      <c r="ES52" s="54">
        <f t="shared" ref="ES52" si="360">IFERROR(EQ52/$EQ52,"-")</f>
        <v>1</v>
      </c>
      <c r="ET52" s="54">
        <f t="shared" ref="ET52" si="361">IFERROR(ER52/$EQ52,"-")</f>
        <v>0</v>
      </c>
      <c r="EU52" s="8">
        <f>COUNTIFS('Raw data'!$D:$D,"*Harley Moyes*", 'Raw data'!$I:$I,"*Long Kick*")</f>
        <v>0</v>
      </c>
      <c r="EV52" s="8">
        <f>COUNTIFS('Raw data'!$D:$D,"*Harley Moyes*", 'Raw data'!$I:$I,"*Long Kick*",'Raw data'!$M:$M,"*Pass completed*")</f>
        <v>0</v>
      </c>
      <c r="EW52" s="8">
        <f>COUNTIFS('Raw data'!$D:$D,"*Harley Moyes*", 'Raw data'!$I:$I,"*Long Kick*",'Raw data'!$M:$M,"*Pass Uncompleted*")</f>
        <v>0</v>
      </c>
      <c r="EX52" s="54" t="str">
        <f t="shared" ref="EX52" si="362">IFERROR(EV52/$EU52,"-")</f>
        <v>-</v>
      </c>
      <c r="EY52" s="54" t="str">
        <f t="shared" ref="EY52" si="363">IFERROR(EW52/$EU52,"-")</f>
        <v>-</v>
      </c>
      <c r="EZ52" s="8">
        <f>COUNTIFS('Raw data'!$D:$D,"*Harley Moyes*", 'Raw data'!$I:$I,"*Balls in Behind*")</f>
        <v>1</v>
      </c>
      <c r="FA52" s="8">
        <f>COUNTIFS('Raw data'!$D:$D,"*Harley Moyes*", 'Raw data'!$I:$I,"*Balls in Behind*",'Raw data'!$M:$M,"*Pass completed*")</f>
        <v>1</v>
      </c>
      <c r="FB52" s="8">
        <f>COUNTIFS('Raw data'!$D:$D,"*Harley Moyes*", 'Raw data'!$I:$I,"*Balls in Behind*",'Raw data'!$M:$M,"*Pass Uncompleted*")</f>
        <v>0</v>
      </c>
      <c r="FC52" s="54">
        <f t="shared" ref="FC52" si="364">IFERROR(FA52/$EZ52,"-")</f>
        <v>1</v>
      </c>
      <c r="FD52" s="54">
        <f t="shared" ref="FD52" si="365">IFERROR(FB52/$EZ52,"-")</f>
        <v>0</v>
      </c>
      <c r="FE52" s="8">
        <f>COUNTIFS('Raw data'!$D:$D,"*Harley Moyes*", 'Raw data'!$I:$I,"*Key/Through pass*")</f>
        <v>0</v>
      </c>
      <c r="FF52" s="8">
        <f>COUNTIFS('Raw data'!$D:$D,"*Harley Moyes*", 'Raw data'!$I:$I,"*Diagonal pass*")</f>
        <v>0</v>
      </c>
      <c r="FG52" s="8">
        <f>COUNTIFS('Raw data'!$D:$D,"*Harley Moyes*", 'Raw data'!$I:$I,"*Diagonal pass*",'Raw data'!$M:$M,"*Pass completed*")</f>
        <v>0</v>
      </c>
      <c r="FH52" s="8">
        <f>COUNTIFS('Raw data'!$D:$D,"*Harley Moyes*", 'Raw data'!$I:$I,"*Diagonal pass*",'Raw data'!$M:$M,"*Pass Uncompleted*")</f>
        <v>0</v>
      </c>
      <c r="FI52" s="54" t="str">
        <f t="shared" ref="FI52" si="366">IFERROR(FG52/$FF52,"-")</f>
        <v>-</v>
      </c>
      <c r="FJ52" s="54" t="str">
        <f t="shared" ref="FJ52" si="367">IFERROR(FH52/$FF52,"-")</f>
        <v>-</v>
      </c>
      <c r="FK52" s="8">
        <f>COUNTIFS('Raw data'!$D:$D,"*Harley Moyes*", 'Raw data'!$M:$M,"*Pass Received*")</f>
        <v>11</v>
      </c>
      <c r="FL52" s="8">
        <f>COUNTIFS('Raw data'!$D:$D,"*Harley Moyes*", 'Raw data'!$M:$M,"*Pass Completed*",'Raw data'!$M:$M,"*Pass Received*")</f>
        <v>9</v>
      </c>
      <c r="FM52" s="8">
        <f>COUNTIFS('Raw data'!$D:$D,"*Harley Moyes*", 'Raw data'!$M:$M,"*Pass Uncompleted*",'Raw data'!$M:$M,"*Pass Received*")</f>
        <v>0</v>
      </c>
      <c r="FN52" s="8">
        <f>COUNTIFS('Raw data'!$D:$D,"*Harley Moyes*", 'Raw data'!$M:$M,"*Kept Possession*",'Raw data'!$M:$M,"*Pass Received*")</f>
        <v>0</v>
      </c>
      <c r="FO52" s="8">
        <f>COUNTIFS('Raw data'!$D:$D,"*Harley Moyes*", 'Raw data'!$M:$M,"*Lost Possession*")</f>
        <v>2</v>
      </c>
      <c r="FP52" s="8">
        <f>COUNTIFS('Raw data'!$D:$D,"*Harley Moyes*", 'Raw data'!$M:$M,"*Lost Possession*",'Raw data'!$M:$M,"*Lost Final 1/3*")</f>
        <v>1</v>
      </c>
      <c r="FQ52" s="8">
        <f>COUNTIFS('Raw data'!$D:$D,"*Harley Moyes*", 'Raw data'!$M:$M,"*Lost Possession*",'Raw data'!$M:$M,"*Lost Middle 1/3*")</f>
        <v>1</v>
      </c>
      <c r="FR52" s="8">
        <f>COUNTIFS('Raw data'!$D:$D,"*Harley Moyes*", 'Raw data'!$M:$M,"*Lost Possession*",'Raw data'!$M:$M,"*Lost Own 1/3*")</f>
        <v>0</v>
      </c>
      <c r="FS52" s="8">
        <f>COUNTIFS('Raw data'!$D:$D,"*Harley Moyes*", 'Raw data'!$H:$H,"*Touches in the Box*")</f>
        <v>1</v>
      </c>
      <c r="FT52" s="8">
        <f>COUNTIFS('Raw data'!$D:$D,"*Harley Moyes*", 'Raw data'!$H:$H,"*1v1 Attack*")</f>
        <v>0</v>
      </c>
      <c r="FU52" s="8">
        <f>COUNTIFS('Raw data'!$D:$D,"*Harley Moyes*", 'Raw data'!$H:$H,"*1v1 Attack*",'Raw data'!$H:$H,"*1v1 Attack*",'Raw data'!$M:$M,"*Kept Possession*")</f>
        <v>0</v>
      </c>
      <c r="FV52" s="8">
        <f>COUNTIFS('Raw data'!$D:$D,"*Harley Moyes*", 'Raw data'!$H:$H,"*1v1 Attack*",'Raw data'!$H:$H,"*1v1 Attack*",'Raw data'!$M:$M,"*Lost Possession*")</f>
        <v>0</v>
      </c>
      <c r="FW52" s="54" t="str">
        <f t="shared" ref="FW52" si="368">IFERROR(FU52/$FT52,"-")</f>
        <v>-</v>
      </c>
      <c r="FX52" s="54" t="str">
        <f t="shared" ref="FX52" si="369">IFERROR(FV52/$FT52,"-")</f>
        <v>-</v>
      </c>
      <c r="FY52" s="8">
        <f>COUNTIFS('Raw data'!$D:$D,"*Harley Moyes*", 'Raw data'!$I:$I,"*Cross*")</f>
        <v>0</v>
      </c>
      <c r="FZ52" s="8">
        <f>COUNTIFS('Raw data'!$D:$D,"*Harley Moyes*", 'Raw data'!$I:$I,"*Cross*",'Raw data'!$M:$M,"*Pass Completed*")</f>
        <v>0</v>
      </c>
      <c r="GA52" s="8">
        <f>COUNTIFS('Raw data'!$D:$D,"*Harley Moyes*", 'Raw data'!$I:$I,"*Cross*",'Raw data'!$M:$M,"*Pass Uncompleted*")</f>
        <v>0</v>
      </c>
      <c r="GB52" s="54" t="str">
        <f t="shared" ref="GB52" si="370">IFERROR(FZ52/$FY52,"-")</f>
        <v>-</v>
      </c>
      <c r="GC52" s="54" t="str">
        <f t="shared" ref="GC52" si="371">IFERROR(GA52/$FY52,"-")</f>
        <v>-</v>
      </c>
      <c r="GD52" s="8">
        <f t="shared" ref="GD52" si="372">SUM(GE52:GG52)</f>
        <v>5</v>
      </c>
      <c r="GE52" s="8">
        <f>COUNTIFS('Raw data'!$D:$D,"*Harley Moyes*", 'Raw data'!$L:$L,"*On Target*")</f>
        <v>1</v>
      </c>
      <c r="GF52" s="8">
        <f>COUNTIFS('Raw data'!$D:$D,"*Harley Moyes*", 'Raw data'!$L:$L,"*Off Target*")</f>
        <v>3</v>
      </c>
      <c r="GG52" s="8">
        <f>COUNTIFS('Raw data'!$D:$D,"*Harley Moyes*", 'Raw data'!$L:$L,"*Blocked*")</f>
        <v>1</v>
      </c>
      <c r="GH52" s="8">
        <f>COUNTIFS('Raw data'!$D:$D,"*Harley Moyes*", 'Raw data'!$M:$M,"*Goal*")</f>
        <v>3</v>
      </c>
      <c r="GI52" s="8">
        <f>COUNTIFS('Raw data'!$D:$D,"*Harley Moyes*", 'Raw data'!$M:$M,"*Assist*")</f>
        <v>1</v>
      </c>
      <c r="GJ52" s="8">
        <f>COUNTIFS('Raw data'!$D:$D,"*Harley Moyes*", 'Raw data'!$H:$H,"*Offensive duel*")</f>
        <v>0</v>
      </c>
      <c r="GK52" s="8">
        <f>COUNTIFS('Raw data'!$D:$D,"*Harley Moyes*", 'Raw data'!$H:$H,"*Offensive Duel*",'Raw data'!$H:$H,"*Offensive Duel*",'Raw data'!$M:$M,"*Kept Possession*")</f>
        <v>0</v>
      </c>
      <c r="GL52" s="8">
        <f>COUNTIFS('Raw data'!$D:$D,"*Harley Moyes*", 'Raw data'!$H:$H,"*Offensive Duel*",'Raw data'!$H:$H,"*Offensive Duel*",'Raw data'!$M:$M,"*Lost Possession*")</f>
        <v>0</v>
      </c>
      <c r="GM52" s="54" t="str">
        <f t="shared" ref="GM52" si="373">IFERROR(GK52/$GJ52,"-")</f>
        <v>-</v>
      </c>
      <c r="GN52" s="54" t="str">
        <f t="shared" ref="GN52" si="374">IFERROR(GL52/$GJ52,"-")</f>
        <v>-</v>
      </c>
      <c r="GO52" s="8">
        <f>COUNTIFS('Raw data'!$D:$D,"*Harley Moyes*", 'Raw data'!$H:$H,"*Acceleration*")</f>
        <v>0</v>
      </c>
      <c r="GP52" s="8">
        <f>COUNTIFS('Raw data'!$D:$D,"*Harley Moyes*", 'Raw data'!$H:$H,"*Move into Pocket*")</f>
        <v>5</v>
      </c>
      <c r="GQ52" s="8">
        <f>COUNTIFS('Raw data'!$D:$D,"*Harley Moyes*", 'Raw data'!$H:$H,"*Wide area*")</f>
        <v>2</v>
      </c>
      <c r="GR52" s="8">
        <f>COUNTIFS('Raw data'!$D:$D,"*Harley Moyes*", 'Raw data'!$H:$H,"*Back to goal*")</f>
        <v>0</v>
      </c>
      <c r="GS52" s="8">
        <f>COUNTIFS('Raw data'!$D:$D,"*Harley Moyes*", 'Raw data'!$H:$H,"*Over/Underlaps*")</f>
        <v>0</v>
      </c>
      <c r="GT52" s="8">
        <f>COUNTIFS('Raw data'!$D:$D,"*Harley Moyes*", 'Raw data'!$H:$H,"*Runs in Behind*")</f>
        <v>0</v>
      </c>
      <c r="GU52" s="8">
        <f>COUNTIFS('Raw data'!$D:$D,"*Harley Moyes*", 'Raw data'!$H:$H,"*Half-space Runs*")</f>
        <v>0</v>
      </c>
      <c r="GV52" s="8">
        <f t="shared" ref="GV52" si="375">SUM(GJ52,HA52,HF52)</f>
        <v>5</v>
      </c>
      <c r="GW52" s="8">
        <f t="shared" ref="GW52" si="376">SUM(GK52,HB52,HG52)</f>
        <v>1</v>
      </c>
      <c r="GX52" s="8">
        <f t="shared" ref="GX52" si="377">SUM(GL52,HC52,HH52)</f>
        <v>4</v>
      </c>
      <c r="GY52" s="54">
        <f t="shared" ref="GY52" si="378">IFERROR(GW52/$GV52,"-")</f>
        <v>0.2</v>
      </c>
      <c r="GZ52" s="54">
        <f t="shared" ref="GZ52" si="379">IFERROR(GX52/$GV52,"-")</f>
        <v>0.8</v>
      </c>
      <c r="HA52" s="8">
        <f>COUNTIFS('Raw data'!$D:$D,"*Harley Moyes*", 'Raw data'!$K:$K,"*Ground duel*")</f>
        <v>3</v>
      </c>
      <c r="HB52" s="8">
        <f>COUNTIFS('Raw data'!$D:$D,"*Harley Moyes*", 'Raw data'!$K:$K,"*Ground duel*",'Raw data'!$M:$M,"*Duel Succeeded*")</f>
        <v>1</v>
      </c>
      <c r="HC52" s="8">
        <f>COUNTIFS('Raw data'!$D:$D,"*Harley Moyes*", 'Raw data'!$K:$K,"*Ground duel*",'Raw data'!$M:$M,"*Duel Unsucceeded*")</f>
        <v>2</v>
      </c>
      <c r="HD52" s="54">
        <f t="shared" ref="HD52" si="380">IFERROR(HB52/$HA52,"-")</f>
        <v>0.33333333333333331</v>
      </c>
      <c r="HE52" s="54">
        <f t="shared" ref="HE52" si="381">IFERROR(HC52/$HA52,"-")</f>
        <v>0.66666666666666663</v>
      </c>
      <c r="HF52" s="8">
        <f>COUNTIFS('Raw data'!$D:$D,"*Harley Moyes*", 'Raw data'!$K:$K,"*Aerial duel*")</f>
        <v>2</v>
      </c>
      <c r="HG52" s="8">
        <f>COUNTIFS('Raw data'!$D:$D,"*Harley Moyes*", 'Raw data'!$K:$K,"*Aerial duel*",'Raw data'!$M:$M,"*Duel Succeeded*")</f>
        <v>0</v>
      </c>
      <c r="HH52" s="8">
        <f>COUNTIFS('Raw data'!$D:$D,"*Harley Moyes*", 'Raw data'!$K:$K,"*Aerial duel*",'Raw data'!$M:$M,"*Duel Unsucceeded*")</f>
        <v>2</v>
      </c>
      <c r="HI52" s="54" t="str">
        <f t="shared" ref="HI52" si="382">IFERROR(HG52/$HG52,"-")</f>
        <v>-</v>
      </c>
      <c r="HJ52" s="54" t="str">
        <f t="shared" ref="HJ52" si="383">IFERROR(HH52/$HG52,"-")</f>
        <v>-</v>
      </c>
      <c r="HK52" s="8">
        <f>COUNTIFS('Raw data'!$D:$D,"*Harley Moyes*", 'Raw data'!$K:$K,"*1v1 defense*")</f>
        <v>0</v>
      </c>
      <c r="HL52" s="8">
        <f>COUNTIFS('Raw data'!$D:$D,"*Harley Moyes*", 'Raw data'!$K:$K,"*1v1 defense*",'Raw data'!$M:$M,"*Duel Succeeded*")</f>
        <v>0</v>
      </c>
      <c r="HM52" s="8">
        <f>COUNTIFS('Raw data'!$D:$D,"*Harley Moyes*", 'Raw data'!$K:$K,"*1v1 defense*",'Raw data'!$M:$M,"*Duel Unsucceeded*")</f>
        <v>0</v>
      </c>
      <c r="HN52" s="54" t="str">
        <f t="shared" ref="HN52" si="384">IFERROR(HL52/$HK52,"-")</f>
        <v>-</v>
      </c>
      <c r="HO52" s="54" t="str">
        <f t="shared" ref="HO52" si="385">IFERROR(HM52/$HK52,"-")</f>
        <v>-</v>
      </c>
      <c r="HP52" s="8">
        <f>COUNTIFS('Raw data'!$D:$D,"*Harley Moyes*", 'Raw data'!$J:$J,"*Tackles*")</f>
        <v>0</v>
      </c>
      <c r="HQ52" s="8">
        <f>COUNTIFS('Raw data'!$D:$D,"*Harley Moyes*", 'Raw data'!$J:$J,"*Tackles*", 'Raw data'!$M:$M,"*Duel Succeeded*")</f>
        <v>0</v>
      </c>
      <c r="HR52" s="8">
        <f>COUNTIFS('Raw data'!$D:$D,"*Harley Moyes*", 'Raw data'!$J:$J,"*Tackles*", 'Raw data'!$M:$M,"*Duel Unsucceeded*")</f>
        <v>0</v>
      </c>
      <c r="HS52" s="54" t="str">
        <f t="shared" ref="HS52" si="386">IFERROR(HQ52/$HP52,"-")</f>
        <v>-</v>
      </c>
      <c r="HT52" s="54" t="str">
        <f t="shared" ref="HT52" si="387">IFERROR(HR52/$HP52,"-")</f>
        <v>-</v>
      </c>
      <c r="HU52" s="8">
        <f>COUNTIFS('Raw data'!$D:$D,"*Harley Moyes*", 'Raw data'!$K:$K,"*2nd Balls*")</f>
        <v>0</v>
      </c>
      <c r="HV52" s="8">
        <f>COUNTIFS('Raw data'!$D:$D,"*Harley Moyes*", 'Raw data'!$K:$K,"*2nd Balls*", 'Raw data'!$M:$M,"*Duel Succeeded*")</f>
        <v>0</v>
      </c>
      <c r="HW52" s="8">
        <f>COUNTIFS('Raw data'!$D:$D,"*Harley Moyes*", 'Raw data'!$K:$K,"*2nd Balls*", 'Raw data'!$M:$M,"*Duel Unsucceeded*")</f>
        <v>0</v>
      </c>
      <c r="HX52" s="54" t="str">
        <f t="shared" ref="HX52" si="388">IFERROR(HV52/$HU52,"-")</f>
        <v>-</v>
      </c>
      <c r="HY52" s="54" t="str">
        <f t="shared" ref="HY52" si="389">IFERROR(HW52/$HU52,"-")</f>
        <v>-</v>
      </c>
      <c r="HZ52" s="8">
        <f>COUNTIFS('Raw data'!$D:$D,"*Harley Moyes*", 'Raw data'!$J:$J,"*Clearance*")</f>
        <v>0</v>
      </c>
      <c r="IA52" s="8">
        <f>COUNTIFS('Raw data'!$D:$D,"*Harley Moyes*", 'Raw data'!$J:$J,"*Interception*")</f>
        <v>2</v>
      </c>
      <c r="IB52" s="8">
        <f>COUNTIFS('Raw data'!$D:$D,"*Harley Moyes*", 'Raw data'!$J:$J,"*Turnover Won*")</f>
        <v>3</v>
      </c>
      <c r="IC52" s="8">
        <f>COUNTIFS('Raw data'!$D:$D,"*Harley Moyes*", 'Raw data'!$J:$J,"*Recovery*")</f>
        <v>0</v>
      </c>
      <c r="ID52" s="8">
        <f>COUNTIFS('Raw data'!$D:$D,"*Harley Moyes*", 'Raw data'!$J:$J,"*Blocked Shots*")</f>
        <v>0</v>
      </c>
      <c r="IE52" s="8">
        <f>COUNTIFS('Raw data'!$D:$D,"*Harley Moyes*", 'Raw data'!$J:$J,"*Man-marking*")</f>
        <v>0</v>
      </c>
      <c r="IF52" s="8">
        <f>COUNTIFS('Raw data'!$D:$D,"*Harley Moyes*", 'Raw data'!$J:$J,"*Fouls*")</f>
        <v>0</v>
      </c>
      <c r="IG52" s="8">
        <f>COUNTIFS('Raw data'!$D:$D,"*Harley Moyes*", 'Raw data'!$J:$J,"*Won F*")</f>
        <v>0</v>
      </c>
      <c r="IH52" s="8">
        <f>COUNTIFS('Raw data'!$D:$D,"*Harley Moyes*", 'Raw data'!$G:$G,"*1v1*")</f>
        <v>0</v>
      </c>
      <c r="II52" s="8">
        <f>COUNTIFS('Raw data'!$D:$D,"*Harley Moyes*", 'Raw data'!$G:$G,"*On Target*")</f>
        <v>0</v>
      </c>
      <c r="IJ52" s="8">
        <f>COUNTIFS('Raw data'!$D:$D,"*Harley Moyes*", 'Raw data'!$G:$G,"*Off Target*")</f>
        <v>0</v>
      </c>
      <c r="IK52" s="8">
        <f>COUNTIFS('Raw data'!$D:$D,"*Harley Moyes*", 'Raw data'!$G:$G,"*Defend the Space*")</f>
        <v>0</v>
      </c>
      <c r="IL52" s="8">
        <f>COUNTIFS('Raw data'!$D:$D,"*Harley Moyes*", 'Raw data'!$G:$G,"*Conceded*")</f>
        <v>0</v>
      </c>
      <c r="IM52" s="8">
        <f>COUNTIFS('Raw data'!$D:$D,"*Harley Moyes*", 'Raw data'!$G:$G,"*Save*")</f>
        <v>0</v>
      </c>
      <c r="IN52" s="8">
        <f>COUNTIFS('Raw data'!$D:$D,"*Harley Moyes*", 'Raw data'!$G:$G,"*Defend the line (Cross)*")</f>
        <v>0</v>
      </c>
      <c r="IO52" s="8">
        <f>COUNTIFS('Raw data'!$D:$D,"*Harley Moyes*", 'Raw data'!$G:$G,"*Counter Kick*")</f>
        <v>0</v>
      </c>
      <c r="IP52" t="s">
        <v>761</v>
      </c>
    </row>
    <row r="53" spans="127:250">
      <c r="DW53" t="s">
        <v>501</v>
      </c>
      <c r="DX53" t="s">
        <v>654</v>
      </c>
      <c r="DY53">
        <v>40</v>
      </c>
      <c r="DZ53" t="s">
        <v>541</v>
      </c>
      <c r="EA53">
        <f t="shared" si="179"/>
        <v>6</v>
      </c>
      <c r="EB53" s="8">
        <f t="shared" si="304"/>
        <v>5</v>
      </c>
      <c r="EC53" s="8">
        <f t="shared" si="305"/>
        <v>1</v>
      </c>
      <c r="ED53" s="54">
        <f t="shared" si="181"/>
        <v>0.83333333333333337</v>
      </c>
      <c r="EE53" s="54">
        <f t="shared" si="182"/>
        <v>0.16666666666666666</v>
      </c>
      <c r="EF53">
        <f t="shared" si="183"/>
        <v>3</v>
      </c>
      <c r="EG53">
        <f>COUNTIFS('Raw data'!$D:$D,"*Usim Ijere*", 'Raw data'!$I:$I,"*Forward Pass*",'Raw data'!$M:$M,"*Pass completed*")</f>
        <v>2</v>
      </c>
      <c r="EH53">
        <f>COUNTIFS('Raw data'!$D:$D,"*Usim Ijere*", 'Raw data'!$I:$I,"*Forward Pass*",'Raw data'!$M:$M,"*Pass Uncompleted*")</f>
        <v>1</v>
      </c>
      <c r="EI53" s="54">
        <f t="shared" si="184"/>
        <v>0.66666666666666663</v>
      </c>
      <c r="EJ53" s="54">
        <f t="shared" si="185"/>
        <v>0.33333333333333331</v>
      </c>
      <c r="EK53">
        <f t="shared" si="186"/>
        <v>1</v>
      </c>
      <c r="EL53" s="8">
        <f>COUNTIFS('Raw data'!$D:$D,"*Usim Ijere*", 'Raw data'!$I:$I,"*Lateral Pass*",'Raw data'!$M:$M,"*Pass completed*")</f>
        <v>1</v>
      </c>
      <c r="EM53" s="8">
        <f>COUNTIFS('Raw data'!$D:$D,"*Usim Ijere*", 'Raw data'!$I:$I,"*Lateral Pass*",'Raw data'!$M:$M,"*Pass Uncompleted*")</f>
        <v>0</v>
      </c>
      <c r="EN53" s="54">
        <f t="shared" si="187"/>
        <v>1</v>
      </c>
      <c r="EO53" s="54">
        <f t="shared" si="188"/>
        <v>0</v>
      </c>
      <c r="EP53">
        <f t="shared" si="189"/>
        <v>2</v>
      </c>
      <c r="EQ53" s="8">
        <f>COUNTIFS('Raw data'!$D:$D,"*Usim Ijere*", 'Raw data'!$I:$I,"*Backward Pass*",'Raw data'!$M:$M,"*Pass completed*")</f>
        <v>2</v>
      </c>
      <c r="ER53" s="8">
        <f>COUNTIFS('Raw data'!$D:$D,"*Usim Ijere*", 'Raw data'!$I:$I,"*Backward Pass*",'Raw data'!$M:$M,"*Pass Uncompleted*")</f>
        <v>0</v>
      </c>
      <c r="ES53" s="54">
        <f t="shared" si="190"/>
        <v>1</v>
      </c>
      <c r="ET53" s="54">
        <f t="shared" si="191"/>
        <v>0</v>
      </c>
      <c r="EU53" s="8">
        <f>COUNTIFS('Raw data'!$D:$D,"*Usim Ijere*", 'Raw data'!$I:$I,"*Long Kick*")</f>
        <v>1</v>
      </c>
      <c r="EV53" s="8">
        <f>COUNTIFS('Raw data'!$D:$D,"*Usim Ijere*", 'Raw data'!$I:$I,"*Long Kick*",'Raw data'!$M:$M,"*Pass completed*")</f>
        <v>0</v>
      </c>
      <c r="EW53" s="8">
        <f>COUNTIFS('Raw data'!$D:$D,"*Usim Ijere*", 'Raw data'!$I:$I,"*Long Kick*",'Raw data'!$M:$M,"*Pass Uncompleted*")</f>
        <v>1</v>
      </c>
      <c r="EX53" s="54">
        <f t="shared" si="192"/>
        <v>0</v>
      </c>
      <c r="EY53" s="54">
        <f t="shared" si="193"/>
        <v>1</v>
      </c>
      <c r="EZ53" s="8">
        <f>COUNTIFS('Raw data'!$D:$D,"*Usim Ijere*", 'Raw data'!$I:$I,"*Balls in Behind*")</f>
        <v>2</v>
      </c>
      <c r="FA53" s="8">
        <f>COUNTIFS('Raw data'!$D:$D,"*Usim Ijere*", 'Raw data'!$I:$I,"*Balls in Behind*",'Raw data'!$M:$M,"*Pass completed*")</f>
        <v>1</v>
      </c>
      <c r="FB53" s="8">
        <f>COUNTIFS('Raw data'!$D:$D,"*Usim Ijere*", 'Raw data'!$I:$I,"*Balls in Behind*",'Raw data'!$M:$M,"*Pass Uncompleted*")</f>
        <v>1</v>
      </c>
      <c r="FC53" s="54">
        <f t="shared" si="194"/>
        <v>0.5</v>
      </c>
      <c r="FD53" s="54">
        <f t="shared" si="195"/>
        <v>0.5</v>
      </c>
      <c r="FE53" s="8">
        <f>COUNTIFS('Raw data'!$D:$D,"*Usim Ijere*", 'Raw data'!$I:$I,"*Key/Through pass*")</f>
        <v>1</v>
      </c>
      <c r="FF53" s="8">
        <f>COUNTIFS('Raw data'!$D:$D,"*Usim Ijere*", 'Raw data'!$I:$I,"*Diagonal pass*")</f>
        <v>0</v>
      </c>
      <c r="FG53" s="8">
        <f>COUNTIFS('Raw data'!$D:$D,"*Usim Ijere*", 'Raw data'!$I:$I,"*Diagonal pass*",'Raw data'!$M:$M,"*Pass completed*")</f>
        <v>0</v>
      </c>
      <c r="FH53" s="8">
        <f>COUNTIFS('Raw data'!$D:$D,"*Usim Ijere*", 'Raw data'!$I:$I,"*Diagonal pass*",'Raw data'!$M:$M,"*Pass Uncompleted*")</f>
        <v>0</v>
      </c>
      <c r="FI53" s="54" t="str">
        <f t="shared" si="196"/>
        <v>-</v>
      </c>
      <c r="FJ53" s="54" t="str">
        <f t="shared" si="197"/>
        <v>-</v>
      </c>
      <c r="FK53" s="8">
        <f>COUNTIFS('Raw data'!$D:$D,"*Usim Ijere*", 'Raw data'!$M:$M,"*Pass Received*")</f>
        <v>16</v>
      </c>
      <c r="FL53" s="8">
        <f>COUNTIFS('Raw data'!$D:$D,"*Usim Ijere*", 'Raw data'!$M:$M,"*Pass Completed*",'Raw data'!$M:$M,"*Pass Received*")</f>
        <v>5</v>
      </c>
      <c r="FM53" s="8">
        <f>COUNTIFS('Raw data'!$D:$D,"*Usim Ijere*", 'Raw data'!$M:$M,"*Pass Uncompleted*",'Raw data'!$M:$M,"*Pass Received*")</f>
        <v>2</v>
      </c>
      <c r="FN53" s="8">
        <f>COUNTIFS('Raw data'!$D:$D,"*Usim Ijere*", 'Raw data'!$M:$M,"*Kept Possession*",'Raw data'!$M:$M,"*Pass Received*")</f>
        <v>4</v>
      </c>
      <c r="FO53" s="8">
        <f>COUNTIFS('Raw data'!$D:$D,"*Usim Ijere*", 'Raw data'!$M:$M,"*Lost Possession*")</f>
        <v>4</v>
      </c>
      <c r="FP53" s="8">
        <f>COUNTIFS('Raw data'!$D:$D,"*Usim Ijere*", 'Raw data'!$M:$M,"*Lost Possession*",'Raw data'!$M:$M,"*Lost Final 1/3*")</f>
        <v>3</v>
      </c>
      <c r="FQ53" s="8">
        <f>COUNTIFS('Raw data'!$D:$D,"*Usim Ijere*", 'Raw data'!$M:$M,"*Lost Possession*",'Raw data'!$M:$M,"*Lost Middle 1/3*")</f>
        <v>1</v>
      </c>
      <c r="FR53" s="8">
        <f>COUNTIFS('Raw data'!$D:$D,"*Usim Ijere*", 'Raw data'!$M:$M,"*Lost Possession*",'Raw data'!$M:$M,"*Lost Own 1/3*")</f>
        <v>0</v>
      </c>
      <c r="FS53" s="8">
        <f>COUNTIFS('Raw data'!$D:$D,"*Usim Ijere*", 'Raw data'!$H:$H,"*Touches in the Box*")</f>
        <v>3</v>
      </c>
      <c r="FT53" s="8">
        <f>COUNTIFS('Raw data'!$D:$D,"*Usim Ijere*", 'Raw data'!$H:$H,"*1v1 Attack*")</f>
        <v>6</v>
      </c>
      <c r="FU53" s="8">
        <f>COUNTIFS('Raw data'!$D:$D,"*Usim Ijere*", 'Raw data'!$H:$H,"*1v1 Attack*",'Raw data'!$H:$H,"*1v1 Attack*",'Raw data'!$M:$M,"*Kept Possession*")</f>
        <v>4</v>
      </c>
      <c r="FV53" s="8">
        <f>COUNTIFS('Raw data'!$D:$D,"*Usim Ijere*", 'Raw data'!$H:$H,"*1v1 Attack*",'Raw data'!$H:$H,"*1v1 Attack*",'Raw data'!$M:$M,"*Lost Possession*")</f>
        <v>2</v>
      </c>
      <c r="FW53" s="54">
        <f t="shared" si="198"/>
        <v>0.66666666666666663</v>
      </c>
      <c r="FX53" s="54">
        <f t="shared" si="199"/>
        <v>0.33333333333333331</v>
      </c>
      <c r="FY53" s="8">
        <f>COUNTIFS('Raw data'!$D:$D,"*Usim Ijere*", 'Raw data'!$I:$I,"*Cross*")</f>
        <v>3</v>
      </c>
      <c r="FZ53" s="8">
        <f>COUNTIFS('Raw data'!$D:$D,"*Usim Ijere*", 'Raw data'!$I:$I,"*Cross*",'Raw data'!$M:$M,"*Pass Completed*")</f>
        <v>1</v>
      </c>
      <c r="GA53" s="8">
        <f>COUNTIFS('Raw data'!$D:$D,"*Usim Ijere*", 'Raw data'!$I:$I,"*Cross*",'Raw data'!$M:$M,"*Pass Uncompleted*")</f>
        <v>2</v>
      </c>
      <c r="GB53" s="54">
        <f t="shared" si="200"/>
        <v>0.33333333333333331</v>
      </c>
      <c r="GC53" s="54">
        <f t="shared" si="201"/>
        <v>0.66666666666666663</v>
      </c>
      <c r="GD53" s="8">
        <f t="shared" si="202"/>
        <v>5</v>
      </c>
      <c r="GE53" s="8">
        <f>COUNTIFS('Raw data'!$D:$D,"*Usim Ijere*", 'Raw data'!$L:$L,"*On Target*")</f>
        <v>3</v>
      </c>
      <c r="GF53" s="8">
        <f>COUNTIFS('Raw data'!$D:$D,"*Usim Ijere*", 'Raw data'!$L:$L,"*Off Target*")</f>
        <v>2</v>
      </c>
      <c r="GG53" s="8">
        <f>COUNTIFS('Raw data'!$D:$D,"*Usim Ijere*", 'Raw data'!$L:$L,"*Blocked*")</f>
        <v>0</v>
      </c>
      <c r="GH53" s="8">
        <f>COUNTIFS('Raw data'!$D:$D,"*Usim Ijere*", 'Raw data'!$M:$M,"*Goal*")</f>
        <v>0</v>
      </c>
      <c r="GI53" s="8">
        <f>COUNTIFS('Raw data'!$D:$D,"*Usim Ijere*", 'Raw data'!$M:$M,"*Assist*")</f>
        <v>1</v>
      </c>
      <c r="GJ53" s="8">
        <f>COUNTIFS('Raw data'!$D:$D,"*Usim Ijere*", 'Raw data'!$H:$H,"*Offensive duel*")</f>
        <v>1</v>
      </c>
      <c r="GK53" s="8">
        <f>COUNTIFS('Raw data'!$D:$D,"*Usim Ijere*", 'Raw data'!$H:$H,"*Offensive Duel*",'Raw data'!$H:$H,"*Offensive Duel*",'Raw data'!$M:$M,"*Kept Possession*")</f>
        <v>1</v>
      </c>
      <c r="GL53" s="8">
        <f>COUNTIFS('Raw data'!$D:$D,"*Usim Ijere*", 'Raw data'!$H:$H,"*Offensive Duel*",'Raw data'!$H:$H,"*Offensive Duel*",'Raw data'!$M:$M,"*Lost Possession*")</f>
        <v>0</v>
      </c>
      <c r="GM53" s="54">
        <f t="shared" si="203"/>
        <v>1</v>
      </c>
      <c r="GN53" s="54">
        <f t="shared" si="204"/>
        <v>0</v>
      </c>
      <c r="GO53" s="8">
        <f>COUNTIFS('Raw data'!$D:$D,"*Usim Ijere*", 'Raw data'!$H:$H,"*Acceleration*")</f>
        <v>1</v>
      </c>
      <c r="GP53" s="8">
        <f>COUNTIFS('Raw data'!$D:$D,"*Usim Ijere*", 'Raw data'!$H:$H,"*Move into Pocket*")</f>
        <v>0</v>
      </c>
      <c r="GQ53" s="8">
        <f>COUNTIFS('Raw data'!$D:$D,"*Usim Ijere*", 'Raw data'!$H:$H,"*Wide area*")</f>
        <v>6</v>
      </c>
      <c r="GR53" s="8">
        <f>COUNTIFS('Raw data'!$D:$D,"*Usim Ijere*", 'Raw data'!$H:$H,"*Back to goal*")</f>
        <v>0</v>
      </c>
      <c r="GS53" s="8">
        <f>COUNTIFS('Raw data'!$D:$D,"*Usim Ijere*", 'Raw data'!$H:$H,"*Over/Underlaps*")</f>
        <v>0</v>
      </c>
      <c r="GT53" s="8">
        <f>COUNTIFS('Raw data'!$D:$D,"*Usim Ijere*", 'Raw data'!$H:$H,"*Runs in Behind*")</f>
        <v>5</v>
      </c>
      <c r="GU53" s="8">
        <f>COUNTIFS('Raw data'!$D:$D,"*Usim Ijere*", 'Raw data'!$H:$H,"*Half-space Runs*")</f>
        <v>0</v>
      </c>
      <c r="GV53" s="8">
        <f t="shared" si="205"/>
        <v>2</v>
      </c>
      <c r="GW53" s="8">
        <f t="shared" si="206"/>
        <v>1</v>
      </c>
      <c r="GX53" s="8">
        <f t="shared" si="207"/>
        <v>1</v>
      </c>
      <c r="GY53" s="54">
        <f t="shared" si="208"/>
        <v>0.5</v>
      </c>
      <c r="GZ53" s="54">
        <f t="shared" si="209"/>
        <v>0.5</v>
      </c>
      <c r="HA53" s="8">
        <f>COUNTIFS('Raw data'!$D:$D,"*Usim Ijere*", 'Raw data'!$K:$K,"*Ground duel*")</f>
        <v>1</v>
      </c>
      <c r="HB53" s="8">
        <f>COUNTIFS('Raw data'!$D:$D,"*Usim Ijere*", 'Raw data'!$K:$K,"*Ground duel*",'Raw data'!$M:$M,"*Duel Succeeded*")</f>
        <v>0</v>
      </c>
      <c r="HC53" s="8">
        <f>COUNTIFS('Raw data'!$D:$D,"*Usim Ijere*", 'Raw data'!$K:$K,"*Ground duel*",'Raw data'!$M:$M,"*Duel Unsucceeded*")</f>
        <v>1</v>
      </c>
      <c r="HD53" s="54">
        <f t="shared" si="210"/>
        <v>0</v>
      </c>
      <c r="HE53" s="54">
        <f t="shared" si="211"/>
        <v>1</v>
      </c>
      <c r="HF53" s="8">
        <f>COUNTIFS('Raw data'!$D:$D,"*Usim Ijere*", 'Raw data'!$K:$K,"*Aerial duel*")</f>
        <v>0</v>
      </c>
      <c r="HG53" s="8">
        <f>COUNTIFS('Raw data'!$D:$D,"*Usim Ijere*", 'Raw data'!$K:$K,"*Aerial duel*",'Raw data'!$M:$M,"*Duel Succeeded*")</f>
        <v>0</v>
      </c>
      <c r="HH53" s="8">
        <f>COUNTIFS('Raw data'!$D:$D,"*Usim Ijere*", 'Raw data'!$K:$K,"*Aerial duel*",'Raw data'!$M:$M,"*Duel Unsucceeded*")</f>
        <v>0</v>
      </c>
      <c r="HI53" s="54" t="str">
        <f t="shared" si="212"/>
        <v>-</v>
      </c>
      <c r="HJ53" s="54" t="str">
        <f t="shared" si="213"/>
        <v>-</v>
      </c>
      <c r="HK53" s="8">
        <f>COUNTIFS('Raw data'!$D:$D,"*Usim Ijere*", 'Raw data'!$K:$K,"*1v1 defense*")</f>
        <v>0</v>
      </c>
      <c r="HL53" s="8">
        <f>COUNTIFS('Raw data'!$D:$D,"*Usim Ijere*", 'Raw data'!$K:$K,"*1v1 defense*",'Raw data'!$M:$M,"*Duel Succeeded*")</f>
        <v>0</v>
      </c>
      <c r="HM53" s="8">
        <f>COUNTIFS('Raw data'!$D:$D,"*Usim Ijere*", 'Raw data'!$K:$K,"*1v1 defense*",'Raw data'!$M:$M,"*Duel Unsucceeded*")</f>
        <v>0</v>
      </c>
      <c r="HN53" s="54" t="str">
        <f t="shared" si="214"/>
        <v>-</v>
      </c>
      <c r="HO53" s="54" t="str">
        <f t="shared" si="215"/>
        <v>-</v>
      </c>
      <c r="HP53" s="8">
        <f>COUNTIFS('Raw data'!$D:$D,"*Usim Ijere*", 'Raw data'!$J:$J,"*Tackles*")</f>
        <v>0</v>
      </c>
      <c r="HQ53" s="8">
        <f>COUNTIFS('Raw data'!$D:$D,"*Usim Ijere*", 'Raw data'!$J:$J,"*Tackles*", 'Raw data'!$M:$M,"*Duel Succeeded*")</f>
        <v>0</v>
      </c>
      <c r="HR53" s="8">
        <f>COUNTIFS('Raw data'!$D:$D,"*Usim Ijere*", 'Raw data'!$J:$J,"*Tackles*", 'Raw data'!$M:$M,"*Duel Unsucceeded*")</f>
        <v>0</v>
      </c>
      <c r="HS53" s="54" t="str">
        <f t="shared" si="216"/>
        <v>-</v>
      </c>
      <c r="HT53" s="54" t="str">
        <f t="shared" si="217"/>
        <v>-</v>
      </c>
      <c r="HU53" s="8">
        <f>COUNTIFS('Raw data'!$D:$D,"*Usim Ijere*", 'Raw data'!$K:$K,"*2nd Balls*")</f>
        <v>0</v>
      </c>
      <c r="HV53" s="8">
        <f>COUNTIFS('Raw data'!$D:$D,"*Usim Ijere*", 'Raw data'!$K:$K,"*2nd Balls*", 'Raw data'!$M:$M,"*Duel Succeeded*")</f>
        <v>0</v>
      </c>
      <c r="HW53" s="8">
        <f>COUNTIFS('Raw data'!$D:$D,"*Usim Ijere*", 'Raw data'!$K:$K,"*2nd Balls*", 'Raw data'!$M:$M,"*Duel Unsucceeded*")</f>
        <v>0</v>
      </c>
      <c r="HX53" s="54" t="str">
        <f t="shared" si="218"/>
        <v>-</v>
      </c>
      <c r="HY53" s="54" t="str">
        <f t="shared" si="219"/>
        <v>-</v>
      </c>
      <c r="HZ53" s="8">
        <f>COUNTIFS('Raw data'!$D:$D,"*Usim Ijere*", 'Raw data'!$J:$J,"*Clearance*")</f>
        <v>0</v>
      </c>
      <c r="IA53" s="8">
        <f>COUNTIFS('Raw data'!$D:$D,"*Usim Ijere*", 'Raw data'!$J:$J,"*Interception*")</f>
        <v>0</v>
      </c>
      <c r="IB53" s="8">
        <f>COUNTIFS('Raw data'!$D:$D,"*Usim Ijere*", 'Raw data'!$J:$J,"*Turnover Won*")</f>
        <v>1</v>
      </c>
      <c r="IC53" s="8">
        <f>COUNTIFS('Raw data'!$D:$D,"*Usim Ijere*", 'Raw data'!$J:$J,"*Recovery*")</f>
        <v>0</v>
      </c>
      <c r="ID53" s="8">
        <f>COUNTIFS('Raw data'!$D:$D,"*Usim Ijere*", 'Raw data'!$J:$J,"*Blocked Shots*")</f>
        <v>0</v>
      </c>
      <c r="IE53" s="8">
        <f>COUNTIFS('Raw data'!$D:$D,"*Usim Ijere*", 'Raw data'!$J:$J,"*Man-marking*")</f>
        <v>0</v>
      </c>
      <c r="IF53" s="8">
        <f>COUNTIFS('Raw data'!$D:$D,"*Usim Ijere*", 'Raw data'!$J:$J,"*Fouls*")</f>
        <v>3</v>
      </c>
      <c r="IG53" s="8">
        <f>COUNTIFS('Raw data'!$D:$D,"*Usim Ijere*", 'Raw data'!$J:$J,"*Won F*")</f>
        <v>1</v>
      </c>
      <c r="IH53" s="8">
        <f>COUNTIFS('Raw data'!$D:$D,"*Usim Ijere*", 'Raw data'!$G:$G,"*1v1*")</f>
        <v>0</v>
      </c>
      <c r="II53" s="8">
        <f>COUNTIFS('Raw data'!$D:$D,"*Usim Ijere*", 'Raw data'!$G:$G,"*On Target*")</f>
        <v>0</v>
      </c>
      <c r="IJ53" s="8">
        <f>COUNTIFS('Raw data'!$D:$D,"*Usim Ijere*", 'Raw data'!$G:$G,"*Off Target*")</f>
        <v>0</v>
      </c>
      <c r="IK53" s="8">
        <f>COUNTIFS('Raw data'!$D:$D,"*Usim Ijere*", 'Raw data'!$G:$G,"*Defend the Space*")</f>
        <v>0</v>
      </c>
      <c r="IL53" s="8">
        <f>COUNTIFS('Raw data'!$D:$D,"*Usim Ijere*", 'Raw data'!$G:$G,"*Conceded*")</f>
        <v>0</v>
      </c>
      <c r="IM53" s="8">
        <f>COUNTIFS('Raw data'!$D:$D,"*Usim Ijere*", 'Raw data'!$G:$G,"*Save*")</f>
        <v>0</v>
      </c>
      <c r="IN53" s="8">
        <f>COUNTIFS('Raw data'!$D:$D,"*Usim Ijere*", 'Raw data'!$G:$G,"*Defend the line (Cross)*")</f>
        <v>0</v>
      </c>
      <c r="IO53" s="8">
        <f>COUNTIFS('Raw data'!$D:$D,"*Usim Ijere*", 'Raw data'!$G:$G,"*Counter Kick*")</f>
        <v>0</v>
      </c>
      <c r="IP53" t="s">
        <v>654</v>
      </c>
    </row>
    <row r="54" spans="127:250">
      <c r="DW54" t="s">
        <v>501</v>
      </c>
      <c r="DX54" t="s">
        <v>622</v>
      </c>
      <c r="DY54">
        <v>60</v>
      </c>
      <c r="DZ54" t="s">
        <v>540</v>
      </c>
      <c r="EA54">
        <f t="shared" si="179"/>
        <v>6</v>
      </c>
      <c r="EB54" s="8">
        <f t="shared" si="304"/>
        <v>4</v>
      </c>
      <c r="EC54" s="8">
        <f t="shared" si="305"/>
        <v>2</v>
      </c>
      <c r="ED54" s="54">
        <f t="shared" si="181"/>
        <v>0.66666666666666663</v>
      </c>
      <c r="EE54" s="54">
        <f t="shared" si="182"/>
        <v>0.33333333333333331</v>
      </c>
      <c r="EF54">
        <f t="shared" si="183"/>
        <v>1</v>
      </c>
      <c r="EG54">
        <f>COUNTIFS('Raw data'!$D:$D,"*Cordell Morgan-Antonio*", 'Raw data'!$I:$I,"*Forward Pass*",'Raw data'!$M:$M,"*Pass completed*")</f>
        <v>0</v>
      </c>
      <c r="EH54">
        <f>COUNTIFS('Raw data'!$D:$D,"*Cordell Morgan-Antonio*", 'Raw data'!$I:$I,"*Forward Pass*",'Raw data'!$M:$M,"*Pass Uncompleted*")</f>
        <v>1</v>
      </c>
      <c r="EI54" s="54">
        <f t="shared" si="184"/>
        <v>0</v>
      </c>
      <c r="EJ54" s="54">
        <f t="shared" si="185"/>
        <v>1</v>
      </c>
      <c r="EK54">
        <f t="shared" si="186"/>
        <v>2</v>
      </c>
      <c r="EL54" s="8">
        <f>COUNTIFS('Raw data'!$D:$D,"*Cordell Morgan-Antonio*", 'Raw data'!$I:$I,"*Lateral Pass*",'Raw data'!$M:$M,"*Pass completed*")</f>
        <v>2</v>
      </c>
      <c r="EM54" s="8">
        <f>COUNTIFS('Raw data'!$D:$D,"*Cordell Morgan-Antonio*", 'Raw data'!$I:$I,"*Lateral Pass*",'Raw data'!$M:$M,"*Pass Uncompleted*")</f>
        <v>0</v>
      </c>
      <c r="EN54" s="54">
        <f t="shared" si="187"/>
        <v>1</v>
      </c>
      <c r="EO54" s="54">
        <f t="shared" si="188"/>
        <v>0</v>
      </c>
      <c r="EP54">
        <f t="shared" si="189"/>
        <v>3</v>
      </c>
      <c r="EQ54" s="8">
        <f>COUNTIFS('Raw data'!$D:$D,"*Cordell Morgan-Antonio*", 'Raw data'!$I:$I,"*Backward Pass*",'Raw data'!$M:$M,"*Pass completed*")</f>
        <v>2</v>
      </c>
      <c r="ER54" s="8">
        <f>COUNTIFS('Raw data'!$D:$D,"*Cordell Morgan-Antonio*", 'Raw data'!$I:$I,"*Backward Pass*",'Raw data'!$M:$M,"*Pass Uncompleted*")</f>
        <v>1</v>
      </c>
      <c r="ES54" s="54">
        <f t="shared" si="190"/>
        <v>1</v>
      </c>
      <c r="ET54" s="54">
        <f t="shared" si="191"/>
        <v>0.5</v>
      </c>
      <c r="EU54" s="8">
        <f>COUNTIFS('Raw data'!$D:$D,"*Cordell Morgan-Antonio*", 'Raw data'!$I:$I,"*Long Kick*")</f>
        <v>0</v>
      </c>
      <c r="EV54" s="8">
        <f>COUNTIFS('Raw data'!$D:$D,"*Cordell Morgan-Antonio*", 'Raw data'!$I:$I,"*Long Kick*",'Raw data'!$M:$M,"*Pass completed*")</f>
        <v>0</v>
      </c>
      <c r="EW54" s="8">
        <f>COUNTIFS('Raw data'!$D:$D,"*Cordell Morgan-Antonio*", 'Raw data'!$I:$I,"*Long Kick*",'Raw data'!$M:$M,"*Pass Uncompleted*")</f>
        <v>0</v>
      </c>
      <c r="EX54" s="54" t="str">
        <f t="shared" si="192"/>
        <v>-</v>
      </c>
      <c r="EY54" s="54" t="str">
        <f t="shared" si="193"/>
        <v>-</v>
      </c>
      <c r="EZ54" s="8">
        <f>COUNTIFS('Raw data'!$D:$D,"*Cordell Morgan-Antonio*", 'Raw data'!$I:$I,"*Balls in Behind*")</f>
        <v>1</v>
      </c>
      <c r="FA54" s="8">
        <f>COUNTIFS('Raw data'!$D:$D,"*Cordell Morgan-Antonio*", 'Raw data'!$I:$I,"*Balls in Behind*",'Raw data'!$M:$M,"*Pass completed*")</f>
        <v>0</v>
      </c>
      <c r="FB54" s="8">
        <f>COUNTIFS('Raw data'!$D:$D,"*Cordell Morgan-Antonio*", 'Raw data'!$I:$I,"*Balls in Behind*",'Raw data'!$M:$M,"*Pass Uncompleted*")</f>
        <v>1</v>
      </c>
      <c r="FC54" s="54">
        <f t="shared" si="194"/>
        <v>0</v>
      </c>
      <c r="FD54" s="54">
        <f t="shared" si="195"/>
        <v>1</v>
      </c>
      <c r="FE54" s="8">
        <f>COUNTIFS('Raw data'!$D:$D,"*Cordell Morgan-Antonio*", 'Raw data'!$I:$I,"*Key/Through pass*")</f>
        <v>0</v>
      </c>
      <c r="FF54" s="8">
        <f>COUNTIFS('Raw data'!$D:$D,"*Cordell Morgan-Antonio*", 'Raw data'!$I:$I,"*Diagonal pass*")</f>
        <v>0</v>
      </c>
      <c r="FG54" s="8">
        <f>COUNTIFS('Raw data'!$D:$D,"*Cordell Morgan-Antonio*", 'Raw data'!$I:$I,"*Diagonal pass*",'Raw data'!$M:$M,"*Pass completed*")</f>
        <v>0</v>
      </c>
      <c r="FH54" s="8">
        <f>COUNTIFS('Raw data'!$D:$D,"*Cordell Morgan-Antonio*", 'Raw data'!$I:$I,"*Diagonal pass*",'Raw data'!$M:$M,"*Pass Uncompleted*")</f>
        <v>0</v>
      </c>
      <c r="FI54" s="54" t="str">
        <f t="shared" si="196"/>
        <v>-</v>
      </c>
      <c r="FJ54" s="54" t="str">
        <f t="shared" si="197"/>
        <v>-</v>
      </c>
      <c r="FK54" s="8">
        <f>COUNTIFS('Raw data'!$D:$D,"*Cordell Morgan-Antonio*", 'Raw data'!$M:$M,"*Pass Received*")</f>
        <v>3</v>
      </c>
      <c r="FL54" s="8">
        <f>COUNTIFS('Raw data'!$D:$D,"*Cordell Morgan-Antonio*", 'Raw data'!$M:$M,"*Pass Completed*",'Raw data'!$M:$M,"*Pass Received*")</f>
        <v>1</v>
      </c>
      <c r="FM54" s="8">
        <f>COUNTIFS('Raw data'!$D:$D,"*Cordell Morgan-Antonio*", 'Raw data'!$M:$M,"*Pass Uncompleted*",'Raw data'!$M:$M,"*Pass Received*")</f>
        <v>0</v>
      </c>
      <c r="FN54" s="8">
        <f>COUNTIFS('Raw data'!$D:$D,"*Cordell Morgan-Antonio*", 'Raw data'!$M:$M,"*Kept Possession*",'Raw data'!$M:$M,"*Pass Received*")</f>
        <v>0</v>
      </c>
      <c r="FO54" s="8">
        <f>COUNTIFS('Raw data'!$D:$D,"*Cordell Morgan-Antonio*", 'Raw data'!$M:$M,"*Lost Possession*")</f>
        <v>2</v>
      </c>
      <c r="FP54" s="8">
        <f>COUNTIFS('Raw data'!$D:$D,"*Cordell Morgan-Antonio*", 'Raw data'!$M:$M,"*Lost Possession*",'Raw data'!$M:$M,"*Lost Final 1/3*")</f>
        <v>2</v>
      </c>
      <c r="FQ54" s="8">
        <f>COUNTIFS('Raw data'!$D:$D,"*Cordell Morgan-Antonio*", 'Raw data'!$M:$M,"*Lost Possession*",'Raw data'!$M:$M,"*Lost Middle 1/3*")</f>
        <v>0</v>
      </c>
      <c r="FR54" s="8">
        <f>COUNTIFS('Raw data'!$D:$D,"*Cordell Morgan-Antonio*", 'Raw data'!$M:$M,"*Lost Possession*",'Raw data'!$M:$M,"*Lost Own 1/3*")</f>
        <v>0</v>
      </c>
      <c r="FS54" s="8">
        <f>COUNTIFS('Raw data'!$D:$D,"*Cordell Morgan-Antonio*", 'Raw data'!$H:$H,"*Touches in the Box*")</f>
        <v>3</v>
      </c>
      <c r="FT54" s="8">
        <f>COUNTIFS('Raw data'!$D:$D,"*Cordell Morgan-Antonio*", 'Raw data'!$H:$H,"*1v1 Attack*")</f>
        <v>1</v>
      </c>
      <c r="FU54" s="8">
        <f>COUNTIFS('Raw data'!$D:$D,"*Cordell Morgan-Antonio*", 'Raw data'!$H:$H,"*1v1 Attack*",'Raw data'!$H:$H,"*1v1 Attack*",'Raw data'!$M:$M,"*Kept Possession*")</f>
        <v>1</v>
      </c>
      <c r="FV54" s="8">
        <f>COUNTIFS('Raw data'!$D:$D,"*Cordell Morgan-Antonio*", 'Raw data'!$H:$H,"*1v1 Attack*",'Raw data'!$H:$H,"*1v1 Attack*",'Raw data'!$M:$M,"*Lost Possession*")</f>
        <v>0</v>
      </c>
      <c r="FW54" s="54">
        <f t="shared" si="198"/>
        <v>1</v>
      </c>
      <c r="FX54" s="54">
        <f t="shared" si="199"/>
        <v>0</v>
      </c>
      <c r="FY54" s="8">
        <f>COUNTIFS('Raw data'!$D:$D,"*Cordell Morgan-Antonio*", 'Raw data'!$I:$I,"*Cross*")</f>
        <v>3</v>
      </c>
      <c r="FZ54" s="8">
        <f>COUNTIFS('Raw data'!$D:$D,"*Cordell Morgan-Antonio*", 'Raw data'!$I:$I,"*Cross*",'Raw data'!$M:$M,"*Pass Completed*")</f>
        <v>2</v>
      </c>
      <c r="GA54" s="8">
        <f>COUNTIFS('Raw data'!$D:$D,"*Cordell Morgan-Antonio*", 'Raw data'!$I:$I,"*Cross*",'Raw data'!$M:$M,"*Pass Uncompleted*")</f>
        <v>1</v>
      </c>
      <c r="GB54" s="54">
        <f t="shared" si="200"/>
        <v>0.66666666666666663</v>
      </c>
      <c r="GC54" s="54">
        <f t="shared" si="201"/>
        <v>0.33333333333333331</v>
      </c>
      <c r="GD54" s="8">
        <f t="shared" si="202"/>
        <v>2</v>
      </c>
      <c r="GE54" s="8">
        <f>COUNTIFS('Raw data'!$D:$D,"*Cordell Morgan-Antonio*", 'Raw data'!$L:$L,"*On Target*")</f>
        <v>1</v>
      </c>
      <c r="GF54" s="8">
        <f>COUNTIFS('Raw data'!$D:$D,"*Cordell Morgan-Antonio*", 'Raw data'!$L:$L,"*Off Target*")</f>
        <v>0</v>
      </c>
      <c r="GG54" s="8">
        <f>COUNTIFS('Raw data'!$D:$D,"*Cordell Morgan-Antonio*", 'Raw data'!$L:$L,"*Blocked*")</f>
        <v>1</v>
      </c>
      <c r="GH54" s="8">
        <f>COUNTIFS('Raw data'!$D:$D,"*Cordell Morgan-Antonio*", 'Raw data'!$M:$M,"*Goal*")</f>
        <v>0</v>
      </c>
      <c r="GI54" s="8">
        <f>COUNTIFS('Raw data'!$D:$D,"*Cordell Morgan-Antonio*", 'Raw data'!$M:$M,"*Assist*")</f>
        <v>0</v>
      </c>
      <c r="GJ54" s="8">
        <f>COUNTIFS('Raw data'!$D:$D,"*Cordell Morgan-Antonio*", 'Raw data'!$H:$H,"*Offensive duel*")</f>
        <v>0</v>
      </c>
      <c r="GK54" s="8">
        <f>COUNTIFS('Raw data'!$D:$D,"*Cordell Morgan-Antonio*", 'Raw data'!$H:$H,"*Offensive Duel*",'Raw data'!$H:$H,"*Offensive Duel*",'Raw data'!$M:$M,"*Kept Possession*")</f>
        <v>0</v>
      </c>
      <c r="GL54" s="8">
        <f>COUNTIFS('Raw data'!$D:$D,"*Cordell Morgan-Antonio*", 'Raw data'!$H:$H,"*Offensive Duel*",'Raw data'!$H:$H,"*Offensive Duel*",'Raw data'!$M:$M,"*Lost Possession*")</f>
        <v>0</v>
      </c>
      <c r="GM54" s="54" t="str">
        <f t="shared" si="203"/>
        <v>-</v>
      </c>
      <c r="GN54" s="54" t="str">
        <f t="shared" si="204"/>
        <v>-</v>
      </c>
      <c r="GO54" s="8">
        <f>COUNTIFS('Raw data'!$D:$D,"*Cordell Morgan-Antonio*", 'Raw data'!$H:$H,"*Acceleration*")</f>
        <v>1</v>
      </c>
      <c r="GP54" s="8">
        <f>COUNTIFS('Raw data'!$D:$D,"*Cordell Morgan-Antonio*", 'Raw data'!$H:$H,"*Move into Pocket*")</f>
        <v>0</v>
      </c>
      <c r="GQ54" s="8">
        <f>COUNTIFS('Raw data'!$D:$D,"*Cordell Morgan-Antonio*", 'Raw data'!$H:$H,"*Wide area*")</f>
        <v>1</v>
      </c>
      <c r="GR54" s="8">
        <f>COUNTIFS('Raw data'!$D:$D,"*Cordell Morgan-Antonio*", 'Raw data'!$H:$H,"*Back to goal*")</f>
        <v>0</v>
      </c>
      <c r="GS54" s="8">
        <f>COUNTIFS('Raw data'!$D:$D,"*Cordell Morgan-Antonio*", 'Raw data'!$H:$H,"*Over/Underlaps*")</f>
        <v>0</v>
      </c>
      <c r="GT54" s="8">
        <f>COUNTIFS('Raw data'!$D:$D,"*Cordell Morgan-Antonio*", 'Raw data'!$H:$H,"*Runs in Behind*")</f>
        <v>2</v>
      </c>
      <c r="GU54" s="8">
        <f>COUNTIFS('Raw data'!$D:$D,"*Cordell Morgan-Antonio*", 'Raw data'!$H:$H,"*Half-space Runs*")</f>
        <v>0</v>
      </c>
      <c r="GV54" s="8">
        <f t="shared" si="205"/>
        <v>1</v>
      </c>
      <c r="GW54" s="8">
        <f t="shared" si="206"/>
        <v>1</v>
      </c>
      <c r="GX54" s="8">
        <f t="shared" si="207"/>
        <v>0</v>
      </c>
      <c r="GY54" s="54">
        <f t="shared" si="208"/>
        <v>1</v>
      </c>
      <c r="GZ54" s="54">
        <f t="shared" si="209"/>
        <v>0</v>
      </c>
      <c r="HA54" s="8">
        <f>COUNTIFS('Raw data'!$D:$D,"*Cordell Morgan-Antonio*", 'Raw data'!$K:$K,"*Ground duel*")</f>
        <v>1</v>
      </c>
      <c r="HB54" s="8">
        <f>COUNTIFS('Raw data'!$D:$D,"*Cordell Morgan-Antonio*", 'Raw data'!$K:$K,"*Ground duel*",'Raw data'!$M:$M,"*Duel Succeeded*")</f>
        <v>1</v>
      </c>
      <c r="HC54" s="8">
        <f>COUNTIFS('Raw data'!$D:$D,"*Cordell Morgan-Antonio*", 'Raw data'!$K:$K,"*Ground duel*",'Raw data'!$M:$M,"*Duel Unsucceeded*")</f>
        <v>0</v>
      </c>
      <c r="HD54" s="54">
        <f t="shared" si="210"/>
        <v>1</v>
      </c>
      <c r="HE54" s="54">
        <f t="shared" si="211"/>
        <v>0</v>
      </c>
      <c r="HF54" s="8">
        <f>COUNTIFS('Raw data'!$D:$D,"*Cordell Morgan-Antonio*", 'Raw data'!$K:$K,"*Aerial duel*")</f>
        <v>0</v>
      </c>
      <c r="HG54" s="8">
        <f>COUNTIFS('Raw data'!$D:$D,"*Cordell Morgan-Antonio*", 'Raw data'!$K:$K,"*Aerial duel*",'Raw data'!$M:$M,"*Duel Succeeded*")</f>
        <v>0</v>
      </c>
      <c r="HH54" s="8">
        <f>COUNTIFS('Raw data'!$D:$D,"*Cordell Morgan-Antonio*", 'Raw data'!$K:$K,"*Aerial duel*",'Raw data'!$M:$M,"*Duel Unsucceeded*")</f>
        <v>0</v>
      </c>
      <c r="HI54" s="54" t="str">
        <f t="shared" si="212"/>
        <v>-</v>
      </c>
      <c r="HJ54" s="54" t="str">
        <f t="shared" si="213"/>
        <v>-</v>
      </c>
      <c r="HK54" s="8">
        <f>COUNTIFS('Raw data'!$D:$D,"*Cordell Morgan-Antonio*", 'Raw data'!$K:$K,"*1v1 defense*")</f>
        <v>2</v>
      </c>
      <c r="HL54" s="8">
        <f>COUNTIFS('Raw data'!$D:$D,"*Cordell Morgan-Antonio*", 'Raw data'!$K:$K,"*1v1 defense*",'Raw data'!$M:$M,"*Duel Succeeded*")</f>
        <v>0</v>
      </c>
      <c r="HM54" s="8">
        <f>COUNTIFS('Raw data'!$D:$D,"*Cordell Morgan-Antonio*", 'Raw data'!$K:$K,"*1v1 defense*",'Raw data'!$M:$M,"*Duel Unsucceeded*")</f>
        <v>2</v>
      </c>
      <c r="HN54" s="54">
        <f t="shared" si="214"/>
        <v>0</v>
      </c>
      <c r="HO54" s="54">
        <f t="shared" si="215"/>
        <v>1</v>
      </c>
      <c r="HP54" s="8">
        <f>COUNTIFS('Raw data'!$D:$D,"*Cordell Morgan-Antonio*", 'Raw data'!$J:$J,"*Tackles*")</f>
        <v>0</v>
      </c>
      <c r="HQ54" s="8">
        <f>COUNTIFS('Raw data'!$D:$D,"*Cordell Morgan-Antonio*", 'Raw data'!$J:$J,"*Tackles*", 'Raw data'!$M:$M,"*Duel Succeeded*")</f>
        <v>0</v>
      </c>
      <c r="HR54" s="8">
        <f>COUNTIFS('Raw data'!$D:$D,"*Cordell Morgan-Antonio*", 'Raw data'!$J:$J,"*Tackles*", 'Raw data'!$M:$M,"*Duel Unsucceeded*")</f>
        <v>0</v>
      </c>
      <c r="HS54" s="54" t="str">
        <f t="shared" si="216"/>
        <v>-</v>
      </c>
      <c r="HT54" s="54" t="str">
        <f t="shared" si="217"/>
        <v>-</v>
      </c>
      <c r="HU54" s="8">
        <f>COUNTIFS('Raw data'!$D:$D,"*Cordell Morgan-Antonio*", 'Raw data'!$K:$K,"*2nd Balls*")</f>
        <v>0</v>
      </c>
      <c r="HV54" s="8">
        <f>COUNTIFS('Raw data'!$D:$D,"*Cordell Morgan-Antonio*", 'Raw data'!$K:$K,"*2nd Balls*", 'Raw data'!$M:$M,"*Duel Succeeded*")</f>
        <v>0</v>
      </c>
      <c r="HW54" s="8">
        <f>COUNTIFS('Raw data'!$D:$D,"*Cordell Morgan-Antonio*", 'Raw data'!$K:$K,"*2nd Balls*", 'Raw data'!$M:$M,"*Duel Unsucceeded*")</f>
        <v>0</v>
      </c>
      <c r="HX54" s="54" t="str">
        <f t="shared" si="218"/>
        <v>-</v>
      </c>
      <c r="HY54" s="54" t="str">
        <f t="shared" si="219"/>
        <v>-</v>
      </c>
      <c r="HZ54" s="8">
        <f>COUNTIFS('Raw data'!$D:$D,"*Cordell Morgan-Antonio*", 'Raw data'!$J:$J,"*Clearance*")</f>
        <v>0</v>
      </c>
      <c r="IA54" s="8">
        <f>COUNTIFS('Raw data'!$D:$D,"*Cordell Morgan-Antonio*", 'Raw data'!$J:$J,"*Interception*")</f>
        <v>5</v>
      </c>
      <c r="IB54" s="8">
        <f>COUNTIFS('Raw data'!$D:$D,"*Cordell Morgan-Antonio*", 'Raw data'!$J:$J,"*Turnover Won*")</f>
        <v>5</v>
      </c>
      <c r="IC54" s="8">
        <f>COUNTIFS('Raw data'!$D:$D,"*Cordell Morgan-Antonio*", 'Raw data'!$J:$J,"*Recovery*")</f>
        <v>0</v>
      </c>
      <c r="ID54" s="8">
        <f>COUNTIFS('Raw data'!$D:$D,"*Cordell Morgan-Antonio*", 'Raw data'!$J:$J,"*Blocked Shots*")</f>
        <v>0</v>
      </c>
      <c r="IE54" s="8">
        <f>COUNTIFS('Raw data'!$D:$D,"*Cordell Morgan-Antonio*", 'Raw data'!$J:$J,"*Man-marking*")</f>
        <v>0</v>
      </c>
      <c r="IF54" s="8">
        <f>COUNTIFS('Raw data'!$D:$D,"*Cordell Morgan-Antonio*", 'Raw data'!$J:$J,"*Fouls*")</f>
        <v>2</v>
      </c>
      <c r="IG54" s="8">
        <f>COUNTIFS('Raw data'!$D:$D,"*Cordell Morgan-Antonio*", 'Raw data'!$J:$J,"*Won F*")</f>
        <v>1</v>
      </c>
      <c r="IH54" s="8">
        <f>COUNTIFS('Raw data'!$D:$D,"*Cordell Morgan-Antonio*", 'Raw data'!$G:$G,"*1v1*")</f>
        <v>0</v>
      </c>
      <c r="II54" s="8">
        <f>COUNTIFS('Raw data'!$D:$D,"*Cordell Morgan-Antonio*", 'Raw data'!$G:$G,"*On Target*")</f>
        <v>0</v>
      </c>
      <c r="IJ54" s="8">
        <f>COUNTIFS('Raw data'!$D:$D,"*Cordell Morgan-Antonio*", 'Raw data'!$G:$G,"*Off Target*")</f>
        <v>0</v>
      </c>
      <c r="IK54" s="8">
        <f>COUNTIFS('Raw data'!$D:$D,"*Cordell Morgan-Antonio*", 'Raw data'!$G:$G,"*Defend the Space*")</f>
        <v>0</v>
      </c>
      <c r="IL54" s="8">
        <f>COUNTIFS('Raw data'!$D:$D,"*Cordell Morgan-Antonio*", 'Raw data'!$G:$G,"*Conceded*")</f>
        <v>0</v>
      </c>
      <c r="IM54" s="8">
        <f>COUNTIFS('Raw data'!$D:$D,"*Cordell Morgan-Antonio*", 'Raw data'!$G:$G,"*Save*")</f>
        <v>0</v>
      </c>
      <c r="IN54" s="8">
        <f>COUNTIFS('Raw data'!$D:$D,"*Cordell Morgan-Antonio*", 'Raw data'!$G:$G,"*Defend the line (Cross)*")</f>
        <v>0</v>
      </c>
      <c r="IO54" s="8">
        <f>COUNTIFS('Raw data'!$D:$D,"*Cordell Morgan-Antonio*", 'Raw data'!$G:$G,"*Counter Kick*")</f>
        <v>0</v>
      </c>
      <c r="IP54" t="s">
        <v>622</v>
      </c>
    </row>
    <row r="55" spans="127:250">
      <c r="DW55" t="s">
        <v>501</v>
      </c>
      <c r="DX55" t="s">
        <v>647</v>
      </c>
      <c r="DY55">
        <v>40</v>
      </c>
      <c r="DZ55" t="s">
        <v>659</v>
      </c>
      <c r="EA55">
        <f t="shared" si="179"/>
        <v>18</v>
      </c>
      <c r="EB55" s="8">
        <f t="shared" si="304"/>
        <v>16</v>
      </c>
      <c r="EC55" s="8">
        <f t="shared" si="305"/>
        <v>2</v>
      </c>
      <c r="ED55" s="54">
        <f t="shared" si="181"/>
        <v>0.88888888888888884</v>
      </c>
      <c r="EE55" s="54">
        <f t="shared" si="182"/>
        <v>0.1111111111111111</v>
      </c>
      <c r="EF55">
        <f t="shared" si="183"/>
        <v>3</v>
      </c>
      <c r="EG55">
        <f>COUNTIFS('Raw data'!$D:$D,"*Godwin Mfuri*", 'Raw data'!$I:$I,"*Forward Pass*",'Raw data'!$M:$M,"*Pass completed*")</f>
        <v>2</v>
      </c>
      <c r="EH55">
        <f>COUNTIFS('Raw data'!$D:$D,"*Godwin Mfuri*", 'Raw data'!$I:$I,"*Forward Pass*",'Raw data'!$M:$M,"*Pass Uncompleted*")</f>
        <v>1</v>
      </c>
      <c r="EI55" s="54">
        <f t="shared" si="184"/>
        <v>0.66666666666666663</v>
      </c>
      <c r="EJ55" s="54">
        <f t="shared" si="185"/>
        <v>0.33333333333333331</v>
      </c>
      <c r="EK55">
        <f t="shared" si="186"/>
        <v>3</v>
      </c>
      <c r="EL55" s="8">
        <f>COUNTIFS('Raw data'!$D:$D,"*Godwin Mfuri*", 'Raw data'!$I:$I,"*Lateral Pass*",'Raw data'!$M:$M,"*Pass completed*")</f>
        <v>2</v>
      </c>
      <c r="EM55" s="8">
        <f>COUNTIFS('Raw data'!$D:$D,"*Godwin Mfuri*", 'Raw data'!$I:$I,"*Lateral Pass*",'Raw data'!$M:$M,"*Pass Uncompleted*")</f>
        <v>1</v>
      </c>
      <c r="EN55" s="54">
        <f t="shared" si="187"/>
        <v>0.66666666666666663</v>
      </c>
      <c r="EO55" s="54">
        <f t="shared" si="188"/>
        <v>0.33333333333333331</v>
      </c>
      <c r="EP55">
        <f t="shared" si="189"/>
        <v>12</v>
      </c>
      <c r="EQ55" s="8">
        <f>COUNTIFS('Raw data'!$D:$D,"*Godwin Mfuri*", 'Raw data'!$I:$I,"*Backward Pass*",'Raw data'!$M:$M,"*Pass completed*")</f>
        <v>12</v>
      </c>
      <c r="ER55" s="8">
        <f>COUNTIFS('Raw data'!$D:$D,"*Godwin Mfuri*", 'Raw data'!$I:$I,"*Backward Pass*",'Raw data'!$M:$M,"*Pass Uncompleted*")</f>
        <v>0</v>
      </c>
      <c r="ES55" s="54">
        <f t="shared" si="190"/>
        <v>1</v>
      </c>
      <c r="ET55" s="54">
        <f t="shared" si="191"/>
        <v>0</v>
      </c>
      <c r="EU55" s="8">
        <f>COUNTIFS('Raw data'!$D:$D,"*Godwin Mfuri*", 'Raw data'!$I:$I,"*Long Kick*")</f>
        <v>0</v>
      </c>
      <c r="EV55" s="8">
        <f>COUNTIFS('Raw data'!$D:$D,"*Godwin Mfuri*", 'Raw data'!$I:$I,"*Long Kick*",'Raw data'!$M:$M,"*Pass completed*")</f>
        <v>0</v>
      </c>
      <c r="EW55" s="8">
        <f>COUNTIFS('Raw data'!$D:$D,"*Godwin Mfuri*", 'Raw data'!$I:$I,"*Long Kick*",'Raw data'!$M:$M,"*Pass Uncompleted*")</f>
        <v>0</v>
      </c>
      <c r="EX55" s="54" t="str">
        <f t="shared" si="192"/>
        <v>-</v>
      </c>
      <c r="EY55" s="54" t="str">
        <f t="shared" si="193"/>
        <v>-</v>
      </c>
      <c r="EZ55" s="8">
        <f>COUNTIFS('Raw data'!$D:$D,"*Godwin Mfuri*", 'Raw data'!$I:$I,"*Balls in Behind*")</f>
        <v>1</v>
      </c>
      <c r="FA55" s="8">
        <f>COUNTIFS('Raw data'!$D:$D,"*Godwin Mfuri*", 'Raw data'!$I:$I,"*Balls in Behind*",'Raw data'!$M:$M,"*Pass completed*")</f>
        <v>1</v>
      </c>
      <c r="FB55" s="8">
        <f>COUNTIFS('Raw data'!$D:$D,"*Godwin Mfuri*", 'Raw data'!$I:$I,"*Balls in Behind*",'Raw data'!$M:$M,"*Pass Uncompleted*")</f>
        <v>0</v>
      </c>
      <c r="FC55" s="54">
        <f t="shared" si="194"/>
        <v>1</v>
      </c>
      <c r="FD55" s="54">
        <f t="shared" si="195"/>
        <v>0</v>
      </c>
      <c r="FE55" s="8">
        <f>COUNTIFS('Raw data'!$D:$D,"*Godwin Mfuri*", 'Raw data'!$I:$I,"*Key/Through pass*")</f>
        <v>3</v>
      </c>
      <c r="FF55" s="8">
        <f>COUNTIFS('Raw data'!$D:$D,"*Godwin Mfuri*", 'Raw data'!$I:$I,"*Diagonal pass*")</f>
        <v>0</v>
      </c>
      <c r="FG55" s="8">
        <f>COUNTIFS('Raw data'!$D:$D,"*Godwin Mfuri*", 'Raw data'!$I:$I,"*Diagonal pass*",'Raw data'!$M:$M,"*Pass completed*")</f>
        <v>0</v>
      </c>
      <c r="FH55" s="8">
        <f>COUNTIFS('Raw data'!$D:$D,"*Godwin Mfuri*", 'Raw data'!$I:$I,"*Diagonal pass*",'Raw data'!$M:$M,"*Pass Uncompleted*")</f>
        <v>0</v>
      </c>
      <c r="FI55" s="54" t="str">
        <f t="shared" si="196"/>
        <v>-</v>
      </c>
      <c r="FJ55" s="54" t="str">
        <f t="shared" si="197"/>
        <v>-</v>
      </c>
      <c r="FK55" s="8">
        <f>COUNTIFS('Raw data'!$D:$D,"*Godwin Mfuri*", 'Raw data'!$M:$M,"*Pass Received*")</f>
        <v>20</v>
      </c>
      <c r="FL55" s="8">
        <f>COUNTIFS('Raw data'!$D:$D,"*Godwin Mfuri*", 'Raw data'!$M:$M,"*Pass Completed*",'Raw data'!$M:$M,"*Pass Received*")</f>
        <v>12</v>
      </c>
      <c r="FM55" s="8">
        <f>COUNTIFS('Raw data'!$D:$D,"*Godwin Mfuri*", 'Raw data'!$M:$M,"*Pass Uncompleted*",'Raw data'!$M:$M,"*Pass Received*")</f>
        <v>1</v>
      </c>
      <c r="FN55" s="8">
        <f>COUNTIFS('Raw data'!$D:$D,"*Godwin Mfuri*", 'Raw data'!$M:$M,"*Kept Possession*",'Raw data'!$M:$M,"*Pass Received*")</f>
        <v>2</v>
      </c>
      <c r="FO55" s="8">
        <f>COUNTIFS('Raw data'!$D:$D,"*Godwin Mfuri*", 'Raw data'!$M:$M,"*Lost Possession*")</f>
        <v>1</v>
      </c>
      <c r="FP55" s="8">
        <f>COUNTIFS('Raw data'!$D:$D,"*Godwin Mfuri*", 'Raw data'!$M:$M,"*Lost Possession*",'Raw data'!$M:$M,"*Lost Final 1/3*")</f>
        <v>1</v>
      </c>
      <c r="FQ55" s="8">
        <f>COUNTIFS('Raw data'!$D:$D,"*Godwin Mfuri*", 'Raw data'!$M:$M,"*Lost Possession*",'Raw data'!$M:$M,"*Lost Middle 1/3*")</f>
        <v>0</v>
      </c>
      <c r="FR55" s="8">
        <f>COUNTIFS('Raw data'!$D:$D,"*Godwin Mfuri*", 'Raw data'!$M:$M,"*Lost Possession*",'Raw data'!$M:$M,"*Lost Own 1/3*")</f>
        <v>0</v>
      </c>
      <c r="FS55" s="8">
        <f>COUNTIFS('Raw data'!$D:$D,"*Godwin Mfuri*", 'Raw data'!$H:$H,"*Touches in the Box*")</f>
        <v>7</v>
      </c>
      <c r="FT55" s="8">
        <f>COUNTIFS('Raw data'!$D:$D,"*Godwin Mfuri*", 'Raw data'!$H:$H,"*1v1 Attack*")</f>
        <v>1</v>
      </c>
      <c r="FU55" s="8">
        <f>COUNTIFS('Raw data'!$D:$D,"*Godwin Mfuri*", 'Raw data'!$H:$H,"*1v1 Attack*",'Raw data'!$H:$H,"*1v1 Attack*",'Raw data'!$M:$M,"*Kept Possession*")</f>
        <v>1</v>
      </c>
      <c r="FV55" s="8">
        <f>COUNTIFS('Raw data'!$D:$D,"*Godwin Mfuri*", 'Raw data'!$H:$H,"*1v1 Attack*",'Raw data'!$H:$H,"*1v1 Attack*",'Raw data'!$M:$M,"*Lost Possession*")</f>
        <v>0</v>
      </c>
      <c r="FW55" s="54">
        <f t="shared" si="198"/>
        <v>1</v>
      </c>
      <c r="FX55" s="54">
        <f t="shared" si="199"/>
        <v>0</v>
      </c>
      <c r="FY55" s="8">
        <f>COUNTIFS('Raw data'!$D:$D,"*Godwin Mfuri*", 'Raw data'!$I:$I,"*Cross*")</f>
        <v>1</v>
      </c>
      <c r="FZ55" s="8">
        <f>COUNTIFS('Raw data'!$D:$D,"*Godwin Mfuri*", 'Raw data'!$I:$I,"*Cross*",'Raw data'!$M:$M,"*Pass Completed*")</f>
        <v>1</v>
      </c>
      <c r="GA55" s="8">
        <f>COUNTIFS('Raw data'!$D:$D,"*Godwin Mfuri*", 'Raw data'!$I:$I,"*Cross*",'Raw data'!$M:$M,"*Pass Uncompleted*")</f>
        <v>0</v>
      </c>
      <c r="GB55" s="54">
        <f t="shared" si="200"/>
        <v>1</v>
      </c>
      <c r="GC55" s="54">
        <f t="shared" si="201"/>
        <v>0</v>
      </c>
      <c r="GD55" s="8">
        <f t="shared" si="202"/>
        <v>6</v>
      </c>
      <c r="GE55" s="8">
        <f>COUNTIFS('Raw data'!$D:$D,"*Godwin Mfuri*", 'Raw data'!$L:$L,"*On Target*")</f>
        <v>4</v>
      </c>
      <c r="GF55" s="8">
        <f>COUNTIFS('Raw data'!$D:$D,"*Godwin Mfuri*", 'Raw data'!$L:$L,"*Off Target*")</f>
        <v>1</v>
      </c>
      <c r="GG55" s="8">
        <f>COUNTIFS('Raw data'!$D:$D,"*Godwin Mfuri*", 'Raw data'!$L:$L,"*Blocked*")</f>
        <v>1</v>
      </c>
      <c r="GH55" s="8">
        <f>COUNTIFS('Raw data'!$D:$D,"*Godwin Mfuri*", 'Raw data'!$M:$M,"*Goal*")</f>
        <v>1</v>
      </c>
      <c r="GI55" s="8">
        <f>COUNTIFS('Raw data'!$D:$D,"*Godwin Mfuri*", 'Raw data'!$M:$M,"*Assist*")</f>
        <v>1</v>
      </c>
      <c r="GJ55" s="8">
        <f>COUNTIFS('Raw data'!$D:$D,"*Godwin Mfuri*", 'Raw data'!$H:$H,"*Offensive duel*")</f>
        <v>5</v>
      </c>
      <c r="GK55" s="8">
        <f>COUNTIFS('Raw data'!$D:$D,"*Godwin Mfuri*", 'Raw data'!$H:$H,"*Offensive Duel*",'Raw data'!$H:$H,"*Offensive Duel*",'Raw data'!$M:$M,"*Kept Possession*")</f>
        <v>4</v>
      </c>
      <c r="GL55" s="8">
        <f>COUNTIFS('Raw data'!$D:$D,"*Godwin Mfuri*", 'Raw data'!$H:$H,"*Offensive Duel*",'Raw data'!$H:$H,"*Offensive Duel*",'Raw data'!$M:$M,"*Lost Possession*")</f>
        <v>1</v>
      </c>
      <c r="GM55" s="54">
        <f t="shared" si="203"/>
        <v>0.8</v>
      </c>
      <c r="GN55" s="54">
        <f t="shared" si="204"/>
        <v>0.2</v>
      </c>
      <c r="GO55" s="8">
        <f>COUNTIFS('Raw data'!$D:$D,"*Godwin Mfuri*", 'Raw data'!$H:$H,"*Acceleration*")</f>
        <v>2</v>
      </c>
      <c r="GP55" s="8">
        <f>COUNTIFS('Raw data'!$D:$D,"*Godwin Mfuri*", 'Raw data'!$H:$H,"*Move into Pocket*")</f>
        <v>3</v>
      </c>
      <c r="GQ55" s="8">
        <f>COUNTIFS('Raw data'!$D:$D,"*Godwin Mfuri*", 'Raw data'!$H:$H,"*Wide area*")</f>
        <v>2</v>
      </c>
      <c r="GR55" s="8">
        <f>COUNTIFS('Raw data'!$D:$D,"*Godwin Mfuri*", 'Raw data'!$H:$H,"*Back to goal*")</f>
        <v>1</v>
      </c>
      <c r="GS55" s="8">
        <f>COUNTIFS('Raw data'!$D:$D,"*Godwin Mfuri*", 'Raw data'!$H:$H,"*Over/Underlaps*")</f>
        <v>0</v>
      </c>
      <c r="GT55" s="8">
        <f>COUNTIFS('Raw data'!$D:$D,"*Godwin Mfuri*", 'Raw data'!$H:$H,"*Runs in Behind*")</f>
        <v>5</v>
      </c>
      <c r="GU55" s="8">
        <f>COUNTIFS('Raw data'!$D:$D,"*Godwin Mfuri*", 'Raw data'!$H:$H,"*Half-space Runs*")</f>
        <v>0</v>
      </c>
      <c r="GV55" s="8">
        <f t="shared" si="205"/>
        <v>7</v>
      </c>
      <c r="GW55" s="8">
        <f t="shared" si="206"/>
        <v>5</v>
      </c>
      <c r="GX55" s="8">
        <f t="shared" si="207"/>
        <v>2</v>
      </c>
      <c r="GY55" s="54">
        <f t="shared" si="208"/>
        <v>0.7142857142857143</v>
      </c>
      <c r="GZ55" s="54">
        <f t="shared" si="209"/>
        <v>0.2857142857142857</v>
      </c>
      <c r="HA55" s="8">
        <f>COUNTIFS('Raw data'!$D:$D,"*Godwin Mfuri*", 'Raw data'!$K:$K,"*Ground duel*")</f>
        <v>1</v>
      </c>
      <c r="HB55" s="8">
        <f>COUNTIFS('Raw data'!$D:$D,"*Godwin Mfuri*", 'Raw data'!$K:$K,"*Ground duel*",'Raw data'!$M:$M,"*Duel Succeeded*")</f>
        <v>0</v>
      </c>
      <c r="HC55" s="8">
        <f>COUNTIFS('Raw data'!$D:$D,"*Godwin Mfuri*", 'Raw data'!$K:$K,"*Ground duel*",'Raw data'!$M:$M,"*Duel Unsucceeded*")</f>
        <v>1</v>
      </c>
      <c r="HD55" s="54">
        <f t="shared" si="210"/>
        <v>0</v>
      </c>
      <c r="HE55" s="54">
        <f t="shared" si="211"/>
        <v>1</v>
      </c>
      <c r="HF55" s="8">
        <f>COUNTIFS('Raw data'!$D:$D,"*Godwin Mfuri*", 'Raw data'!$K:$K,"*Aerial duel*")</f>
        <v>1</v>
      </c>
      <c r="HG55" s="8">
        <f>COUNTIFS('Raw data'!$D:$D,"*Godwin Mfuri*", 'Raw data'!$K:$K,"*Aerial duel*",'Raw data'!$M:$M,"*Duel Succeeded*")</f>
        <v>1</v>
      </c>
      <c r="HH55" s="8">
        <f>COUNTIFS('Raw data'!$D:$D,"*Godwin Mfuri*", 'Raw data'!$K:$K,"*Aerial duel*",'Raw data'!$M:$M,"*Duel Unsucceeded*")</f>
        <v>0</v>
      </c>
      <c r="HI55" s="54">
        <f t="shared" si="212"/>
        <v>1</v>
      </c>
      <c r="HJ55" s="54">
        <f t="shared" si="213"/>
        <v>0</v>
      </c>
      <c r="HK55" s="8">
        <f>COUNTIFS('Raw data'!$D:$D,"*Godwin Mfuri*", 'Raw data'!$K:$K,"*1v1 defense*")</f>
        <v>0</v>
      </c>
      <c r="HL55" s="8">
        <f>COUNTIFS('Raw data'!$D:$D,"*Godwin Mfuri*", 'Raw data'!$K:$K,"*1v1 defense*",'Raw data'!$M:$M,"*Duel Succeeded*")</f>
        <v>0</v>
      </c>
      <c r="HM55" s="8">
        <f>COUNTIFS('Raw data'!$D:$D,"*Godwin Mfuri*", 'Raw data'!$K:$K,"*1v1 defense*",'Raw data'!$M:$M,"*Duel Unsucceeded*")</f>
        <v>0</v>
      </c>
      <c r="HN55" s="54" t="str">
        <f t="shared" si="214"/>
        <v>-</v>
      </c>
      <c r="HO55" s="54" t="str">
        <f t="shared" si="215"/>
        <v>-</v>
      </c>
      <c r="HP55" s="8">
        <f>COUNTIFS('Raw data'!$D:$D,"*Godwin Mfuri*", 'Raw data'!$J:$J,"*Tackles*")</f>
        <v>2</v>
      </c>
      <c r="HQ55" s="8">
        <f>COUNTIFS('Raw data'!$D:$D,"*Godwin Mfuri*", 'Raw data'!$J:$J,"*Tackles*", 'Raw data'!$M:$M,"*Duel Succeeded*")</f>
        <v>1</v>
      </c>
      <c r="HR55" s="8">
        <f>COUNTIFS('Raw data'!$D:$D,"*Godwin Mfuri*", 'Raw data'!$J:$J,"*Tackles*", 'Raw data'!$M:$M,"*Duel Unsucceeded*")</f>
        <v>1</v>
      </c>
      <c r="HS55" s="54">
        <f t="shared" si="216"/>
        <v>0.5</v>
      </c>
      <c r="HT55" s="54">
        <f t="shared" si="217"/>
        <v>0.5</v>
      </c>
      <c r="HU55" s="8">
        <f>COUNTIFS('Raw data'!$D:$D,"*Godwin Mfuri*", 'Raw data'!$K:$K,"*2nd Balls*")</f>
        <v>2</v>
      </c>
      <c r="HV55" s="8">
        <f>COUNTIFS('Raw data'!$D:$D,"*Godwin Mfuri*", 'Raw data'!$K:$K,"*2nd Balls*", 'Raw data'!$M:$M,"*Duel Succeeded*")</f>
        <v>2</v>
      </c>
      <c r="HW55" s="8">
        <f>COUNTIFS('Raw data'!$D:$D,"*Godwin Mfuri*", 'Raw data'!$K:$K,"*2nd Balls*", 'Raw data'!$M:$M,"*Duel Unsucceeded*")</f>
        <v>0</v>
      </c>
      <c r="HX55" s="54">
        <f t="shared" si="218"/>
        <v>1</v>
      </c>
      <c r="HY55" s="54">
        <f t="shared" si="219"/>
        <v>0</v>
      </c>
      <c r="HZ55" s="8">
        <f>COUNTIFS('Raw data'!$D:$D,"*Godwin Mfuri*", 'Raw data'!$J:$J,"*Clearance*")</f>
        <v>1</v>
      </c>
      <c r="IA55" s="8">
        <f>COUNTIFS('Raw data'!$D:$D,"*Godwin Mfuri*", 'Raw data'!$J:$J,"*Interception*")</f>
        <v>1</v>
      </c>
      <c r="IB55" s="8">
        <f>COUNTIFS('Raw data'!$D:$D,"*Godwin Mfuri*", 'Raw data'!$J:$J,"*Turnover Won*")</f>
        <v>1</v>
      </c>
      <c r="IC55" s="8">
        <f>COUNTIFS('Raw data'!$D:$D,"*Godwin Mfuri*", 'Raw data'!$J:$J,"*Recovery*")</f>
        <v>0</v>
      </c>
      <c r="ID55" s="8">
        <f>COUNTIFS('Raw data'!$D:$D,"*Godwin Mfuri*", 'Raw data'!$J:$J,"*Blocked Shots*")</f>
        <v>0</v>
      </c>
      <c r="IE55" s="8">
        <f>COUNTIFS('Raw data'!$D:$D,"*Godwin Mfuri*", 'Raw data'!$J:$J,"*Man-marking*")</f>
        <v>0</v>
      </c>
      <c r="IF55" s="8">
        <f>COUNTIFS('Raw data'!$D:$D,"*Godwin Mfuri*", 'Raw data'!$J:$J,"*Fouls*")</f>
        <v>2</v>
      </c>
      <c r="IG55" s="8">
        <f>COUNTIFS('Raw data'!$D:$D,"*Godwin Mfuri*", 'Raw data'!$J:$J,"*Won F*")</f>
        <v>1</v>
      </c>
      <c r="IH55" s="8">
        <f>COUNTIFS('Raw data'!$D:$D,"*Godwin Mfuri*", 'Raw data'!$G:$G,"*1v1*")</f>
        <v>0</v>
      </c>
      <c r="II55" s="8">
        <f>COUNTIFS('Raw data'!$D:$D,"*Godwin Mfuri*", 'Raw data'!$G:$G,"*On Target*")</f>
        <v>0</v>
      </c>
      <c r="IJ55" s="8">
        <f>COUNTIFS('Raw data'!$D:$D,"*Godwin Mfuri*", 'Raw data'!$G:$G,"*Off Target*")</f>
        <v>0</v>
      </c>
      <c r="IK55" s="8">
        <f>COUNTIFS('Raw data'!$D:$D,"*Godwin Mfuri*", 'Raw data'!$G:$G,"*Defend the Space*")</f>
        <v>0</v>
      </c>
      <c r="IL55" s="8">
        <f>COUNTIFS('Raw data'!$D:$D,"*Godwin Mfuri*", 'Raw data'!$G:$G,"*Conceded*")</f>
        <v>0</v>
      </c>
      <c r="IM55" s="8">
        <f>COUNTIFS('Raw data'!$D:$D,"*Godwin Mfuri*", 'Raw data'!$G:$G,"*Save*")</f>
        <v>0</v>
      </c>
      <c r="IN55" s="8">
        <f>COUNTIFS('Raw data'!$D:$D,"*Godwin Mfuri*", 'Raw data'!$G:$G,"*Defend the line (Cross)*")</f>
        <v>0</v>
      </c>
      <c r="IO55" s="8">
        <f>COUNTIFS('Raw data'!$D:$D,"*Godwin Mfuri*", 'Raw data'!$G:$G,"*Counter Kick*")</f>
        <v>0</v>
      </c>
      <c r="IP55" t="s">
        <v>647</v>
      </c>
    </row>
    <row r="56" spans="127:250">
      <c r="DW56" t="s">
        <v>501</v>
      </c>
      <c r="DX56" t="s">
        <v>764</v>
      </c>
      <c r="DY56">
        <v>40</v>
      </c>
      <c r="DZ56" t="s">
        <v>152</v>
      </c>
      <c r="EA56">
        <f t="shared" si="179"/>
        <v>9</v>
      </c>
      <c r="EB56" s="8">
        <f t="shared" si="304"/>
        <v>6</v>
      </c>
      <c r="EC56" s="8">
        <f t="shared" si="305"/>
        <v>3</v>
      </c>
      <c r="ED56" s="54">
        <f t="shared" si="181"/>
        <v>0.66666666666666663</v>
      </c>
      <c r="EE56" s="54">
        <f t="shared" si="182"/>
        <v>0.33333333333333331</v>
      </c>
      <c r="EF56">
        <f t="shared" si="183"/>
        <v>4</v>
      </c>
      <c r="EG56">
        <f>COUNTIFS('Raw data'!$D:$D,"*Sebastian Bixby-Gutierrez*", 'Raw data'!$I:$I,"*Forward Pass*",'Raw data'!$M:$M,"*Pass completed*")</f>
        <v>2</v>
      </c>
      <c r="EH56">
        <f>COUNTIFS('Raw data'!$D:$D,"*Sebastian Bixby-Gutierrez*", 'Raw data'!$I:$I,"*Forward Pass*",'Raw data'!$M:$M,"*Pass Uncompleted*")</f>
        <v>2</v>
      </c>
      <c r="EI56" s="54">
        <f t="shared" si="184"/>
        <v>0.5</v>
      </c>
      <c r="EJ56" s="54">
        <f t="shared" si="185"/>
        <v>0.5</v>
      </c>
      <c r="EK56">
        <f t="shared" si="186"/>
        <v>2</v>
      </c>
      <c r="EL56" s="8">
        <f>COUNTIFS('Raw data'!$D:$D,"*Sebastian Bixby-Gutierrez*", 'Raw data'!$I:$I,"*Lateral Pass*",'Raw data'!$M:$M,"*Pass completed*")</f>
        <v>1</v>
      </c>
      <c r="EM56" s="8">
        <f>COUNTIFS('Raw data'!$D:$D,"*Sebastian Bixby-Gutierrez*", 'Raw data'!$I:$I,"*Lateral Pass*",'Raw data'!$M:$M,"*Pass Uncompleted*")</f>
        <v>1</v>
      </c>
      <c r="EN56" s="54">
        <f t="shared" si="187"/>
        <v>0.5</v>
      </c>
      <c r="EO56" s="54">
        <f t="shared" si="188"/>
        <v>0.5</v>
      </c>
      <c r="EP56">
        <f t="shared" si="189"/>
        <v>3</v>
      </c>
      <c r="EQ56" s="8">
        <f>COUNTIFS('Raw data'!$D:$D,"*Sebastian Bixby-Gutierrez*", 'Raw data'!$I:$I,"*Backward Pass*",'Raw data'!$M:$M,"*Pass completed*")</f>
        <v>3</v>
      </c>
      <c r="ER56" s="8">
        <f>COUNTIFS('Raw data'!$D:$D,"*Sebastian Bixby-Gutierrez*", 'Raw data'!$I:$I,"*Backward Pass*",'Raw data'!$M:$M,"*Pass Uncompleted*")</f>
        <v>0</v>
      </c>
      <c r="ES56" s="54">
        <f t="shared" si="190"/>
        <v>1</v>
      </c>
      <c r="ET56" s="54">
        <f t="shared" si="191"/>
        <v>0</v>
      </c>
      <c r="EU56" s="8">
        <f>COUNTIFS('Raw data'!$D:$D,"*Sebastian Bixby-Gutierrez*", 'Raw data'!$I:$I,"*Long Kick*")</f>
        <v>0</v>
      </c>
      <c r="EV56" s="8">
        <f>COUNTIFS('Raw data'!$D:$D,"*Sebastian Bixby-Gutierrez*", 'Raw data'!$I:$I,"*Long Kick*",'Raw data'!$M:$M,"*Pass completed*")</f>
        <v>0</v>
      </c>
      <c r="EW56" s="8">
        <f>COUNTIFS('Raw data'!$D:$D,"*Sebastian Bixby-Gutierrez*", 'Raw data'!$I:$I,"*Long Kick*",'Raw data'!$M:$M,"*Pass Uncompleted*")</f>
        <v>0</v>
      </c>
      <c r="EX56" s="54" t="str">
        <f t="shared" si="192"/>
        <v>-</v>
      </c>
      <c r="EY56" s="54" t="str">
        <f t="shared" si="193"/>
        <v>-</v>
      </c>
      <c r="EZ56" s="8">
        <f>COUNTIFS('Raw data'!$D:$D,"*Sebastian Bixby-Gutierrez*", 'Raw data'!$I:$I,"*Balls in Behind*")</f>
        <v>0</v>
      </c>
      <c r="FA56" s="8">
        <f>COUNTIFS('Raw data'!$D:$D,"*Sebastian Bixby-Gutierrez*", 'Raw data'!$I:$I,"*Balls in Behind*",'Raw data'!$M:$M,"*Pass completed*")</f>
        <v>0</v>
      </c>
      <c r="FB56" s="8">
        <f>COUNTIFS('Raw data'!$D:$D,"*Sebastian Bixby-Gutierrez*", 'Raw data'!$I:$I,"*Balls in Behind*",'Raw data'!$M:$M,"*Pass Uncompleted*")</f>
        <v>0</v>
      </c>
      <c r="FC56" s="54" t="str">
        <f t="shared" si="194"/>
        <v>-</v>
      </c>
      <c r="FD56" s="54" t="str">
        <f t="shared" si="195"/>
        <v>-</v>
      </c>
      <c r="FE56" s="8">
        <f>COUNTIFS('Raw data'!$D:$D,"*Sebastian Bixby-Gutierrez*", 'Raw data'!$I:$I,"*Key/Through pass*")</f>
        <v>1</v>
      </c>
      <c r="FF56" s="8">
        <f>COUNTIFS('Raw data'!$D:$D,"*Sebastian Bixby-Gutierrez*", 'Raw data'!$I:$I,"*Diagonal pass*")</f>
        <v>0</v>
      </c>
      <c r="FG56" s="8">
        <f>COUNTIFS('Raw data'!$D:$D,"*Sebastian Bixby-Gutierrez*", 'Raw data'!$I:$I,"*Diagonal pass*",'Raw data'!$M:$M,"*Pass completed*")</f>
        <v>0</v>
      </c>
      <c r="FH56" s="8">
        <f>COUNTIFS('Raw data'!$D:$D,"*Sebastian Bixby-Gutierrez*", 'Raw data'!$I:$I,"*Diagonal pass*",'Raw data'!$M:$M,"*Pass Uncompleted*")</f>
        <v>0</v>
      </c>
      <c r="FI56" s="54" t="str">
        <f t="shared" si="196"/>
        <v>-</v>
      </c>
      <c r="FJ56" s="54" t="str">
        <f t="shared" si="197"/>
        <v>-</v>
      </c>
      <c r="FK56" s="8">
        <f>COUNTIFS('Raw data'!$D:$D,"*Sebastian Bixby-Gutierrez*", 'Raw data'!$M:$M,"*Pass Received*")</f>
        <v>6</v>
      </c>
      <c r="FL56" s="8">
        <f>COUNTIFS('Raw data'!$D:$D,"*Sebastian Bixby-Gutierrez*", 'Raw data'!$M:$M,"*Pass Completed*",'Raw data'!$M:$M,"*Pass Received*")</f>
        <v>3</v>
      </c>
      <c r="FM56" s="8">
        <f>COUNTIFS('Raw data'!$D:$D,"*Sebastian Bixby-Gutierrez*", 'Raw data'!$M:$M,"*Pass Uncompleted*",'Raw data'!$M:$M,"*Pass Received*")</f>
        <v>3</v>
      </c>
      <c r="FN56" s="8">
        <f>COUNTIFS('Raw data'!$D:$D,"*Sebastian Bixby-Gutierrez*", 'Raw data'!$M:$M,"*Kept Possession*",'Raw data'!$M:$M,"*Pass Received*")</f>
        <v>1</v>
      </c>
      <c r="FO56" s="8">
        <f>COUNTIFS('Raw data'!$D:$D,"*Sebastian Bixby-Gutierrez*", 'Raw data'!$M:$M,"*Lost Possession*")</f>
        <v>0</v>
      </c>
      <c r="FP56" s="8">
        <f>COUNTIFS('Raw data'!$D:$D,"*Sebastian Bixby-Gutierrez*", 'Raw data'!$M:$M,"*Lost Possession*",'Raw data'!$M:$M,"*Lost Final 1/3*")</f>
        <v>0</v>
      </c>
      <c r="FQ56" s="8">
        <f>COUNTIFS('Raw data'!$D:$D,"*Sebastian Bixby-Gutierrez*", 'Raw data'!$M:$M,"*Lost Possession*",'Raw data'!$M:$M,"*Lost Middle 1/3*")</f>
        <v>0</v>
      </c>
      <c r="FR56" s="8">
        <f>COUNTIFS('Raw data'!$D:$D,"*Sebastian Bixby-Gutierrez*", 'Raw data'!$M:$M,"*Lost Possession*",'Raw data'!$M:$M,"*Lost Own 1/3*")</f>
        <v>0</v>
      </c>
      <c r="FS56" s="8">
        <f>COUNTIFS('Raw data'!$D:$D,"*Sebastian Bixby-Gutierrez*", 'Raw data'!$H:$H,"*Touches in the Box*")</f>
        <v>2</v>
      </c>
      <c r="FT56" s="8">
        <f>COUNTIFS('Raw data'!$D:$D,"*Sebastian Bixby-Gutierrez*", 'Raw data'!$H:$H,"*1v1 Attack*")</f>
        <v>1</v>
      </c>
      <c r="FU56" s="8">
        <f>COUNTIFS('Raw data'!$D:$D,"*Sebastian Bixby-Gutierrez*", 'Raw data'!$H:$H,"*1v1 Attack*",'Raw data'!$H:$H,"*1v1 Attack*",'Raw data'!$M:$M,"*Kept Possession*")</f>
        <v>1</v>
      </c>
      <c r="FV56" s="8">
        <f>COUNTIFS('Raw data'!$D:$D,"*Sebastian Bixby-Gutierrez*", 'Raw data'!$H:$H,"*1v1 Attack*",'Raw data'!$H:$H,"*1v1 Attack*",'Raw data'!$M:$M,"*Lost Possession*")</f>
        <v>0</v>
      </c>
      <c r="FW56" s="54">
        <f t="shared" si="198"/>
        <v>1</v>
      </c>
      <c r="FX56" s="54">
        <f t="shared" si="199"/>
        <v>0</v>
      </c>
      <c r="FY56" s="8">
        <f>COUNTIFS('Raw data'!$D:$D,"*Sebastian Bixby-Gutierrez*", 'Raw data'!$I:$I,"*Cross*")</f>
        <v>3</v>
      </c>
      <c r="FZ56" s="8">
        <f>COUNTIFS('Raw data'!$D:$D,"*Sebastian Bixby-Gutierrez*", 'Raw data'!$I:$I,"*Cross*",'Raw data'!$M:$M,"*Pass Completed*")</f>
        <v>2</v>
      </c>
      <c r="GA56" s="8">
        <f>COUNTIFS('Raw data'!$D:$D,"*Sebastian Bixby-Gutierrez*", 'Raw data'!$I:$I,"*Cross*",'Raw data'!$M:$M,"*Pass Uncompleted*")</f>
        <v>1</v>
      </c>
      <c r="GB56" s="54">
        <f t="shared" si="200"/>
        <v>0.66666666666666663</v>
      </c>
      <c r="GC56" s="54">
        <f t="shared" si="201"/>
        <v>0.33333333333333331</v>
      </c>
      <c r="GD56" s="8">
        <f t="shared" si="202"/>
        <v>0</v>
      </c>
      <c r="GE56" s="8">
        <f>COUNTIFS('Raw data'!$D:$D,"*Sebastian Bixby-Gutierrez*", 'Raw data'!$L:$L,"*On Target*")</f>
        <v>0</v>
      </c>
      <c r="GF56" s="8">
        <f>COUNTIFS('Raw data'!$D:$D,"*Sebastian Bixby-Gutierrez*", 'Raw data'!$L:$L,"*Off Target*")</f>
        <v>0</v>
      </c>
      <c r="GG56" s="8">
        <f>COUNTIFS('Raw data'!$D:$D,"*Sebastian Bixby-Gutierrez*", 'Raw data'!$L:$L,"*Blocked*")</f>
        <v>0</v>
      </c>
      <c r="GH56" s="8">
        <f>COUNTIFS('Raw data'!$D:$D,"*Sebastian Bixby-Gutierrez*", 'Raw data'!$M:$M,"*Goal*")</f>
        <v>0</v>
      </c>
      <c r="GI56" s="8">
        <f>COUNTIFS('Raw data'!$D:$D,"*Sebastian Bixby-Gutierrez*", 'Raw data'!$M:$M,"*Assist*")</f>
        <v>1</v>
      </c>
      <c r="GJ56" s="8">
        <f>COUNTIFS('Raw data'!$D:$D,"*Sebastian Bixby-Gutierrez*", 'Raw data'!$H:$H,"*Offensive duel*")</f>
        <v>2</v>
      </c>
      <c r="GK56" s="8">
        <f>COUNTIFS('Raw data'!$D:$D,"*Sebastian Bixby-Gutierrez*", 'Raw data'!$H:$H,"*Offensive Duel*",'Raw data'!$H:$H,"*Offensive Duel*",'Raw data'!$M:$M,"*Kept Possession*")</f>
        <v>2</v>
      </c>
      <c r="GL56" s="8">
        <f>COUNTIFS('Raw data'!$D:$D,"*Sebastian Bixby-Gutierrez*", 'Raw data'!$H:$H,"*Offensive Duel*",'Raw data'!$H:$H,"*Offensive Duel*",'Raw data'!$M:$M,"*Lost Possession*")</f>
        <v>0</v>
      </c>
      <c r="GM56" s="54">
        <f t="shared" si="203"/>
        <v>1</v>
      </c>
      <c r="GN56" s="54">
        <f t="shared" si="204"/>
        <v>0</v>
      </c>
      <c r="GO56" s="8">
        <f>COUNTIFS('Raw data'!$D:$D,"*Sebastian Bixby-Gutierrez*", 'Raw data'!$H:$H,"*Acceleration*")</f>
        <v>1</v>
      </c>
      <c r="GP56" s="8">
        <f>COUNTIFS('Raw data'!$D:$D,"*Sebastian Bixby-Gutierrez*", 'Raw data'!$H:$H,"*Move into Pocket*")</f>
        <v>1</v>
      </c>
      <c r="GQ56" s="8">
        <f>COUNTIFS('Raw data'!$D:$D,"*Sebastian Bixby-Gutierrez*", 'Raw data'!$H:$H,"*Wide area*")</f>
        <v>1</v>
      </c>
      <c r="GR56" s="8">
        <f>COUNTIFS('Raw data'!$D:$D,"*Sebastian Bixby-Gutierrez*", 'Raw data'!$H:$H,"*Back to goal*")</f>
        <v>0</v>
      </c>
      <c r="GS56" s="8">
        <f>COUNTIFS('Raw data'!$D:$D,"*Sebastian Bixby-Gutierrez*", 'Raw data'!$H:$H,"*Over/Underlaps*")</f>
        <v>0</v>
      </c>
      <c r="GT56" s="8">
        <f>COUNTIFS('Raw data'!$D:$D,"*Sebastian Bixby-Gutierrez*", 'Raw data'!$H:$H,"*Runs in Behind*")</f>
        <v>1</v>
      </c>
      <c r="GU56" s="8">
        <f>COUNTIFS('Raw data'!$D:$D,"*Sebastian Bixby-Gutierrez*", 'Raw data'!$H:$H,"*Half-space Runs*")</f>
        <v>0</v>
      </c>
      <c r="GV56" s="8">
        <f t="shared" si="205"/>
        <v>3</v>
      </c>
      <c r="GW56" s="8">
        <f t="shared" si="206"/>
        <v>2</v>
      </c>
      <c r="GX56" s="8">
        <f t="shared" si="207"/>
        <v>1</v>
      </c>
      <c r="GY56" s="54">
        <f t="shared" si="208"/>
        <v>0.66666666666666663</v>
      </c>
      <c r="GZ56" s="54">
        <f t="shared" si="209"/>
        <v>0.33333333333333331</v>
      </c>
      <c r="HA56" s="8">
        <f>COUNTIFS('Raw data'!$D:$D,"*Sebastian Bixby-Gutierrez*", 'Raw data'!$K:$K,"*Ground duel*")</f>
        <v>0</v>
      </c>
      <c r="HB56" s="8">
        <f>COUNTIFS('Raw data'!$D:$D,"*Sebastian Bixby-Gutierrez*", 'Raw data'!$K:$K,"*Ground duel*",'Raw data'!$M:$M,"*Duel Succeeded*")</f>
        <v>0</v>
      </c>
      <c r="HC56" s="8">
        <f>COUNTIFS('Raw data'!$D:$D,"*Sebastian Bixby-Gutierrez*", 'Raw data'!$K:$K,"*Ground duel*",'Raw data'!$M:$M,"*Duel Unsucceeded*")</f>
        <v>0</v>
      </c>
      <c r="HD56" s="54" t="str">
        <f t="shared" si="210"/>
        <v>-</v>
      </c>
      <c r="HE56" s="54" t="str">
        <f t="shared" si="211"/>
        <v>-</v>
      </c>
      <c r="HF56" s="8">
        <f>COUNTIFS('Raw data'!$D:$D,"*Sebastian Bixby-Gutierrez*", 'Raw data'!$K:$K,"*Aerial duel*")</f>
        <v>1</v>
      </c>
      <c r="HG56" s="8">
        <f>COUNTIFS('Raw data'!$D:$D,"*Sebastian Bixby-Gutierrez*", 'Raw data'!$K:$K,"*Aerial duel*",'Raw data'!$M:$M,"*Duel Succeeded*")</f>
        <v>0</v>
      </c>
      <c r="HH56" s="8">
        <f>COUNTIFS('Raw data'!$D:$D,"*Sebastian Bixby-Gutierrez*", 'Raw data'!$K:$K,"*Aerial duel*",'Raw data'!$M:$M,"*Duel Unsucceeded*")</f>
        <v>1</v>
      </c>
      <c r="HI56" s="54" t="str">
        <f t="shared" si="212"/>
        <v>-</v>
      </c>
      <c r="HJ56" s="54" t="str">
        <f t="shared" si="213"/>
        <v>-</v>
      </c>
      <c r="HK56" s="8">
        <f>COUNTIFS('Raw data'!$D:$D,"*Sebastian Bixby-Gutierrez*", 'Raw data'!$K:$K,"*1v1 defense*")</f>
        <v>0</v>
      </c>
      <c r="HL56" s="8">
        <f>COUNTIFS('Raw data'!$D:$D,"*Sebastian Bixby-Gutierrez*", 'Raw data'!$K:$K,"*1v1 defense*",'Raw data'!$M:$M,"*Duel Succeeded*")</f>
        <v>0</v>
      </c>
      <c r="HM56" s="8">
        <f>COUNTIFS('Raw data'!$D:$D,"*Sebastian Bixby-Gutierrez*", 'Raw data'!$K:$K,"*1v1 defense*",'Raw data'!$M:$M,"*Duel Unsucceeded*")</f>
        <v>0</v>
      </c>
      <c r="HN56" s="54" t="str">
        <f t="shared" si="214"/>
        <v>-</v>
      </c>
      <c r="HO56" s="54" t="str">
        <f t="shared" si="215"/>
        <v>-</v>
      </c>
      <c r="HP56" s="8">
        <f>COUNTIFS('Raw data'!$D:$D,"*Sebastian Bixby-Gutierrez*", 'Raw data'!$J:$J,"*Tackles*")</f>
        <v>0</v>
      </c>
      <c r="HQ56" s="8">
        <f>COUNTIFS('Raw data'!$D:$D,"*Sebastian Bixby-Gutierrez*", 'Raw data'!$J:$J,"*Tackles*", 'Raw data'!$M:$M,"*Duel Succeeded*")</f>
        <v>0</v>
      </c>
      <c r="HR56" s="8">
        <f>COUNTIFS('Raw data'!$D:$D,"*Sebastian Bixby-Gutierrez*", 'Raw data'!$J:$J,"*Tackles*", 'Raw data'!$M:$M,"*Duel Unsucceeded*")</f>
        <v>0</v>
      </c>
      <c r="HS56" s="54" t="str">
        <f t="shared" si="216"/>
        <v>-</v>
      </c>
      <c r="HT56" s="54" t="str">
        <f t="shared" si="217"/>
        <v>-</v>
      </c>
      <c r="HU56" s="8">
        <f>COUNTIFS('Raw data'!$D:$D,"*Sebastian Bixby-Gutierrez*", 'Raw data'!$K:$K,"*2nd Balls*")</f>
        <v>0</v>
      </c>
      <c r="HV56" s="8">
        <f>COUNTIFS('Raw data'!$D:$D,"*Sebastian Bixby-Gutierrez*", 'Raw data'!$K:$K,"*2nd Balls*", 'Raw data'!$M:$M,"*Duel Succeeded*")</f>
        <v>0</v>
      </c>
      <c r="HW56" s="8">
        <f>COUNTIFS('Raw data'!$D:$D,"*Sebastian Bixby-Gutierrez*", 'Raw data'!$K:$K,"*2nd Balls*", 'Raw data'!$M:$M,"*Duel Unsucceeded*")</f>
        <v>0</v>
      </c>
      <c r="HX56" s="54" t="str">
        <f t="shared" si="218"/>
        <v>-</v>
      </c>
      <c r="HY56" s="54" t="str">
        <f t="shared" si="219"/>
        <v>-</v>
      </c>
      <c r="HZ56" s="8">
        <f>COUNTIFS('Raw data'!$D:$D,"*Sebastian Bixby-Gutierrez*", 'Raw data'!$J:$J,"*Clearance*")</f>
        <v>1</v>
      </c>
      <c r="IA56" s="8">
        <f>COUNTIFS('Raw data'!$D:$D,"*Sebastian Bixby-Gutierrez*", 'Raw data'!$J:$J,"*Interception*")</f>
        <v>0</v>
      </c>
      <c r="IB56" s="8">
        <f>COUNTIFS('Raw data'!$D:$D,"*Sebastian Bixby-Gutierrez*", 'Raw data'!$J:$J,"*Turnover Won*")</f>
        <v>0</v>
      </c>
      <c r="IC56" s="8">
        <f>COUNTIFS('Raw data'!$D:$D,"*Sebastian Bixby-Gutierrez*", 'Raw data'!$J:$J,"*Recovery*")</f>
        <v>1</v>
      </c>
      <c r="ID56" s="8">
        <f>COUNTIFS('Raw data'!$D:$D,"*Sebastian Bixby-Gutierrez*", 'Raw data'!$J:$J,"*Blocked Shots*")</f>
        <v>0</v>
      </c>
      <c r="IE56" s="8">
        <f>COUNTIFS('Raw data'!$D:$D,"*Sebastian Bixby-Gutierrez*", 'Raw data'!$J:$J,"*Man-marking*")</f>
        <v>0</v>
      </c>
      <c r="IF56" s="8">
        <f>COUNTIFS('Raw data'!$D:$D,"*Sebastian Bixby-Gutierrez*", 'Raw data'!$J:$J,"*Fouls*")</f>
        <v>0</v>
      </c>
      <c r="IG56" s="8">
        <f>COUNTIFS('Raw data'!$D:$D,"*Sebastian Bixby-Gutierrez*", 'Raw data'!$J:$J,"*Won F*")</f>
        <v>0</v>
      </c>
      <c r="IH56" s="8">
        <f>COUNTIFS('Raw data'!$D:$D,"*Sebastian Bixby-Gutierrez*", 'Raw data'!$G:$G,"*1v1*")</f>
        <v>0</v>
      </c>
      <c r="II56" s="8">
        <f>COUNTIFS('Raw data'!$D:$D,"*Sebastian Bixby-Gutierrez*", 'Raw data'!$G:$G,"*On Target*")</f>
        <v>0</v>
      </c>
      <c r="IJ56" s="8">
        <f>COUNTIFS('Raw data'!$D:$D,"*Sebastian Bixby-Gutierrez*", 'Raw data'!$G:$G,"*Off Target*")</f>
        <v>0</v>
      </c>
      <c r="IK56" s="8">
        <f>COUNTIFS('Raw data'!$D:$D,"*Sebastian Bixby-Gutierrez*", 'Raw data'!$G:$G,"*Defend the Space*")</f>
        <v>0</v>
      </c>
      <c r="IL56" s="8">
        <f>COUNTIFS('Raw data'!$D:$D,"*Sebastian Bixby-Gutierrez*", 'Raw data'!$G:$G,"*Conceded*")</f>
        <v>0</v>
      </c>
      <c r="IM56" s="8">
        <f>COUNTIFS('Raw data'!$D:$D,"*Sebastian Bixby-Gutierrez*", 'Raw data'!$G:$G,"*Save*")</f>
        <v>0</v>
      </c>
      <c r="IN56" s="8">
        <f>COUNTIFS('Raw data'!$D:$D,"*Sebastian Bixby-Gutierrez*", 'Raw data'!$G:$G,"*Defend the line (Cross)*")</f>
        <v>0</v>
      </c>
      <c r="IO56" s="8">
        <f>COUNTIFS('Raw data'!$D:$D,"*Sebastian Bixby-Gutierrez*", 'Raw data'!$G:$G,"*Counter Kick*")</f>
        <v>0</v>
      </c>
      <c r="IP56" t="s">
        <v>764</v>
      </c>
    </row>
    <row r="57" spans="127:250">
      <c r="ED57" s="54"/>
      <c r="EE57" s="54"/>
      <c r="EI57" s="54"/>
      <c r="EJ57" s="54"/>
      <c r="EK57" s="8"/>
      <c r="EL57" s="8"/>
      <c r="EM57" s="8"/>
      <c r="EN57" s="54"/>
      <c r="EO57" s="54"/>
      <c r="EP57" s="8"/>
      <c r="EQ57" s="8"/>
      <c r="ER57" s="8"/>
      <c r="ES57" s="54"/>
      <c r="ET57" s="54"/>
      <c r="EU57" s="8"/>
      <c r="EV57" s="8"/>
      <c r="EW57" s="8"/>
      <c r="EX57" s="54"/>
      <c r="EY57" s="54"/>
      <c r="EZ57" s="8"/>
      <c r="FA57" s="8"/>
      <c r="FB57" s="8"/>
      <c r="FC57" s="54"/>
      <c r="FD57" s="54"/>
      <c r="FE57" s="8"/>
      <c r="FF57" s="8"/>
      <c r="FG57" s="8"/>
      <c r="FH57" s="8"/>
      <c r="FI57" s="54"/>
      <c r="FJ57" s="54"/>
      <c r="FK57" s="54"/>
      <c r="FL57" s="54"/>
      <c r="FM57" s="54"/>
      <c r="FN57" s="8"/>
      <c r="FO57" s="8"/>
      <c r="FP57" s="8"/>
      <c r="FQ57" s="8"/>
      <c r="FR57" s="8"/>
      <c r="FS57" s="8"/>
      <c r="FT57" s="8"/>
      <c r="FU57" s="8"/>
      <c r="FV57" s="8"/>
      <c r="FW57" s="54"/>
      <c r="FX57" s="54"/>
      <c r="FY57" s="8"/>
      <c r="FZ57" s="8"/>
      <c r="GA57" s="8"/>
      <c r="GB57" s="54"/>
      <c r="GC57" s="54"/>
      <c r="GD57" s="8"/>
      <c r="GE57" s="8"/>
      <c r="GF57" s="8"/>
      <c r="GG57" s="8"/>
      <c r="GH57" s="8"/>
      <c r="GI57" s="8"/>
      <c r="GJ57" s="8"/>
      <c r="GK57" s="8"/>
      <c r="GL57" s="8"/>
      <c r="GM57" s="54"/>
      <c r="GN57" s="54"/>
      <c r="GO57" s="8"/>
      <c r="GP57" s="54"/>
      <c r="GQ57" s="54"/>
      <c r="GR57" s="54"/>
      <c r="GS57" s="54"/>
      <c r="GT57" s="54"/>
      <c r="GU57" s="54"/>
      <c r="GV57" s="8"/>
      <c r="GW57" s="8"/>
      <c r="GX57" s="8"/>
      <c r="GY57" s="54"/>
      <c r="GZ57" s="54"/>
      <c r="HA57" s="8"/>
      <c r="HB57" s="8"/>
      <c r="HC57" s="8"/>
      <c r="HD57" s="54"/>
      <c r="HE57" s="54"/>
      <c r="HF57" s="8"/>
      <c r="HG57" s="8"/>
      <c r="HH57" s="8"/>
      <c r="HI57" s="54"/>
      <c r="HJ57" s="54"/>
      <c r="HK57" s="8"/>
      <c r="HL57" s="8"/>
      <c r="HM57" s="8"/>
      <c r="HN57" s="54"/>
      <c r="HO57" s="54"/>
      <c r="HP57" s="8"/>
      <c r="HQ57" s="8"/>
      <c r="HR57" s="8"/>
      <c r="HS57" s="54"/>
      <c r="HT57" s="54"/>
      <c r="HU57" s="8"/>
      <c r="HV57" s="8"/>
      <c r="HW57" s="8"/>
      <c r="HX57" s="54"/>
      <c r="HY57" s="54"/>
      <c r="HZ57" s="8"/>
      <c r="IA57" s="8"/>
      <c r="IB57" s="8"/>
      <c r="IC57" s="8"/>
      <c r="ID57" s="8"/>
      <c r="IE57" s="8"/>
      <c r="IF57" s="8"/>
      <c r="IG57" s="8"/>
      <c r="IH57" s="8"/>
      <c r="II57" s="8"/>
      <c r="IJ57" s="8"/>
      <c r="IK57" s="8"/>
      <c r="IL57" s="8"/>
      <c r="IM57" s="8"/>
    </row>
    <row r="58" spans="127:250">
      <c r="ED58" s="59"/>
      <c r="EE58" s="59"/>
      <c r="EI58" s="59"/>
      <c r="EJ58" s="59"/>
      <c r="EK58" s="8"/>
      <c r="EL58" s="8"/>
      <c r="EM58" s="8"/>
      <c r="EN58" s="59"/>
      <c r="EO58" s="59"/>
      <c r="EP58" s="8"/>
      <c r="EQ58" s="8"/>
      <c r="ER58" s="8"/>
      <c r="ES58" s="59"/>
      <c r="ET58" s="59"/>
      <c r="EU58" s="8"/>
      <c r="EV58" s="8"/>
      <c r="EW58" s="8"/>
      <c r="EX58" s="59"/>
      <c r="EY58" s="59"/>
      <c r="EZ58" s="8"/>
      <c r="FA58" s="8"/>
      <c r="FB58" s="8"/>
      <c r="FC58" s="59"/>
      <c r="FD58" s="59"/>
      <c r="FE58" s="8"/>
      <c r="FF58" s="8"/>
      <c r="FG58" s="8"/>
      <c r="FH58" s="8"/>
      <c r="FI58" s="59"/>
      <c r="FJ58" s="59"/>
      <c r="FK58" s="59"/>
      <c r="FL58" s="59"/>
      <c r="FM58" s="59"/>
      <c r="FN58" s="8"/>
      <c r="FO58" s="8"/>
      <c r="FP58" s="8"/>
      <c r="FQ58" s="8"/>
      <c r="FR58" s="8"/>
      <c r="FS58" s="8"/>
      <c r="FT58" s="8"/>
      <c r="FU58" s="8"/>
      <c r="FV58" s="8"/>
      <c r="FW58" s="59"/>
      <c r="FX58" s="59"/>
      <c r="FY58" s="8"/>
      <c r="FZ58" s="8"/>
      <c r="GA58" s="8"/>
      <c r="GB58" s="59"/>
      <c r="GC58" s="59"/>
      <c r="GD58" s="8"/>
      <c r="GE58" s="8"/>
      <c r="GF58" s="8"/>
      <c r="GG58" s="8"/>
      <c r="GH58" s="8"/>
      <c r="GI58" s="8"/>
      <c r="GJ58" s="8"/>
      <c r="GK58" s="8"/>
      <c r="GL58" s="8"/>
      <c r="GM58" s="59"/>
      <c r="GN58" s="59"/>
      <c r="GO58" s="8"/>
      <c r="GP58" s="59"/>
      <c r="GQ58" s="59"/>
      <c r="GR58" s="59"/>
      <c r="GS58" s="59"/>
      <c r="GT58" s="59"/>
      <c r="GU58" s="59"/>
      <c r="GV58" s="8"/>
      <c r="GW58" s="8"/>
      <c r="GX58" s="8"/>
      <c r="GY58" s="59"/>
      <c r="GZ58" s="59"/>
      <c r="HA58" s="8"/>
      <c r="HB58" s="8"/>
      <c r="HC58" s="8"/>
      <c r="HD58" s="59"/>
      <c r="HE58" s="59"/>
      <c r="HF58" s="8"/>
      <c r="HG58" s="8"/>
      <c r="HH58" s="8"/>
      <c r="HI58" s="59"/>
      <c r="HJ58" s="59"/>
      <c r="HK58" s="8"/>
      <c r="HL58" s="8"/>
      <c r="HM58" s="8"/>
      <c r="HN58" s="59"/>
      <c r="HO58" s="59"/>
      <c r="HP58" s="8"/>
      <c r="HQ58" s="8"/>
      <c r="HR58" s="8"/>
      <c r="HS58" s="59"/>
      <c r="HT58" s="59"/>
      <c r="HU58" s="8"/>
      <c r="HV58" s="8"/>
      <c r="HW58" s="8"/>
      <c r="HX58" s="59"/>
      <c r="HY58" s="59"/>
      <c r="HZ58" s="8"/>
      <c r="IA58" s="8"/>
      <c r="IB58" s="8"/>
      <c r="IC58" s="8"/>
      <c r="ID58" s="8"/>
      <c r="IE58" s="8"/>
      <c r="IF58" s="8"/>
      <c r="IG58" s="8"/>
      <c r="IH58" s="8"/>
      <c r="II58" s="8"/>
      <c r="IJ58" s="8"/>
      <c r="IK58" s="8"/>
      <c r="IL58" s="8"/>
      <c r="IM58" s="8"/>
    </row>
  </sheetData>
  <phoneticPr fontId="3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CC1E4-27BA-6C44-AC02-51AC5E55817E}">
  <dimension ref="A1:CF23"/>
  <sheetViews>
    <sheetView workbookViewId="0">
      <selection activeCell="E6" sqref="E6"/>
    </sheetView>
  </sheetViews>
  <sheetFormatPr baseColWidth="10" defaultRowHeight="16"/>
  <cols>
    <col min="1" max="1" width="22.5" bestFit="1" customWidth="1"/>
    <col min="2" max="2" width="18.33203125" bestFit="1" customWidth="1"/>
    <col min="3" max="3" width="25.5" bestFit="1" customWidth="1"/>
    <col min="4" max="4" width="30.83203125" bestFit="1" customWidth="1"/>
    <col min="5" max="5" width="29.6640625" bestFit="1" customWidth="1"/>
    <col min="6" max="6" width="24.33203125" bestFit="1" customWidth="1"/>
    <col min="7" max="7" width="22.33203125" bestFit="1" customWidth="1"/>
    <col min="8" max="8" width="21" bestFit="1" customWidth="1"/>
    <col min="9" max="9" width="20" bestFit="1" customWidth="1"/>
    <col min="10" max="10" width="22.1640625" bestFit="1" customWidth="1"/>
    <col min="11" max="11" width="24.6640625" bestFit="1" customWidth="1"/>
    <col min="12" max="13" width="23.83203125" bestFit="1" customWidth="1"/>
    <col min="14" max="14" width="20.33203125" bestFit="1" customWidth="1"/>
    <col min="15" max="15" width="11" bestFit="1" customWidth="1"/>
    <col min="16" max="16" width="19.83203125" bestFit="1" customWidth="1"/>
    <col min="17" max="17" width="18" bestFit="1" customWidth="1"/>
    <col min="18" max="18" width="26.6640625" bestFit="1" customWidth="1"/>
    <col min="19" max="19" width="22.83203125" bestFit="1" customWidth="1"/>
    <col min="20" max="20" width="18.33203125" bestFit="1" customWidth="1"/>
    <col min="21" max="21" width="17.83203125" bestFit="1" customWidth="1"/>
    <col min="22" max="22" width="12.83203125" bestFit="1" customWidth="1"/>
    <col min="23" max="23" width="11.6640625" bestFit="1" customWidth="1"/>
    <col min="24" max="24" width="15.6640625" bestFit="1" customWidth="1"/>
    <col min="25" max="25" width="24.83203125" bestFit="1" customWidth="1"/>
    <col min="26" max="26" width="19" bestFit="1" customWidth="1"/>
    <col min="27" max="27" width="14.6640625" bestFit="1" customWidth="1"/>
    <col min="28" max="28" width="17.33203125" bestFit="1" customWidth="1"/>
    <col min="29" max="29" width="15.6640625" bestFit="1" customWidth="1"/>
    <col min="30" max="30" width="25.6640625" bestFit="1" customWidth="1"/>
    <col min="31" max="31" width="23.5" bestFit="1" customWidth="1"/>
    <col min="32" max="32" width="18.1640625" bestFit="1" customWidth="1"/>
    <col min="33" max="33" width="25.5" bestFit="1" customWidth="1"/>
    <col min="34" max="34" width="23.33203125" bestFit="1" customWidth="1"/>
    <col min="35" max="35" width="18" bestFit="1" customWidth="1"/>
    <col min="36" max="36" width="29.5" bestFit="1" customWidth="1"/>
    <col min="37" max="37" width="27.33203125" bestFit="1" customWidth="1"/>
    <col min="38" max="38" width="22" bestFit="1" customWidth="1"/>
    <col min="39" max="39" width="28.33203125" bestFit="1" customWidth="1"/>
    <col min="40" max="40" width="25" bestFit="1" customWidth="1"/>
    <col min="41" max="41" width="20.6640625" bestFit="1" customWidth="1"/>
    <col min="42" max="42" width="31.5" bestFit="1" customWidth="1"/>
    <col min="43" max="43" width="29.33203125" bestFit="1" customWidth="1"/>
    <col min="44" max="44" width="24" bestFit="1" customWidth="1"/>
    <col min="45" max="45" width="12.5" bestFit="1" customWidth="1"/>
    <col min="46" max="46" width="11" bestFit="1" customWidth="1"/>
    <col min="47" max="47" width="13.83203125" bestFit="1" customWidth="1"/>
    <col min="48" max="48" width="15" bestFit="1" customWidth="1"/>
    <col min="49" max="49" width="15.33203125" bestFit="1" customWidth="1"/>
    <col min="50" max="50" width="16.33203125" bestFit="1" customWidth="1"/>
    <col min="51" max="51" width="23.83203125" bestFit="1" customWidth="1"/>
    <col min="52" max="52" width="22" bestFit="1" customWidth="1"/>
    <col min="53" max="53" width="16.6640625" bestFit="1" customWidth="1"/>
    <col min="54" max="54" width="22" bestFit="1" customWidth="1"/>
    <col min="55" max="55" width="19.6640625" bestFit="1" customWidth="1"/>
    <col min="56" max="56" width="14.33203125" bestFit="1" customWidth="1"/>
    <col min="57" max="57" width="22.5" bestFit="1" customWidth="1"/>
    <col min="58" max="58" width="23.5" bestFit="1" customWidth="1"/>
    <col min="59" max="59" width="25.33203125" bestFit="1" customWidth="1"/>
    <col min="60" max="60" width="23.83203125" bestFit="1" customWidth="1"/>
    <col min="61" max="61" width="14.33203125" bestFit="1" customWidth="1"/>
    <col min="62" max="62" width="14.5" bestFit="1" customWidth="1"/>
    <col min="63" max="63" width="33" bestFit="1" customWidth="1"/>
    <col min="64" max="64" width="31" bestFit="1" customWidth="1"/>
    <col min="65" max="65" width="25.6640625" bestFit="1" customWidth="1"/>
    <col min="66" max="66" width="24.83203125" bestFit="1" customWidth="1"/>
    <col min="67" max="67" width="31" bestFit="1" customWidth="1"/>
    <col min="68" max="68" width="29.1640625" bestFit="1" customWidth="1"/>
    <col min="69" max="69" width="23.83203125" bestFit="1" customWidth="1"/>
    <col min="70" max="70" width="29.5" bestFit="1" customWidth="1"/>
    <col min="71" max="71" width="27.6640625" bestFit="1" customWidth="1"/>
    <col min="72" max="72" width="22.33203125" bestFit="1" customWidth="1"/>
    <col min="73" max="73" width="33.83203125" bestFit="1" customWidth="1"/>
    <col min="74" max="74" width="32" bestFit="1" customWidth="1"/>
    <col min="75" max="75" width="26.6640625" bestFit="1" customWidth="1"/>
    <col min="76" max="76" width="31.33203125" bestFit="1" customWidth="1"/>
    <col min="77" max="77" width="29.5" bestFit="1" customWidth="1"/>
    <col min="78" max="78" width="24.1640625" bestFit="1" customWidth="1"/>
    <col min="79" max="79" width="32.33203125" bestFit="1" customWidth="1"/>
    <col min="80" max="80" width="30.33203125" bestFit="1" customWidth="1"/>
    <col min="81" max="82" width="25" bestFit="1" customWidth="1"/>
    <col min="83" max="83" width="23.1640625" bestFit="1" customWidth="1"/>
    <col min="84" max="84" width="17.83203125" bestFit="1" customWidth="1"/>
    <col min="85" max="86" width="25" bestFit="1" customWidth="1"/>
    <col min="87" max="87" width="23.1640625" bestFit="1" customWidth="1"/>
    <col min="88" max="88" width="17.83203125" bestFit="1" customWidth="1"/>
  </cols>
  <sheetData>
    <row r="1" spans="1:84">
      <c r="A1" s="3" t="s">
        <v>151</v>
      </c>
      <c r="B1" t="s">
        <v>149</v>
      </c>
    </row>
    <row r="2" spans="1:84">
      <c r="A2" s="3" t="s">
        <v>542</v>
      </c>
      <c r="B2" t="s">
        <v>149</v>
      </c>
    </row>
    <row r="3" spans="1:84">
      <c r="A3" s="3" t="s">
        <v>465</v>
      </c>
      <c r="B3" t="s">
        <v>501</v>
      </c>
    </row>
    <row r="4" spans="1:84">
      <c r="A4" s="3" t="s">
        <v>414</v>
      </c>
      <c r="B4" t="s">
        <v>149</v>
      </c>
    </row>
    <row r="6" spans="1:84">
      <c r="B6" t="s">
        <v>672</v>
      </c>
      <c r="C6" t="s">
        <v>671</v>
      </c>
      <c r="D6" t="s">
        <v>585</v>
      </c>
      <c r="E6" t="s">
        <v>586</v>
      </c>
      <c r="F6" t="s">
        <v>587</v>
      </c>
      <c r="G6" t="s">
        <v>588</v>
      </c>
      <c r="H6" t="s">
        <v>589</v>
      </c>
      <c r="I6" t="s">
        <v>590</v>
      </c>
      <c r="J6" t="s">
        <v>591</v>
      </c>
      <c r="K6" t="s">
        <v>592</v>
      </c>
      <c r="L6" t="s">
        <v>593</v>
      </c>
      <c r="M6" t="s">
        <v>572</v>
      </c>
      <c r="N6" t="s">
        <v>573</v>
      </c>
      <c r="O6" t="s">
        <v>413</v>
      </c>
      <c r="P6" t="s">
        <v>412</v>
      </c>
      <c r="Q6" t="s">
        <v>574</v>
      </c>
      <c r="R6" t="s">
        <v>575</v>
      </c>
      <c r="S6" t="s">
        <v>411</v>
      </c>
      <c r="T6" t="s">
        <v>410</v>
      </c>
      <c r="U6" t="s">
        <v>409</v>
      </c>
      <c r="V6" t="s">
        <v>408</v>
      </c>
      <c r="W6" t="s">
        <v>407</v>
      </c>
      <c r="X6" t="s">
        <v>406</v>
      </c>
      <c r="Y6" t="s">
        <v>405</v>
      </c>
      <c r="Z6" t="s">
        <v>404</v>
      </c>
      <c r="AA6" t="s">
        <v>146</v>
      </c>
      <c r="AB6" t="s">
        <v>143</v>
      </c>
      <c r="AC6" t="s">
        <v>142</v>
      </c>
      <c r="AD6" t="s">
        <v>403</v>
      </c>
      <c r="AE6" t="s">
        <v>402</v>
      </c>
      <c r="AF6" t="s">
        <v>401</v>
      </c>
      <c r="AG6" t="s">
        <v>400</v>
      </c>
      <c r="AH6" t="s">
        <v>399</v>
      </c>
      <c r="AI6" t="s">
        <v>398</v>
      </c>
      <c r="AJ6" t="s">
        <v>397</v>
      </c>
      <c r="AK6" t="s">
        <v>396</v>
      </c>
      <c r="AL6" t="s">
        <v>395</v>
      </c>
      <c r="AM6" t="s">
        <v>394</v>
      </c>
      <c r="AN6" t="s">
        <v>393</v>
      </c>
      <c r="AO6" t="s">
        <v>392</v>
      </c>
      <c r="AP6" t="s">
        <v>391</v>
      </c>
      <c r="AQ6" t="s">
        <v>390</v>
      </c>
      <c r="AR6" t="s">
        <v>389</v>
      </c>
      <c r="AS6" t="s">
        <v>148</v>
      </c>
      <c r="AT6" t="s">
        <v>147</v>
      </c>
      <c r="AU6" t="s">
        <v>141</v>
      </c>
      <c r="AV6" t="s">
        <v>388</v>
      </c>
      <c r="AW6" t="s">
        <v>387</v>
      </c>
      <c r="AX6" t="s">
        <v>386</v>
      </c>
      <c r="AY6" t="s">
        <v>385</v>
      </c>
      <c r="AZ6" t="s">
        <v>384</v>
      </c>
      <c r="BA6" t="s">
        <v>383</v>
      </c>
      <c r="BB6" t="s">
        <v>584</v>
      </c>
      <c r="BC6" t="s">
        <v>583</v>
      </c>
      <c r="BD6" t="s">
        <v>382</v>
      </c>
      <c r="BE6" t="s">
        <v>381</v>
      </c>
      <c r="BF6" t="s">
        <v>380</v>
      </c>
      <c r="BG6" t="s">
        <v>379</v>
      </c>
      <c r="BH6" t="s">
        <v>378</v>
      </c>
      <c r="BI6" t="s">
        <v>377</v>
      </c>
      <c r="BJ6" t="s">
        <v>376</v>
      </c>
      <c r="BK6" t="s">
        <v>375</v>
      </c>
      <c r="BL6" t="s">
        <v>374</v>
      </c>
      <c r="BM6" t="s">
        <v>373</v>
      </c>
      <c r="BN6" t="s">
        <v>372</v>
      </c>
      <c r="BO6" t="s">
        <v>371</v>
      </c>
      <c r="BP6" t="s">
        <v>370</v>
      </c>
      <c r="BQ6" t="s">
        <v>369</v>
      </c>
      <c r="BR6" t="s">
        <v>368</v>
      </c>
      <c r="BS6" t="s">
        <v>367</v>
      </c>
      <c r="BT6" t="s">
        <v>366</v>
      </c>
      <c r="BU6" t="s">
        <v>365</v>
      </c>
      <c r="BV6" t="s">
        <v>364</v>
      </c>
      <c r="BW6" t="s">
        <v>363</v>
      </c>
      <c r="BX6" t="s">
        <v>362</v>
      </c>
      <c r="BY6" t="s">
        <v>361</v>
      </c>
      <c r="BZ6" t="s">
        <v>360</v>
      </c>
      <c r="CA6" t="s">
        <v>359</v>
      </c>
      <c r="CB6" t="s">
        <v>358</v>
      </c>
      <c r="CC6" t="s">
        <v>357</v>
      </c>
      <c r="CD6" t="s">
        <v>356</v>
      </c>
      <c r="CE6" t="s">
        <v>355</v>
      </c>
      <c r="CF6" t="s">
        <v>354</v>
      </c>
    </row>
    <row r="7" spans="1:84">
      <c r="A7" s="4" t="s">
        <v>642</v>
      </c>
      <c r="B7">
        <v>0</v>
      </c>
      <c r="C7">
        <v>0</v>
      </c>
      <c r="D7">
        <v>0</v>
      </c>
      <c r="E7">
        <v>0</v>
      </c>
      <c r="F7">
        <v>0</v>
      </c>
      <c r="G7">
        <v>1</v>
      </c>
      <c r="H7">
        <v>0</v>
      </c>
      <c r="I7">
        <v>0</v>
      </c>
      <c r="J7">
        <v>0</v>
      </c>
      <c r="K7">
        <v>0</v>
      </c>
      <c r="L7">
        <v>0</v>
      </c>
      <c r="M7">
        <v>30</v>
      </c>
      <c r="N7">
        <v>40</v>
      </c>
      <c r="O7" s="8">
        <v>0</v>
      </c>
      <c r="P7" s="8">
        <v>0</v>
      </c>
      <c r="Q7">
        <v>0</v>
      </c>
      <c r="R7">
        <v>0</v>
      </c>
      <c r="S7" s="8">
        <v>5</v>
      </c>
      <c r="T7" s="8">
        <v>0</v>
      </c>
      <c r="U7" s="8">
        <v>0</v>
      </c>
      <c r="V7" s="8">
        <v>0</v>
      </c>
      <c r="W7" s="8">
        <v>0</v>
      </c>
      <c r="X7" s="8">
        <v>0</v>
      </c>
      <c r="Y7" s="8">
        <v>0</v>
      </c>
      <c r="Z7" s="8">
        <v>0</v>
      </c>
      <c r="AA7" s="8">
        <v>0</v>
      </c>
      <c r="AB7" s="8">
        <v>0</v>
      </c>
      <c r="AC7" s="8">
        <v>0</v>
      </c>
      <c r="AD7" s="8">
        <v>0</v>
      </c>
      <c r="AE7" s="8">
        <v>0</v>
      </c>
      <c r="AF7" s="8">
        <v>0</v>
      </c>
      <c r="AG7" s="8">
        <v>0</v>
      </c>
      <c r="AH7" s="8">
        <v>0</v>
      </c>
      <c r="AI7" s="8">
        <v>0</v>
      </c>
      <c r="AJ7" s="8">
        <v>0</v>
      </c>
      <c r="AK7" s="8">
        <v>0</v>
      </c>
      <c r="AL7" s="8">
        <v>0</v>
      </c>
      <c r="AM7" s="8">
        <v>0</v>
      </c>
      <c r="AN7" s="8">
        <v>0</v>
      </c>
      <c r="AO7" s="8">
        <v>0</v>
      </c>
      <c r="AP7" s="8">
        <v>0</v>
      </c>
      <c r="AQ7" s="8">
        <v>0</v>
      </c>
      <c r="AR7" s="8">
        <v>0</v>
      </c>
      <c r="AS7" s="8">
        <v>0</v>
      </c>
      <c r="AT7" s="8">
        <v>0</v>
      </c>
      <c r="AU7" s="8">
        <v>0</v>
      </c>
      <c r="AV7" s="8">
        <v>0</v>
      </c>
      <c r="AW7" s="8">
        <v>0</v>
      </c>
      <c r="AX7" s="8">
        <v>0</v>
      </c>
      <c r="AY7" s="8">
        <v>0</v>
      </c>
      <c r="AZ7" s="8">
        <v>0</v>
      </c>
      <c r="BA7" s="8">
        <v>0</v>
      </c>
      <c r="BB7">
        <v>0</v>
      </c>
      <c r="BC7">
        <v>1</v>
      </c>
      <c r="BD7" s="8">
        <v>1</v>
      </c>
      <c r="BE7" s="8">
        <v>0</v>
      </c>
      <c r="BF7" s="8">
        <v>0</v>
      </c>
      <c r="BG7" s="8">
        <v>0</v>
      </c>
      <c r="BH7" s="8">
        <v>0</v>
      </c>
      <c r="BI7" s="8">
        <v>0</v>
      </c>
      <c r="BJ7" s="8">
        <v>1</v>
      </c>
      <c r="BK7" s="8">
        <v>0</v>
      </c>
      <c r="BL7" s="8">
        <v>0</v>
      </c>
      <c r="BM7" s="8">
        <v>0</v>
      </c>
      <c r="BN7" s="8">
        <v>0</v>
      </c>
      <c r="BO7" s="8">
        <v>0</v>
      </c>
      <c r="BP7" s="8">
        <v>1</v>
      </c>
      <c r="BQ7" s="8">
        <v>1</v>
      </c>
      <c r="BR7" s="8">
        <v>2</v>
      </c>
      <c r="BS7" s="8">
        <v>4</v>
      </c>
      <c r="BT7" s="8">
        <v>5</v>
      </c>
      <c r="BU7" s="8">
        <v>0</v>
      </c>
      <c r="BV7" s="8">
        <v>0</v>
      </c>
      <c r="BW7" s="8">
        <v>0</v>
      </c>
      <c r="BX7" s="8">
        <v>1</v>
      </c>
      <c r="BY7" s="8">
        <v>22</v>
      </c>
      <c r="BZ7" s="8">
        <v>23</v>
      </c>
      <c r="CA7">
        <v>3</v>
      </c>
      <c r="CB7">
        <v>15</v>
      </c>
      <c r="CC7">
        <v>18</v>
      </c>
      <c r="CD7">
        <v>4</v>
      </c>
      <c r="CE7">
        <v>37</v>
      </c>
      <c r="CF7">
        <v>41</v>
      </c>
    </row>
    <row r="8" spans="1:84">
      <c r="A8" s="4" t="s">
        <v>658</v>
      </c>
      <c r="B8">
        <v>1</v>
      </c>
      <c r="C8">
        <v>0</v>
      </c>
      <c r="D8">
        <v>1</v>
      </c>
      <c r="E8">
        <v>0</v>
      </c>
      <c r="F8">
        <v>1</v>
      </c>
      <c r="G8">
        <v>2</v>
      </c>
      <c r="H8">
        <v>0</v>
      </c>
      <c r="I8">
        <v>1</v>
      </c>
      <c r="J8">
        <v>0</v>
      </c>
      <c r="K8">
        <v>0</v>
      </c>
      <c r="L8">
        <v>0</v>
      </c>
      <c r="M8">
        <v>33</v>
      </c>
      <c r="N8">
        <v>40</v>
      </c>
      <c r="O8" s="8">
        <v>0</v>
      </c>
      <c r="P8" s="8">
        <v>0</v>
      </c>
      <c r="Q8">
        <v>0</v>
      </c>
      <c r="R8">
        <v>0</v>
      </c>
      <c r="S8" s="8">
        <v>0</v>
      </c>
      <c r="T8" s="8">
        <v>0</v>
      </c>
      <c r="U8" s="8">
        <v>0</v>
      </c>
      <c r="V8" s="8">
        <v>0</v>
      </c>
      <c r="W8" s="8">
        <v>0</v>
      </c>
      <c r="X8" s="8">
        <v>0</v>
      </c>
      <c r="Y8" s="8">
        <v>0</v>
      </c>
      <c r="Z8" s="8">
        <v>0</v>
      </c>
      <c r="AA8" s="8">
        <v>0</v>
      </c>
      <c r="AB8" s="8">
        <v>1</v>
      </c>
      <c r="AC8" s="8">
        <v>2</v>
      </c>
      <c r="AD8" s="8">
        <v>0</v>
      </c>
      <c r="AE8" s="8">
        <v>0</v>
      </c>
      <c r="AF8" s="8">
        <v>0</v>
      </c>
      <c r="AG8" s="8">
        <v>0</v>
      </c>
      <c r="AH8" s="8">
        <v>1</v>
      </c>
      <c r="AI8" s="8">
        <v>1</v>
      </c>
      <c r="AJ8" s="8">
        <v>1</v>
      </c>
      <c r="AK8" s="8">
        <v>0</v>
      </c>
      <c r="AL8" s="8">
        <v>1</v>
      </c>
      <c r="AM8" s="8">
        <v>0</v>
      </c>
      <c r="AN8" s="8">
        <v>0</v>
      </c>
      <c r="AO8" s="8">
        <v>0</v>
      </c>
      <c r="AP8" s="8">
        <v>0</v>
      </c>
      <c r="AQ8" s="8">
        <v>0</v>
      </c>
      <c r="AR8" s="8">
        <v>0</v>
      </c>
      <c r="AS8" s="8">
        <v>0</v>
      </c>
      <c r="AT8" s="8">
        <v>0</v>
      </c>
      <c r="AU8" s="8">
        <v>0</v>
      </c>
      <c r="AV8" s="8">
        <v>0</v>
      </c>
      <c r="AW8" s="8">
        <v>0</v>
      </c>
      <c r="AX8" s="8">
        <v>0</v>
      </c>
      <c r="AY8" s="8">
        <v>1</v>
      </c>
      <c r="AZ8" s="8">
        <v>0</v>
      </c>
      <c r="BA8" s="8">
        <v>1</v>
      </c>
      <c r="BB8">
        <v>1</v>
      </c>
      <c r="BC8">
        <v>0</v>
      </c>
      <c r="BD8" s="8">
        <v>1</v>
      </c>
      <c r="BE8" s="8">
        <v>0</v>
      </c>
      <c r="BF8" s="8">
        <v>2</v>
      </c>
      <c r="BG8" s="8">
        <v>0</v>
      </c>
      <c r="BH8" s="8">
        <v>0</v>
      </c>
      <c r="BI8" s="8">
        <v>2</v>
      </c>
      <c r="BJ8" s="8">
        <v>0</v>
      </c>
      <c r="BK8" s="8">
        <v>0</v>
      </c>
      <c r="BL8" s="8">
        <v>0</v>
      </c>
      <c r="BM8" s="8">
        <v>0</v>
      </c>
      <c r="BN8" s="8">
        <v>0</v>
      </c>
      <c r="BO8" s="8">
        <v>0</v>
      </c>
      <c r="BP8" s="8">
        <v>1</v>
      </c>
      <c r="BQ8" s="8">
        <v>1</v>
      </c>
      <c r="BR8" s="8">
        <v>4</v>
      </c>
      <c r="BS8" s="8">
        <v>3</v>
      </c>
      <c r="BT8" s="8">
        <v>6</v>
      </c>
      <c r="BU8" s="8">
        <v>2</v>
      </c>
      <c r="BV8" s="8">
        <v>11</v>
      </c>
      <c r="BW8" s="8">
        <v>13</v>
      </c>
      <c r="BX8" s="8">
        <v>1</v>
      </c>
      <c r="BY8" s="8">
        <v>9</v>
      </c>
      <c r="BZ8" s="8">
        <v>10</v>
      </c>
      <c r="CA8">
        <v>7</v>
      </c>
      <c r="CB8">
        <v>11</v>
      </c>
      <c r="CC8">
        <v>18</v>
      </c>
      <c r="CD8">
        <v>10</v>
      </c>
      <c r="CE8">
        <v>31</v>
      </c>
      <c r="CF8">
        <v>41</v>
      </c>
    </row>
    <row r="9" spans="1:84">
      <c r="A9" s="4" t="s">
        <v>636</v>
      </c>
      <c r="B9">
        <v>4</v>
      </c>
      <c r="C9">
        <v>0</v>
      </c>
      <c r="D9">
        <v>1</v>
      </c>
      <c r="E9">
        <v>2</v>
      </c>
      <c r="F9">
        <v>3</v>
      </c>
      <c r="G9">
        <v>0</v>
      </c>
      <c r="H9">
        <v>0</v>
      </c>
      <c r="I9">
        <v>4</v>
      </c>
      <c r="J9">
        <v>0</v>
      </c>
      <c r="K9">
        <v>0</v>
      </c>
      <c r="L9">
        <v>0</v>
      </c>
      <c r="M9">
        <v>8</v>
      </c>
      <c r="N9">
        <v>70</v>
      </c>
      <c r="O9" s="8">
        <v>0</v>
      </c>
      <c r="P9" s="8">
        <v>0</v>
      </c>
      <c r="Q9">
        <v>0</v>
      </c>
      <c r="R9">
        <v>0</v>
      </c>
      <c r="S9" s="8">
        <v>0</v>
      </c>
      <c r="T9" s="8">
        <v>0</v>
      </c>
      <c r="U9" s="8">
        <v>0</v>
      </c>
      <c r="V9" s="8">
        <v>0</v>
      </c>
      <c r="W9" s="8">
        <v>1</v>
      </c>
      <c r="X9" s="8">
        <v>0</v>
      </c>
      <c r="Y9" s="8">
        <v>0</v>
      </c>
      <c r="Z9" s="8">
        <v>0</v>
      </c>
      <c r="AA9" s="8">
        <v>1</v>
      </c>
      <c r="AB9" s="8">
        <v>3</v>
      </c>
      <c r="AC9" s="8">
        <v>0</v>
      </c>
      <c r="AD9" s="8">
        <v>0</v>
      </c>
      <c r="AE9" s="8">
        <v>0</v>
      </c>
      <c r="AF9" s="8">
        <v>0</v>
      </c>
      <c r="AG9" s="8">
        <v>0</v>
      </c>
      <c r="AH9" s="8">
        <v>0</v>
      </c>
      <c r="AI9" s="8">
        <v>0</v>
      </c>
      <c r="AJ9" s="8">
        <v>0</v>
      </c>
      <c r="AK9" s="8">
        <v>0</v>
      </c>
      <c r="AL9" s="8">
        <v>0</v>
      </c>
      <c r="AM9" s="8">
        <v>0</v>
      </c>
      <c r="AN9" s="8">
        <v>1</v>
      </c>
      <c r="AO9" s="8">
        <v>1</v>
      </c>
      <c r="AP9" s="8">
        <v>0</v>
      </c>
      <c r="AQ9" s="8">
        <v>0</v>
      </c>
      <c r="AR9" s="8">
        <v>0</v>
      </c>
      <c r="AS9" s="8">
        <v>0</v>
      </c>
      <c r="AT9" s="8">
        <v>0</v>
      </c>
      <c r="AU9" s="8">
        <v>0</v>
      </c>
      <c r="AV9" s="8">
        <v>0</v>
      </c>
      <c r="AW9" s="8">
        <v>0</v>
      </c>
      <c r="AX9" s="8">
        <v>0</v>
      </c>
      <c r="AY9" s="8">
        <v>1</v>
      </c>
      <c r="AZ9" s="8">
        <v>0</v>
      </c>
      <c r="BA9" s="8">
        <v>1</v>
      </c>
      <c r="BB9">
        <v>0</v>
      </c>
      <c r="BC9">
        <v>0</v>
      </c>
      <c r="BD9" s="8">
        <v>0</v>
      </c>
      <c r="BE9" s="8">
        <v>1</v>
      </c>
      <c r="BF9" s="8">
        <v>0</v>
      </c>
      <c r="BG9" s="8">
        <v>0</v>
      </c>
      <c r="BH9" s="8">
        <v>0</v>
      </c>
      <c r="BI9" s="8">
        <v>0</v>
      </c>
      <c r="BJ9" s="8">
        <v>0</v>
      </c>
      <c r="BK9" s="8">
        <v>0</v>
      </c>
      <c r="BL9" s="8">
        <v>0</v>
      </c>
      <c r="BM9" s="8">
        <v>0</v>
      </c>
      <c r="BN9" s="8">
        <v>1</v>
      </c>
      <c r="BO9" s="8">
        <v>1</v>
      </c>
      <c r="BP9" s="8">
        <v>0</v>
      </c>
      <c r="BQ9" s="8">
        <v>1</v>
      </c>
      <c r="BR9" s="8">
        <v>0</v>
      </c>
      <c r="BS9" s="8">
        <v>0</v>
      </c>
      <c r="BT9" s="8">
        <v>0</v>
      </c>
      <c r="BU9" s="8">
        <v>0</v>
      </c>
      <c r="BV9" s="8">
        <v>5</v>
      </c>
      <c r="BW9" s="8">
        <v>5</v>
      </c>
      <c r="BX9" s="8">
        <v>0</v>
      </c>
      <c r="BY9" s="8">
        <v>2</v>
      </c>
      <c r="BZ9" s="8">
        <v>2</v>
      </c>
      <c r="CA9">
        <v>3</v>
      </c>
      <c r="CB9">
        <v>3</v>
      </c>
      <c r="CC9">
        <v>6</v>
      </c>
      <c r="CD9">
        <v>3</v>
      </c>
      <c r="CE9">
        <v>10</v>
      </c>
      <c r="CF9">
        <v>13</v>
      </c>
    </row>
    <row r="10" spans="1:84">
      <c r="A10" s="4" t="s">
        <v>626</v>
      </c>
      <c r="B10">
        <v>3</v>
      </c>
      <c r="C10">
        <v>0</v>
      </c>
      <c r="D10">
        <v>0</v>
      </c>
      <c r="E10">
        <v>3</v>
      </c>
      <c r="F10">
        <v>3</v>
      </c>
      <c r="G10">
        <v>2</v>
      </c>
      <c r="H10">
        <v>2</v>
      </c>
      <c r="I10">
        <v>14</v>
      </c>
      <c r="J10">
        <v>0</v>
      </c>
      <c r="K10">
        <v>0</v>
      </c>
      <c r="L10">
        <v>1</v>
      </c>
      <c r="M10">
        <v>20</v>
      </c>
      <c r="N10">
        <v>80</v>
      </c>
      <c r="O10" s="8">
        <v>0</v>
      </c>
      <c r="P10" s="8">
        <v>0</v>
      </c>
      <c r="Q10">
        <v>0</v>
      </c>
      <c r="R10">
        <v>0</v>
      </c>
      <c r="S10" s="8">
        <v>0</v>
      </c>
      <c r="T10" s="8">
        <v>0</v>
      </c>
      <c r="U10" s="8">
        <v>0</v>
      </c>
      <c r="V10" s="8">
        <v>0</v>
      </c>
      <c r="W10" s="8">
        <v>0</v>
      </c>
      <c r="X10" s="8">
        <v>0</v>
      </c>
      <c r="Y10" s="8">
        <v>0</v>
      </c>
      <c r="Z10" s="8">
        <v>0</v>
      </c>
      <c r="AA10" s="8">
        <v>2</v>
      </c>
      <c r="AB10" s="8">
        <v>1</v>
      </c>
      <c r="AC10" s="8">
        <v>2</v>
      </c>
      <c r="AD10" s="8">
        <v>1</v>
      </c>
      <c r="AE10" s="8">
        <v>0</v>
      </c>
      <c r="AF10" s="8">
        <v>1</v>
      </c>
      <c r="AG10" s="8">
        <v>0</v>
      </c>
      <c r="AH10" s="8">
        <v>1</v>
      </c>
      <c r="AI10" s="8">
        <v>1</v>
      </c>
      <c r="AJ10" s="8">
        <v>1</v>
      </c>
      <c r="AK10" s="8">
        <v>1</v>
      </c>
      <c r="AL10" s="8">
        <v>2</v>
      </c>
      <c r="AM10" s="8">
        <v>1</v>
      </c>
      <c r="AN10" s="8">
        <v>0</v>
      </c>
      <c r="AO10" s="8">
        <v>1</v>
      </c>
      <c r="AP10" s="8">
        <v>0</v>
      </c>
      <c r="AQ10" s="8">
        <v>3</v>
      </c>
      <c r="AR10" s="8">
        <v>3</v>
      </c>
      <c r="AS10" s="8">
        <v>1</v>
      </c>
      <c r="AT10" s="8">
        <v>0</v>
      </c>
      <c r="AU10" s="8">
        <v>0</v>
      </c>
      <c r="AV10" s="8">
        <v>0</v>
      </c>
      <c r="AW10" s="8">
        <v>0</v>
      </c>
      <c r="AX10" s="8">
        <v>0</v>
      </c>
      <c r="AY10" s="8">
        <v>0</v>
      </c>
      <c r="AZ10" s="8">
        <v>2</v>
      </c>
      <c r="BA10" s="8">
        <v>2</v>
      </c>
      <c r="BB10">
        <v>2</v>
      </c>
      <c r="BC10">
        <v>3</v>
      </c>
      <c r="BD10" s="8">
        <v>5</v>
      </c>
      <c r="BE10" s="8">
        <v>1</v>
      </c>
      <c r="BF10" s="8">
        <v>1</v>
      </c>
      <c r="BG10" s="8">
        <v>0</v>
      </c>
      <c r="BH10" s="8">
        <v>3</v>
      </c>
      <c r="BI10" s="8">
        <v>4</v>
      </c>
      <c r="BJ10" s="8">
        <v>3</v>
      </c>
      <c r="BK10" s="8">
        <v>0</v>
      </c>
      <c r="BL10" s="8">
        <v>0</v>
      </c>
      <c r="BM10" s="8">
        <v>0</v>
      </c>
      <c r="BN10" s="8">
        <v>1</v>
      </c>
      <c r="BO10" s="8">
        <v>0</v>
      </c>
      <c r="BP10" s="8">
        <v>2</v>
      </c>
      <c r="BQ10" s="8">
        <v>2</v>
      </c>
      <c r="BR10" s="8">
        <v>1</v>
      </c>
      <c r="BS10" s="8">
        <v>0</v>
      </c>
      <c r="BT10" s="8">
        <v>1</v>
      </c>
      <c r="BU10" s="8">
        <v>0</v>
      </c>
      <c r="BV10" s="8">
        <v>10</v>
      </c>
      <c r="BW10" s="8">
        <v>10</v>
      </c>
      <c r="BX10" s="8">
        <v>0</v>
      </c>
      <c r="BY10" s="8">
        <v>3</v>
      </c>
      <c r="BZ10" s="8">
        <v>3</v>
      </c>
      <c r="CA10">
        <v>3</v>
      </c>
      <c r="CB10">
        <v>4</v>
      </c>
      <c r="CC10">
        <v>7</v>
      </c>
      <c r="CD10">
        <v>3</v>
      </c>
      <c r="CE10">
        <v>17</v>
      </c>
      <c r="CF10">
        <v>20</v>
      </c>
    </row>
    <row r="11" spans="1:84">
      <c r="A11" s="4" t="s">
        <v>632</v>
      </c>
      <c r="B11">
        <v>8</v>
      </c>
      <c r="C11">
        <v>0</v>
      </c>
      <c r="D11">
        <v>2</v>
      </c>
      <c r="E11">
        <v>1</v>
      </c>
      <c r="F11">
        <v>3</v>
      </c>
      <c r="G11">
        <v>0</v>
      </c>
      <c r="H11">
        <v>5</v>
      </c>
      <c r="I11">
        <v>0</v>
      </c>
      <c r="J11">
        <v>0</v>
      </c>
      <c r="K11">
        <v>0</v>
      </c>
      <c r="L11">
        <v>0</v>
      </c>
      <c r="M11">
        <v>12</v>
      </c>
      <c r="N11">
        <v>70</v>
      </c>
      <c r="O11" s="8">
        <v>0</v>
      </c>
      <c r="P11" s="8">
        <v>0</v>
      </c>
      <c r="Q11">
        <v>0</v>
      </c>
      <c r="R11">
        <v>0</v>
      </c>
      <c r="S11" s="8">
        <v>0</v>
      </c>
      <c r="T11" s="8">
        <v>0</v>
      </c>
      <c r="U11" s="8">
        <v>0</v>
      </c>
      <c r="V11" s="8">
        <v>0</v>
      </c>
      <c r="W11" s="8">
        <v>1</v>
      </c>
      <c r="X11" s="8">
        <v>0</v>
      </c>
      <c r="Y11" s="8">
        <v>0</v>
      </c>
      <c r="Z11" s="8">
        <v>0</v>
      </c>
      <c r="AA11" s="8">
        <v>0</v>
      </c>
      <c r="AB11" s="8">
        <v>6</v>
      </c>
      <c r="AC11" s="8">
        <v>0</v>
      </c>
      <c r="AD11" s="8">
        <v>1</v>
      </c>
      <c r="AE11" s="8">
        <v>0</v>
      </c>
      <c r="AF11" s="8">
        <v>1</v>
      </c>
      <c r="AG11" s="8">
        <v>0</v>
      </c>
      <c r="AH11" s="8">
        <v>1</v>
      </c>
      <c r="AI11" s="8">
        <v>1</v>
      </c>
      <c r="AJ11" s="8">
        <v>0</v>
      </c>
      <c r="AK11" s="8">
        <v>0</v>
      </c>
      <c r="AL11" s="8">
        <v>0</v>
      </c>
      <c r="AM11" s="8">
        <v>0</v>
      </c>
      <c r="AN11" s="8">
        <v>0</v>
      </c>
      <c r="AO11" s="8">
        <v>0</v>
      </c>
      <c r="AP11" s="8">
        <v>0</v>
      </c>
      <c r="AQ11" s="8">
        <v>0</v>
      </c>
      <c r="AR11" s="8">
        <v>0</v>
      </c>
      <c r="AS11" s="8">
        <v>0</v>
      </c>
      <c r="AT11" s="8">
        <v>0</v>
      </c>
      <c r="AU11" s="8">
        <v>0</v>
      </c>
      <c r="AV11" s="8">
        <v>0</v>
      </c>
      <c r="AW11" s="8">
        <v>0</v>
      </c>
      <c r="AX11" s="8">
        <v>0</v>
      </c>
      <c r="AY11" s="8">
        <v>0</v>
      </c>
      <c r="AZ11" s="8">
        <v>0</v>
      </c>
      <c r="BA11" s="8">
        <v>0</v>
      </c>
      <c r="BB11">
        <v>0</v>
      </c>
      <c r="BC11">
        <v>1</v>
      </c>
      <c r="BD11" s="8">
        <v>1</v>
      </c>
      <c r="BE11" s="8">
        <v>0</v>
      </c>
      <c r="BF11" s="8">
        <v>0</v>
      </c>
      <c r="BG11" s="8">
        <v>0</v>
      </c>
      <c r="BH11" s="8">
        <v>0</v>
      </c>
      <c r="BI11" s="8">
        <v>0</v>
      </c>
      <c r="BJ11" s="8">
        <v>0</v>
      </c>
      <c r="BK11" s="8">
        <v>0</v>
      </c>
      <c r="BL11" s="8">
        <v>0</v>
      </c>
      <c r="BM11" s="8">
        <v>0</v>
      </c>
      <c r="BN11" s="8">
        <v>0</v>
      </c>
      <c r="BO11" s="8">
        <v>0</v>
      </c>
      <c r="BP11" s="8">
        <v>0</v>
      </c>
      <c r="BQ11" s="8">
        <v>0</v>
      </c>
      <c r="BR11" s="8">
        <v>0</v>
      </c>
      <c r="BS11" s="8">
        <v>0</v>
      </c>
      <c r="BT11" s="8">
        <v>0</v>
      </c>
      <c r="BU11" s="8">
        <v>0</v>
      </c>
      <c r="BV11" s="8">
        <v>3</v>
      </c>
      <c r="BW11" s="8">
        <v>3</v>
      </c>
      <c r="BX11" s="8">
        <v>0</v>
      </c>
      <c r="BY11" s="8">
        <v>9</v>
      </c>
      <c r="BZ11" s="8">
        <v>9</v>
      </c>
      <c r="CA11">
        <v>3</v>
      </c>
      <c r="CB11">
        <v>6</v>
      </c>
      <c r="CC11">
        <v>9</v>
      </c>
      <c r="CD11">
        <v>3</v>
      </c>
      <c r="CE11">
        <v>18</v>
      </c>
      <c r="CF11">
        <v>21</v>
      </c>
    </row>
    <row r="12" spans="1:84">
      <c r="A12" s="4" t="s">
        <v>645</v>
      </c>
      <c r="B12">
        <v>6</v>
      </c>
      <c r="C12">
        <v>0</v>
      </c>
      <c r="D12">
        <v>1</v>
      </c>
      <c r="E12">
        <v>0</v>
      </c>
      <c r="F12">
        <v>1</v>
      </c>
      <c r="G12">
        <v>0</v>
      </c>
      <c r="H12">
        <v>9</v>
      </c>
      <c r="I12">
        <v>2</v>
      </c>
      <c r="J12">
        <v>0</v>
      </c>
      <c r="K12">
        <v>0</v>
      </c>
      <c r="L12">
        <v>1</v>
      </c>
      <c r="M12">
        <v>34</v>
      </c>
      <c r="N12">
        <v>60</v>
      </c>
      <c r="O12" s="8">
        <v>0</v>
      </c>
      <c r="P12" s="8">
        <v>0</v>
      </c>
      <c r="Q12">
        <v>0</v>
      </c>
      <c r="R12">
        <v>0</v>
      </c>
      <c r="S12" s="8">
        <v>0</v>
      </c>
      <c r="T12" s="8">
        <v>0</v>
      </c>
      <c r="U12" s="8">
        <v>0</v>
      </c>
      <c r="V12" s="8">
        <v>0</v>
      </c>
      <c r="W12" s="8">
        <v>0</v>
      </c>
      <c r="X12" s="8">
        <v>0</v>
      </c>
      <c r="Y12" s="8">
        <v>0</v>
      </c>
      <c r="Z12" s="8">
        <v>0</v>
      </c>
      <c r="AA12" s="8">
        <v>0</v>
      </c>
      <c r="AB12" s="8">
        <v>2</v>
      </c>
      <c r="AC12" s="8">
        <v>1</v>
      </c>
      <c r="AD12" s="8">
        <v>1</v>
      </c>
      <c r="AE12" s="8">
        <v>0</v>
      </c>
      <c r="AF12" s="8">
        <v>1</v>
      </c>
      <c r="AG12" s="8">
        <v>1</v>
      </c>
      <c r="AH12" s="8">
        <v>0</v>
      </c>
      <c r="AI12" s="8">
        <v>1</v>
      </c>
      <c r="AJ12" s="8">
        <v>1</v>
      </c>
      <c r="AK12" s="8">
        <v>0</v>
      </c>
      <c r="AL12" s="8">
        <v>1</v>
      </c>
      <c r="AM12" s="8">
        <v>0</v>
      </c>
      <c r="AN12" s="8">
        <v>1</v>
      </c>
      <c r="AO12" s="8">
        <v>1</v>
      </c>
      <c r="AP12" s="8">
        <v>0</v>
      </c>
      <c r="AQ12" s="8">
        <v>0</v>
      </c>
      <c r="AR12" s="8">
        <v>0</v>
      </c>
      <c r="AS12" s="8">
        <v>0</v>
      </c>
      <c r="AT12" s="8">
        <v>1</v>
      </c>
      <c r="AU12" s="8">
        <v>0</v>
      </c>
      <c r="AV12" s="8">
        <v>2</v>
      </c>
      <c r="AW12" s="8">
        <v>0</v>
      </c>
      <c r="AX12" s="8">
        <v>2</v>
      </c>
      <c r="AY12" s="8">
        <v>0</v>
      </c>
      <c r="AZ12" s="8">
        <v>0</v>
      </c>
      <c r="BA12" s="8">
        <v>0</v>
      </c>
      <c r="BB12">
        <v>1</v>
      </c>
      <c r="BC12">
        <v>3</v>
      </c>
      <c r="BD12" s="8">
        <v>4</v>
      </c>
      <c r="BE12" s="8">
        <v>1</v>
      </c>
      <c r="BF12" s="8">
        <v>2</v>
      </c>
      <c r="BG12" s="8">
        <v>0</v>
      </c>
      <c r="BH12" s="8">
        <v>2</v>
      </c>
      <c r="BI12" s="8">
        <v>4</v>
      </c>
      <c r="BJ12" s="8">
        <v>2</v>
      </c>
      <c r="BK12" s="8">
        <v>0</v>
      </c>
      <c r="BL12" s="8">
        <v>0</v>
      </c>
      <c r="BM12" s="8">
        <v>0</v>
      </c>
      <c r="BN12" s="8">
        <v>2</v>
      </c>
      <c r="BO12" s="8">
        <v>1</v>
      </c>
      <c r="BP12" s="8">
        <v>2</v>
      </c>
      <c r="BQ12" s="8">
        <v>3</v>
      </c>
      <c r="BR12" s="8">
        <v>1</v>
      </c>
      <c r="BS12" s="8">
        <v>3</v>
      </c>
      <c r="BT12" s="8">
        <v>4</v>
      </c>
      <c r="BU12" s="8">
        <v>0</v>
      </c>
      <c r="BV12" s="8">
        <v>17</v>
      </c>
      <c r="BW12" s="8">
        <v>17</v>
      </c>
      <c r="BX12" s="8">
        <v>1</v>
      </c>
      <c r="BY12" s="8">
        <v>6</v>
      </c>
      <c r="BZ12" s="8">
        <v>7</v>
      </c>
      <c r="CA12">
        <v>1</v>
      </c>
      <c r="CB12">
        <v>12</v>
      </c>
      <c r="CC12">
        <v>13</v>
      </c>
      <c r="CD12">
        <v>2</v>
      </c>
      <c r="CE12">
        <v>35</v>
      </c>
      <c r="CF12">
        <v>37</v>
      </c>
    </row>
    <row r="13" spans="1:84">
      <c r="A13" s="4" t="s">
        <v>622</v>
      </c>
      <c r="B13">
        <v>5</v>
      </c>
      <c r="C13">
        <v>0</v>
      </c>
      <c r="D13">
        <v>0</v>
      </c>
      <c r="E13">
        <v>1</v>
      </c>
      <c r="F13">
        <v>1</v>
      </c>
      <c r="G13">
        <v>1</v>
      </c>
      <c r="H13">
        <v>0</v>
      </c>
      <c r="I13">
        <v>1</v>
      </c>
      <c r="J13">
        <v>0</v>
      </c>
      <c r="K13">
        <v>0</v>
      </c>
      <c r="L13">
        <v>2</v>
      </c>
      <c r="M13">
        <v>3</v>
      </c>
      <c r="N13">
        <v>60</v>
      </c>
      <c r="O13" s="8">
        <v>0</v>
      </c>
      <c r="P13" s="8">
        <v>0</v>
      </c>
      <c r="Q13">
        <v>0</v>
      </c>
      <c r="R13">
        <v>0</v>
      </c>
      <c r="S13" s="8">
        <v>0</v>
      </c>
      <c r="T13" s="8">
        <v>0</v>
      </c>
      <c r="U13" s="8">
        <v>0</v>
      </c>
      <c r="V13" s="8">
        <v>0</v>
      </c>
      <c r="W13" s="8">
        <v>2</v>
      </c>
      <c r="X13" s="8">
        <v>1</v>
      </c>
      <c r="Y13" s="8">
        <v>0</v>
      </c>
      <c r="Z13" s="8">
        <v>0</v>
      </c>
      <c r="AA13" s="8">
        <v>0</v>
      </c>
      <c r="AB13" s="8">
        <v>5</v>
      </c>
      <c r="AC13" s="8">
        <v>0</v>
      </c>
      <c r="AD13" s="8">
        <v>0</v>
      </c>
      <c r="AE13" s="8">
        <v>0</v>
      </c>
      <c r="AF13" s="8">
        <v>0</v>
      </c>
      <c r="AG13" s="8">
        <v>0</v>
      </c>
      <c r="AH13" s="8">
        <v>0</v>
      </c>
      <c r="AI13" s="8">
        <v>0</v>
      </c>
      <c r="AJ13" s="8">
        <v>2</v>
      </c>
      <c r="AK13" s="8">
        <v>0</v>
      </c>
      <c r="AL13" s="8">
        <v>2</v>
      </c>
      <c r="AM13" s="8">
        <v>0</v>
      </c>
      <c r="AN13" s="8">
        <v>0</v>
      </c>
      <c r="AO13" s="8">
        <v>0</v>
      </c>
      <c r="AP13" s="8">
        <v>0</v>
      </c>
      <c r="AQ13" s="8">
        <v>0</v>
      </c>
      <c r="AR13" s="8">
        <v>0</v>
      </c>
      <c r="AS13" s="8">
        <v>0</v>
      </c>
      <c r="AT13" s="8">
        <v>0</v>
      </c>
      <c r="AU13" s="8">
        <v>1</v>
      </c>
      <c r="AV13" s="8">
        <v>1</v>
      </c>
      <c r="AW13" s="8">
        <v>0</v>
      </c>
      <c r="AX13" s="8">
        <v>2</v>
      </c>
      <c r="AY13" s="8">
        <v>1</v>
      </c>
      <c r="AZ13" s="8">
        <v>2</v>
      </c>
      <c r="BA13" s="8">
        <v>3</v>
      </c>
      <c r="BB13">
        <v>0</v>
      </c>
      <c r="BC13">
        <v>1</v>
      </c>
      <c r="BD13" s="8">
        <v>1</v>
      </c>
      <c r="BE13" s="8">
        <v>3</v>
      </c>
      <c r="BF13" s="8">
        <v>0</v>
      </c>
      <c r="BG13" s="8">
        <v>0</v>
      </c>
      <c r="BH13" s="8">
        <v>2</v>
      </c>
      <c r="BI13" s="8">
        <v>2</v>
      </c>
      <c r="BJ13" s="8">
        <v>0</v>
      </c>
      <c r="BK13" s="8">
        <v>0</v>
      </c>
      <c r="BL13" s="8">
        <v>0</v>
      </c>
      <c r="BM13" s="8">
        <v>0</v>
      </c>
      <c r="BN13" s="8">
        <v>0</v>
      </c>
      <c r="BO13" s="8">
        <v>1</v>
      </c>
      <c r="BP13" s="8">
        <v>0</v>
      </c>
      <c r="BQ13" s="8">
        <v>1</v>
      </c>
      <c r="BR13" s="8">
        <v>0</v>
      </c>
      <c r="BS13" s="8">
        <v>0</v>
      </c>
      <c r="BT13" s="8">
        <v>0</v>
      </c>
      <c r="BU13" s="8">
        <v>1</v>
      </c>
      <c r="BV13" s="8">
        <v>2</v>
      </c>
      <c r="BW13" s="8">
        <v>3</v>
      </c>
      <c r="BX13" s="8">
        <v>0</v>
      </c>
      <c r="BY13" s="8">
        <v>2</v>
      </c>
      <c r="BZ13" s="8">
        <v>2</v>
      </c>
      <c r="CA13">
        <v>1</v>
      </c>
      <c r="CB13">
        <v>0</v>
      </c>
      <c r="CC13">
        <v>1</v>
      </c>
      <c r="CD13">
        <v>2</v>
      </c>
      <c r="CE13">
        <v>4</v>
      </c>
      <c r="CF13">
        <v>6</v>
      </c>
    </row>
    <row r="14" spans="1:84">
      <c r="A14" s="4" t="s">
        <v>764</v>
      </c>
      <c r="B14">
        <v>0</v>
      </c>
      <c r="C14">
        <v>0</v>
      </c>
      <c r="D14">
        <v>0</v>
      </c>
      <c r="E14">
        <v>0</v>
      </c>
      <c r="F14">
        <v>0</v>
      </c>
      <c r="G14">
        <v>1</v>
      </c>
      <c r="H14">
        <v>1</v>
      </c>
      <c r="I14">
        <v>1</v>
      </c>
      <c r="J14">
        <v>0</v>
      </c>
      <c r="K14">
        <v>0</v>
      </c>
      <c r="L14">
        <v>1</v>
      </c>
      <c r="M14">
        <v>6</v>
      </c>
      <c r="N14">
        <v>40</v>
      </c>
      <c r="O14" s="8">
        <v>0</v>
      </c>
      <c r="P14" s="8">
        <v>0</v>
      </c>
      <c r="Q14">
        <v>0</v>
      </c>
      <c r="R14">
        <v>0</v>
      </c>
      <c r="S14" s="8">
        <v>0</v>
      </c>
      <c r="T14" s="8">
        <v>0</v>
      </c>
      <c r="U14" s="8">
        <v>0</v>
      </c>
      <c r="V14" s="8">
        <v>0</v>
      </c>
      <c r="W14" s="8">
        <v>0</v>
      </c>
      <c r="X14" s="8">
        <v>0</v>
      </c>
      <c r="Y14" s="8">
        <v>0</v>
      </c>
      <c r="Z14" s="8">
        <v>0</v>
      </c>
      <c r="AA14" s="8">
        <v>1</v>
      </c>
      <c r="AB14" s="8">
        <v>0</v>
      </c>
      <c r="AC14" s="8">
        <v>1</v>
      </c>
      <c r="AD14" s="8">
        <v>0</v>
      </c>
      <c r="AE14" s="8">
        <v>0</v>
      </c>
      <c r="AF14" s="8">
        <v>0</v>
      </c>
      <c r="AG14" s="8">
        <v>0</v>
      </c>
      <c r="AH14" s="8">
        <v>0</v>
      </c>
      <c r="AI14" s="8">
        <v>0</v>
      </c>
      <c r="AJ14" s="8">
        <v>0</v>
      </c>
      <c r="AK14" s="8">
        <v>0</v>
      </c>
      <c r="AL14" s="8">
        <v>0</v>
      </c>
      <c r="AM14" s="8">
        <v>1</v>
      </c>
      <c r="AN14" s="8">
        <v>0</v>
      </c>
      <c r="AO14" s="8">
        <v>1</v>
      </c>
      <c r="AP14" s="8">
        <v>0</v>
      </c>
      <c r="AQ14" s="8">
        <v>2</v>
      </c>
      <c r="AR14" s="8">
        <v>2</v>
      </c>
      <c r="AS14" s="8">
        <v>1</v>
      </c>
      <c r="AT14" s="8">
        <v>0</v>
      </c>
      <c r="AU14" s="8">
        <v>0</v>
      </c>
      <c r="AV14" s="8">
        <v>0</v>
      </c>
      <c r="AW14" s="8">
        <v>0</v>
      </c>
      <c r="AX14" s="8">
        <v>0</v>
      </c>
      <c r="AY14" s="8">
        <v>1</v>
      </c>
      <c r="AZ14" s="8">
        <v>2</v>
      </c>
      <c r="BA14" s="8">
        <v>3</v>
      </c>
      <c r="BB14">
        <v>0</v>
      </c>
      <c r="BC14">
        <v>1</v>
      </c>
      <c r="BD14" s="8">
        <v>1</v>
      </c>
      <c r="BE14" s="8">
        <v>2</v>
      </c>
      <c r="BF14" s="8">
        <v>0</v>
      </c>
      <c r="BG14" s="8">
        <v>0</v>
      </c>
      <c r="BH14" s="8">
        <v>0</v>
      </c>
      <c r="BI14" s="8">
        <v>0</v>
      </c>
      <c r="BJ14" s="8">
        <v>1</v>
      </c>
      <c r="BK14" s="8">
        <v>0</v>
      </c>
      <c r="BL14" s="8">
        <v>0</v>
      </c>
      <c r="BM14" s="8">
        <v>0</v>
      </c>
      <c r="BN14" s="8">
        <v>1</v>
      </c>
      <c r="BO14" s="8">
        <v>0</v>
      </c>
      <c r="BP14" s="8">
        <v>0</v>
      </c>
      <c r="BQ14" s="8">
        <v>0</v>
      </c>
      <c r="BR14" s="8">
        <v>0</v>
      </c>
      <c r="BS14" s="8">
        <v>0</v>
      </c>
      <c r="BT14" s="8">
        <v>0</v>
      </c>
      <c r="BU14" s="8">
        <v>0</v>
      </c>
      <c r="BV14" s="8">
        <v>3</v>
      </c>
      <c r="BW14" s="8">
        <v>3</v>
      </c>
      <c r="BX14" s="8">
        <v>1</v>
      </c>
      <c r="BY14" s="8">
        <v>1</v>
      </c>
      <c r="BZ14" s="8">
        <v>2</v>
      </c>
      <c r="CA14">
        <v>2</v>
      </c>
      <c r="CB14">
        <v>2</v>
      </c>
      <c r="CC14">
        <v>4</v>
      </c>
      <c r="CD14">
        <v>3</v>
      </c>
      <c r="CE14">
        <v>6</v>
      </c>
      <c r="CF14">
        <v>9</v>
      </c>
    </row>
    <row r="15" spans="1:84">
      <c r="A15" s="4" t="s">
        <v>652</v>
      </c>
      <c r="B15">
        <v>0</v>
      </c>
      <c r="C15">
        <v>0</v>
      </c>
      <c r="D15">
        <v>0</v>
      </c>
      <c r="E15">
        <v>0</v>
      </c>
      <c r="F15">
        <v>0</v>
      </c>
      <c r="G15">
        <v>0</v>
      </c>
      <c r="H15">
        <v>0</v>
      </c>
      <c r="I15">
        <v>0</v>
      </c>
      <c r="J15">
        <v>0</v>
      </c>
      <c r="K15">
        <v>0</v>
      </c>
      <c r="L15">
        <v>0</v>
      </c>
      <c r="M15">
        <v>20</v>
      </c>
      <c r="N15">
        <v>40</v>
      </c>
      <c r="O15" s="8">
        <v>0</v>
      </c>
      <c r="P15" s="8">
        <v>1</v>
      </c>
      <c r="Q15">
        <v>0</v>
      </c>
      <c r="R15">
        <v>0</v>
      </c>
      <c r="S15" s="8">
        <v>2</v>
      </c>
      <c r="T15" s="8">
        <v>1</v>
      </c>
      <c r="U15" s="8">
        <v>3</v>
      </c>
      <c r="V15" s="8">
        <v>0</v>
      </c>
      <c r="W15" s="8">
        <v>0</v>
      </c>
      <c r="X15" s="8">
        <v>0</v>
      </c>
      <c r="Y15" s="8">
        <v>0</v>
      </c>
      <c r="Z15" s="8">
        <v>0</v>
      </c>
      <c r="AA15" s="8">
        <v>0</v>
      </c>
      <c r="AB15" s="8">
        <v>0</v>
      </c>
      <c r="AC15" s="8">
        <v>0</v>
      </c>
      <c r="AD15" s="8">
        <v>0</v>
      </c>
      <c r="AE15" s="8">
        <v>0</v>
      </c>
      <c r="AF15" s="8">
        <v>0</v>
      </c>
      <c r="AG15" s="8">
        <v>0</v>
      </c>
      <c r="AH15" s="8">
        <v>0</v>
      </c>
      <c r="AI15" s="8">
        <v>0</v>
      </c>
      <c r="AJ15" s="8">
        <v>0</v>
      </c>
      <c r="AK15" s="8">
        <v>0</v>
      </c>
      <c r="AL15" s="8">
        <v>0</v>
      </c>
      <c r="AM15" s="8">
        <v>0</v>
      </c>
      <c r="AN15" s="8">
        <v>0</v>
      </c>
      <c r="AO15" s="8">
        <v>0</v>
      </c>
      <c r="AP15" s="8">
        <v>0</v>
      </c>
      <c r="AQ15" s="8">
        <v>0</v>
      </c>
      <c r="AR15" s="8">
        <v>0</v>
      </c>
      <c r="AS15" s="8">
        <v>0</v>
      </c>
      <c r="AT15" s="8">
        <v>0</v>
      </c>
      <c r="AU15" s="8">
        <v>0</v>
      </c>
      <c r="AV15" s="8">
        <v>0</v>
      </c>
      <c r="AW15" s="8">
        <v>0</v>
      </c>
      <c r="AX15" s="8">
        <v>0</v>
      </c>
      <c r="AY15" s="8">
        <v>0</v>
      </c>
      <c r="AZ15" s="8">
        <v>0</v>
      </c>
      <c r="BA15" s="8">
        <v>0</v>
      </c>
      <c r="BB15">
        <v>0</v>
      </c>
      <c r="BC15">
        <v>1</v>
      </c>
      <c r="BD15" s="8">
        <v>1</v>
      </c>
      <c r="BE15" s="8">
        <v>0</v>
      </c>
      <c r="BF15" s="8">
        <v>0</v>
      </c>
      <c r="BG15" s="8">
        <v>0</v>
      </c>
      <c r="BH15" s="8">
        <v>0</v>
      </c>
      <c r="BI15" s="8">
        <v>0</v>
      </c>
      <c r="BJ15" s="8">
        <v>0</v>
      </c>
      <c r="BK15" s="8">
        <v>0</v>
      </c>
      <c r="BL15" s="8">
        <v>0</v>
      </c>
      <c r="BM15" s="8">
        <v>0</v>
      </c>
      <c r="BN15" s="8">
        <v>0</v>
      </c>
      <c r="BO15" s="8">
        <v>2</v>
      </c>
      <c r="BP15" s="8">
        <v>2</v>
      </c>
      <c r="BQ15" s="8">
        <v>2</v>
      </c>
      <c r="BR15" s="8">
        <v>5</v>
      </c>
      <c r="BS15" s="8">
        <v>4</v>
      </c>
      <c r="BT15" s="8">
        <v>7</v>
      </c>
      <c r="BU15" s="8">
        <v>0</v>
      </c>
      <c r="BV15" s="8">
        <v>0</v>
      </c>
      <c r="BW15" s="8">
        <v>0</v>
      </c>
      <c r="BX15" s="8">
        <v>2</v>
      </c>
      <c r="BY15" s="8">
        <v>13</v>
      </c>
      <c r="BZ15" s="8">
        <v>15</v>
      </c>
      <c r="CA15">
        <v>7</v>
      </c>
      <c r="CB15">
        <v>14</v>
      </c>
      <c r="CC15">
        <v>21</v>
      </c>
      <c r="CD15">
        <v>9</v>
      </c>
      <c r="CE15">
        <v>27</v>
      </c>
      <c r="CF15">
        <v>36</v>
      </c>
    </row>
    <row r="16" spans="1:84">
      <c r="A16" s="4" t="s">
        <v>649</v>
      </c>
      <c r="B16">
        <v>0</v>
      </c>
      <c r="C16">
        <v>0</v>
      </c>
      <c r="D16">
        <v>1</v>
      </c>
      <c r="E16">
        <v>0</v>
      </c>
      <c r="F16">
        <v>1</v>
      </c>
      <c r="G16">
        <v>4</v>
      </c>
      <c r="H16">
        <v>0</v>
      </c>
      <c r="I16">
        <v>0</v>
      </c>
      <c r="J16">
        <v>0</v>
      </c>
      <c r="K16">
        <v>0</v>
      </c>
      <c r="L16">
        <v>0</v>
      </c>
      <c r="M16">
        <v>53</v>
      </c>
      <c r="N16">
        <v>40</v>
      </c>
      <c r="O16" s="8">
        <v>0</v>
      </c>
      <c r="P16" s="8">
        <v>0</v>
      </c>
      <c r="Q16">
        <v>0</v>
      </c>
      <c r="R16">
        <v>0</v>
      </c>
      <c r="S16" s="8">
        <v>0</v>
      </c>
      <c r="T16" s="8">
        <v>0</v>
      </c>
      <c r="U16" s="8">
        <v>0</v>
      </c>
      <c r="V16" s="8">
        <v>0</v>
      </c>
      <c r="W16" s="8">
        <v>1</v>
      </c>
      <c r="X16" s="8">
        <v>1</v>
      </c>
      <c r="Y16" s="8">
        <v>0</v>
      </c>
      <c r="Z16" s="8">
        <v>0</v>
      </c>
      <c r="AA16" s="8">
        <v>1</v>
      </c>
      <c r="AB16" s="8">
        <v>0</v>
      </c>
      <c r="AC16" s="8">
        <v>1</v>
      </c>
      <c r="AD16" s="8">
        <v>0</v>
      </c>
      <c r="AE16" s="8">
        <v>1</v>
      </c>
      <c r="AF16" s="8">
        <v>1</v>
      </c>
      <c r="AG16" s="8">
        <v>1</v>
      </c>
      <c r="AH16" s="8">
        <v>0</v>
      </c>
      <c r="AI16" s="8">
        <v>1</v>
      </c>
      <c r="AJ16" s="8">
        <v>1</v>
      </c>
      <c r="AK16" s="8">
        <v>0</v>
      </c>
      <c r="AL16" s="8">
        <v>1</v>
      </c>
      <c r="AM16" s="8">
        <v>1</v>
      </c>
      <c r="AN16" s="8">
        <v>1</v>
      </c>
      <c r="AO16" s="8">
        <v>2</v>
      </c>
      <c r="AP16" s="8">
        <v>1</v>
      </c>
      <c r="AQ16" s="8">
        <v>3</v>
      </c>
      <c r="AR16" s="8">
        <v>4</v>
      </c>
      <c r="AS16" s="8">
        <v>0</v>
      </c>
      <c r="AT16" s="8">
        <v>0</v>
      </c>
      <c r="AU16" s="8">
        <v>0</v>
      </c>
      <c r="AV16" s="8">
        <v>0</v>
      </c>
      <c r="AW16" s="8">
        <v>0</v>
      </c>
      <c r="AX16" s="8">
        <v>0</v>
      </c>
      <c r="AY16" s="8">
        <v>0</v>
      </c>
      <c r="AZ16" s="8">
        <v>0</v>
      </c>
      <c r="BA16" s="8">
        <v>0</v>
      </c>
      <c r="BB16">
        <v>0</v>
      </c>
      <c r="BC16">
        <v>3</v>
      </c>
      <c r="BD16" s="8">
        <v>3</v>
      </c>
      <c r="BE16" s="8">
        <v>0</v>
      </c>
      <c r="BF16" s="8">
        <v>0</v>
      </c>
      <c r="BG16" s="8">
        <v>3</v>
      </c>
      <c r="BH16" s="8">
        <v>0</v>
      </c>
      <c r="BI16" s="8">
        <v>3</v>
      </c>
      <c r="BJ16" s="8">
        <v>4</v>
      </c>
      <c r="BK16" s="8">
        <v>0</v>
      </c>
      <c r="BL16" s="8">
        <v>0</v>
      </c>
      <c r="BM16" s="8">
        <v>0</v>
      </c>
      <c r="BN16" s="8">
        <v>0</v>
      </c>
      <c r="BO16" s="8">
        <v>5</v>
      </c>
      <c r="BP16" s="8">
        <v>3</v>
      </c>
      <c r="BQ16" s="8">
        <v>7</v>
      </c>
      <c r="BR16" s="8">
        <v>3</v>
      </c>
      <c r="BS16" s="8">
        <v>3</v>
      </c>
      <c r="BT16" s="8">
        <v>6</v>
      </c>
      <c r="BU16" s="8">
        <v>0</v>
      </c>
      <c r="BV16" s="8">
        <v>11</v>
      </c>
      <c r="BW16" s="8">
        <v>11</v>
      </c>
      <c r="BX16" s="8">
        <v>3</v>
      </c>
      <c r="BY16" s="8">
        <v>24</v>
      </c>
      <c r="BZ16" s="8">
        <v>27</v>
      </c>
      <c r="CA16">
        <v>10</v>
      </c>
      <c r="CB16">
        <v>21</v>
      </c>
      <c r="CC16">
        <v>31</v>
      </c>
      <c r="CD16">
        <v>13</v>
      </c>
      <c r="CE16">
        <v>56</v>
      </c>
      <c r="CF16">
        <v>69</v>
      </c>
    </row>
    <row r="17" spans="1:84">
      <c r="A17" s="4" t="s">
        <v>651</v>
      </c>
      <c r="B17">
        <v>1</v>
      </c>
      <c r="C17">
        <v>0</v>
      </c>
      <c r="D17">
        <v>2</v>
      </c>
      <c r="E17">
        <v>1</v>
      </c>
      <c r="F17">
        <v>3</v>
      </c>
      <c r="G17">
        <v>0</v>
      </c>
      <c r="H17">
        <v>0</v>
      </c>
      <c r="I17">
        <v>14</v>
      </c>
      <c r="J17">
        <v>0</v>
      </c>
      <c r="K17">
        <v>1</v>
      </c>
      <c r="L17">
        <v>0</v>
      </c>
      <c r="M17">
        <v>21</v>
      </c>
      <c r="N17">
        <v>80</v>
      </c>
      <c r="O17" s="8">
        <v>0</v>
      </c>
      <c r="P17" s="8">
        <v>0</v>
      </c>
      <c r="Q17">
        <v>0</v>
      </c>
      <c r="R17">
        <v>0</v>
      </c>
      <c r="S17" s="8">
        <v>0</v>
      </c>
      <c r="T17" s="8">
        <v>0</v>
      </c>
      <c r="U17" s="8">
        <v>0</v>
      </c>
      <c r="V17" s="8">
        <v>0</v>
      </c>
      <c r="W17" s="8">
        <v>3</v>
      </c>
      <c r="X17" s="8">
        <v>2</v>
      </c>
      <c r="Y17" s="8">
        <v>0</v>
      </c>
      <c r="Z17" s="8">
        <v>0</v>
      </c>
      <c r="AA17" s="8">
        <v>1</v>
      </c>
      <c r="AB17" s="8">
        <v>2</v>
      </c>
      <c r="AC17" s="8">
        <v>0</v>
      </c>
      <c r="AD17" s="8">
        <v>0</v>
      </c>
      <c r="AE17" s="8">
        <v>1</v>
      </c>
      <c r="AF17" s="8">
        <v>1</v>
      </c>
      <c r="AG17" s="8">
        <v>1</v>
      </c>
      <c r="AH17" s="8">
        <v>0</v>
      </c>
      <c r="AI17" s="8">
        <v>1</v>
      </c>
      <c r="AJ17" s="8">
        <v>0</v>
      </c>
      <c r="AK17" s="8">
        <v>0</v>
      </c>
      <c r="AL17" s="8">
        <v>0</v>
      </c>
      <c r="AM17" s="8">
        <v>0</v>
      </c>
      <c r="AN17" s="8">
        <v>0</v>
      </c>
      <c r="AO17" s="8">
        <v>0</v>
      </c>
      <c r="AP17" s="8">
        <v>0</v>
      </c>
      <c r="AQ17" s="8">
        <v>0</v>
      </c>
      <c r="AR17" s="8">
        <v>0</v>
      </c>
      <c r="AS17" s="8">
        <v>0</v>
      </c>
      <c r="AT17" s="8">
        <v>0</v>
      </c>
      <c r="AU17" s="8">
        <v>1</v>
      </c>
      <c r="AV17" s="8">
        <v>0</v>
      </c>
      <c r="AW17" s="8">
        <v>0</v>
      </c>
      <c r="AX17" s="8">
        <v>1</v>
      </c>
      <c r="AY17" s="8">
        <v>1</v>
      </c>
      <c r="AZ17" s="8">
        <v>0</v>
      </c>
      <c r="BA17" s="8">
        <v>1</v>
      </c>
      <c r="BB17">
        <v>1</v>
      </c>
      <c r="BC17">
        <v>2</v>
      </c>
      <c r="BD17" s="8">
        <v>3</v>
      </c>
      <c r="BE17" s="8">
        <v>0</v>
      </c>
      <c r="BF17" s="8">
        <v>2</v>
      </c>
      <c r="BG17" s="8">
        <v>1</v>
      </c>
      <c r="BH17" s="8">
        <v>1</v>
      </c>
      <c r="BI17" s="8">
        <v>4</v>
      </c>
      <c r="BJ17" s="8">
        <v>2</v>
      </c>
      <c r="BK17" s="8">
        <v>0</v>
      </c>
      <c r="BL17" s="8">
        <v>0</v>
      </c>
      <c r="BM17" s="8">
        <v>0</v>
      </c>
      <c r="BN17" s="8">
        <v>0</v>
      </c>
      <c r="BO17" s="8">
        <v>0</v>
      </c>
      <c r="BP17" s="8">
        <v>2</v>
      </c>
      <c r="BQ17" s="8">
        <v>2</v>
      </c>
      <c r="BR17" s="8">
        <v>2</v>
      </c>
      <c r="BS17" s="8">
        <v>1</v>
      </c>
      <c r="BT17" s="8">
        <v>2</v>
      </c>
      <c r="BU17" s="8">
        <v>1</v>
      </c>
      <c r="BV17" s="8">
        <v>10</v>
      </c>
      <c r="BW17" s="8">
        <v>11</v>
      </c>
      <c r="BX17" s="8">
        <v>0</v>
      </c>
      <c r="BY17" s="8">
        <v>4</v>
      </c>
      <c r="BZ17" s="8">
        <v>4</v>
      </c>
      <c r="CA17">
        <v>4</v>
      </c>
      <c r="CB17">
        <v>8</v>
      </c>
      <c r="CC17">
        <v>12</v>
      </c>
      <c r="CD17">
        <v>5</v>
      </c>
      <c r="CE17">
        <v>22</v>
      </c>
      <c r="CF17">
        <v>27</v>
      </c>
    </row>
    <row r="18" spans="1:84">
      <c r="A18" s="4" t="s">
        <v>653</v>
      </c>
      <c r="B18">
        <v>8</v>
      </c>
      <c r="C18">
        <v>1</v>
      </c>
      <c r="D18">
        <v>0</v>
      </c>
      <c r="E18">
        <v>1</v>
      </c>
      <c r="F18">
        <v>1</v>
      </c>
      <c r="G18">
        <v>1</v>
      </c>
      <c r="H18">
        <v>5</v>
      </c>
      <c r="I18">
        <v>1</v>
      </c>
      <c r="J18">
        <v>1</v>
      </c>
      <c r="K18">
        <v>0</v>
      </c>
      <c r="L18">
        <v>0</v>
      </c>
      <c r="M18">
        <v>15</v>
      </c>
      <c r="N18">
        <v>60</v>
      </c>
      <c r="O18" s="8">
        <v>0</v>
      </c>
      <c r="P18" s="8">
        <v>0</v>
      </c>
      <c r="Q18">
        <v>0</v>
      </c>
      <c r="R18">
        <v>0</v>
      </c>
      <c r="S18" s="8">
        <v>0</v>
      </c>
      <c r="T18" s="8">
        <v>0</v>
      </c>
      <c r="U18" s="8">
        <v>0</v>
      </c>
      <c r="V18" s="8">
        <v>0</v>
      </c>
      <c r="W18" s="8">
        <v>2</v>
      </c>
      <c r="X18" s="8">
        <v>2</v>
      </c>
      <c r="Y18" s="8">
        <v>0</v>
      </c>
      <c r="Z18" s="8">
        <v>0</v>
      </c>
      <c r="AA18" s="8">
        <v>0</v>
      </c>
      <c r="AB18" s="8">
        <v>7</v>
      </c>
      <c r="AC18" s="8">
        <v>0</v>
      </c>
      <c r="AD18" s="8">
        <v>2</v>
      </c>
      <c r="AE18" s="8">
        <v>2</v>
      </c>
      <c r="AF18" s="8">
        <v>4</v>
      </c>
      <c r="AG18" s="8">
        <v>1</v>
      </c>
      <c r="AH18" s="8">
        <v>0</v>
      </c>
      <c r="AI18" s="8">
        <v>1</v>
      </c>
      <c r="AJ18" s="8">
        <v>0</v>
      </c>
      <c r="AK18" s="8">
        <v>0</v>
      </c>
      <c r="AL18" s="8">
        <v>0</v>
      </c>
      <c r="AM18" s="8">
        <v>0</v>
      </c>
      <c r="AN18" s="8">
        <v>0</v>
      </c>
      <c r="AO18" s="8">
        <v>0</v>
      </c>
      <c r="AP18" s="8">
        <v>1</v>
      </c>
      <c r="AQ18" s="8">
        <v>3</v>
      </c>
      <c r="AR18" s="8">
        <v>4</v>
      </c>
      <c r="AS18" s="8">
        <v>0</v>
      </c>
      <c r="AT18" s="8">
        <v>0</v>
      </c>
      <c r="AU18" s="8">
        <v>0</v>
      </c>
      <c r="AV18" s="8">
        <v>0</v>
      </c>
      <c r="AW18" s="8">
        <v>0</v>
      </c>
      <c r="AX18" s="8">
        <v>0</v>
      </c>
      <c r="AY18" s="8">
        <v>0</v>
      </c>
      <c r="AZ18" s="8">
        <v>0</v>
      </c>
      <c r="BA18" s="8">
        <v>0</v>
      </c>
      <c r="BB18">
        <v>0</v>
      </c>
      <c r="BC18">
        <v>1</v>
      </c>
      <c r="BD18" s="8">
        <v>1</v>
      </c>
      <c r="BE18" s="8">
        <v>0</v>
      </c>
      <c r="BF18" s="8">
        <v>1</v>
      </c>
      <c r="BG18" s="8">
        <v>1</v>
      </c>
      <c r="BH18" s="8">
        <v>3</v>
      </c>
      <c r="BI18" s="8">
        <v>5</v>
      </c>
      <c r="BJ18" s="8">
        <v>2</v>
      </c>
      <c r="BK18" s="8">
        <v>0</v>
      </c>
      <c r="BL18" s="8">
        <v>0</v>
      </c>
      <c r="BM18" s="8">
        <v>0</v>
      </c>
      <c r="BN18" s="8">
        <v>3</v>
      </c>
      <c r="BO18" s="8">
        <v>2</v>
      </c>
      <c r="BP18" s="8">
        <v>1</v>
      </c>
      <c r="BQ18" s="8">
        <v>3</v>
      </c>
      <c r="BR18" s="8">
        <v>0</v>
      </c>
      <c r="BS18" s="8">
        <v>0</v>
      </c>
      <c r="BT18" s="8">
        <v>0</v>
      </c>
      <c r="BU18" s="8">
        <v>0</v>
      </c>
      <c r="BV18" s="8">
        <v>11</v>
      </c>
      <c r="BW18" s="8">
        <v>11</v>
      </c>
      <c r="BX18" s="8">
        <v>1</v>
      </c>
      <c r="BY18" s="8">
        <v>4</v>
      </c>
      <c r="BZ18" s="8">
        <v>5</v>
      </c>
      <c r="CA18">
        <v>4</v>
      </c>
      <c r="CB18">
        <v>6</v>
      </c>
      <c r="CC18">
        <v>10</v>
      </c>
      <c r="CD18">
        <v>5</v>
      </c>
      <c r="CE18">
        <v>21</v>
      </c>
      <c r="CF18">
        <v>26</v>
      </c>
    </row>
    <row r="19" spans="1:84">
      <c r="A19" s="4" t="s">
        <v>654</v>
      </c>
      <c r="B19">
        <v>1</v>
      </c>
      <c r="C19">
        <v>0</v>
      </c>
      <c r="D19">
        <v>1</v>
      </c>
      <c r="E19">
        <v>0</v>
      </c>
      <c r="F19">
        <v>1</v>
      </c>
      <c r="G19">
        <v>1</v>
      </c>
      <c r="H19">
        <v>0</v>
      </c>
      <c r="I19">
        <v>6</v>
      </c>
      <c r="J19">
        <v>0</v>
      </c>
      <c r="K19">
        <v>0</v>
      </c>
      <c r="L19">
        <v>5</v>
      </c>
      <c r="M19">
        <v>16</v>
      </c>
      <c r="N19">
        <v>40</v>
      </c>
      <c r="O19" s="8">
        <v>0</v>
      </c>
      <c r="P19" s="8">
        <v>0</v>
      </c>
      <c r="Q19">
        <v>0</v>
      </c>
      <c r="R19">
        <v>0</v>
      </c>
      <c r="S19" s="8">
        <v>0</v>
      </c>
      <c r="T19" s="8">
        <v>0</v>
      </c>
      <c r="U19" s="8">
        <v>0</v>
      </c>
      <c r="V19" s="8">
        <v>0</v>
      </c>
      <c r="W19" s="8">
        <v>3</v>
      </c>
      <c r="X19" s="8">
        <v>1</v>
      </c>
      <c r="Y19" s="8">
        <v>0</v>
      </c>
      <c r="Z19" s="8">
        <v>0</v>
      </c>
      <c r="AA19" s="8">
        <v>0</v>
      </c>
      <c r="AB19" s="8">
        <v>0</v>
      </c>
      <c r="AC19" s="8">
        <v>0</v>
      </c>
      <c r="AD19" s="8">
        <v>0</v>
      </c>
      <c r="AE19" s="8">
        <v>0</v>
      </c>
      <c r="AF19" s="8">
        <v>0</v>
      </c>
      <c r="AG19" s="8">
        <v>0</v>
      </c>
      <c r="AH19" s="8">
        <v>0</v>
      </c>
      <c r="AI19" s="8">
        <v>0</v>
      </c>
      <c r="AJ19" s="8">
        <v>0</v>
      </c>
      <c r="AK19" s="8">
        <v>0</v>
      </c>
      <c r="AL19" s="8">
        <v>0</v>
      </c>
      <c r="AM19" s="8">
        <v>0</v>
      </c>
      <c r="AN19" s="8">
        <v>0</v>
      </c>
      <c r="AO19" s="8">
        <v>0</v>
      </c>
      <c r="AP19" s="8">
        <v>0</v>
      </c>
      <c r="AQ19" s="8">
        <v>1</v>
      </c>
      <c r="AR19" s="8">
        <v>1</v>
      </c>
      <c r="AS19" s="8">
        <v>1</v>
      </c>
      <c r="AT19" s="8">
        <v>0</v>
      </c>
      <c r="AU19" s="8">
        <v>0</v>
      </c>
      <c r="AV19" s="8">
        <v>3</v>
      </c>
      <c r="AW19" s="8">
        <v>2</v>
      </c>
      <c r="AX19" s="8">
        <v>5</v>
      </c>
      <c r="AY19" s="8">
        <v>2</v>
      </c>
      <c r="AZ19" s="8">
        <v>1</v>
      </c>
      <c r="BA19" s="8">
        <v>3</v>
      </c>
      <c r="BB19">
        <v>2</v>
      </c>
      <c r="BC19">
        <v>4</v>
      </c>
      <c r="BD19" s="8">
        <v>6</v>
      </c>
      <c r="BE19" s="8">
        <v>3</v>
      </c>
      <c r="BF19" s="8">
        <v>0</v>
      </c>
      <c r="BG19" s="8">
        <v>1</v>
      </c>
      <c r="BH19" s="8">
        <v>3</v>
      </c>
      <c r="BI19" s="8">
        <v>4</v>
      </c>
      <c r="BJ19" s="8">
        <v>4</v>
      </c>
      <c r="BK19" s="8">
        <v>0</v>
      </c>
      <c r="BL19" s="8">
        <v>0</v>
      </c>
      <c r="BM19" s="8">
        <v>0</v>
      </c>
      <c r="BN19" s="8">
        <v>1</v>
      </c>
      <c r="BO19" s="8">
        <v>1</v>
      </c>
      <c r="BP19" s="8">
        <v>1</v>
      </c>
      <c r="BQ19" s="8">
        <v>2</v>
      </c>
      <c r="BR19" s="8">
        <v>1</v>
      </c>
      <c r="BS19" s="8">
        <v>0</v>
      </c>
      <c r="BT19" s="8">
        <v>1</v>
      </c>
      <c r="BU19" s="8">
        <v>0</v>
      </c>
      <c r="BV19" s="8">
        <v>2</v>
      </c>
      <c r="BW19" s="8">
        <v>2</v>
      </c>
      <c r="BX19" s="8">
        <v>0</v>
      </c>
      <c r="BY19" s="8">
        <v>1</v>
      </c>
      <c r="BZ19" s="8">
        <v>1</v>
      </c>
      <c r="CA19">
        <v>1</v>
      </c>
      <c r="CB19">
        <v>2</v>
      </c>
      <c r="CC19">
        <v>3</v>
      </c>
      <c r="CD19">
        <v>1</v>
      </c>
      <c r="CE19">
        <v>5</v>
      </c>
      <c r="CF19">
        <v>6</v>
      </c>
    </row>
    <row r="20" spans="1:84">
      <c r="A20" s="4" t="s">
        <v>647</v>
      </c>
      <c r="B20">
        <v>1</v>
      </c>
      <c r="C20">
        <v>0</v>
      </c>
      <c r="D20">
        <v>1</v>
      </c>
      <c r="E20">
        <v>0</v>
      </c>
      <c r="F20">
        <v>1</v>
      </c>
      <c r="G20">
        <v>2</v>
      </c>
      <c r="H20">
        <v>3</v>
      </c>
      <c r="I20">
        <v>2</v>
      </c>
      <c r="J20">
        <v>1</v>
      </c>
      <c r="K20">
        <v>0</v>
      </c>
      <c r="L20">
        <v>5</v>
      </c>
      <c r="M20">
        <v>20</v>
      </c>
      <c r="N20">
        <v>40</v>
      </c>
      <c r="O20" s="8">
        <v>0</v>
      </c>
      <c r="P20" s="8">
        <v>0</v>
      </c>
      <c r="Q20">
        <v>0</v>
      </c>
      <c r="R20">
        <v>0</v>
      </c>
      <c r="S20" s="8">
        <v>0</v>
      </c>
      <c r="T20" s="8">
        <v>0</v>
      </c>
      <c r="U20" s="8">
        <v>0</v>
      </c>
      <c r="V20" s="8">
        <v>0</v>
      </c>
      <c r="W20" s="8">
        <v>2</v>
      </c>
      <c r="X20" s="8">
        <v>1</v>
      </c>
      <c r="Y20" s="8">
        <v>0</v>
      </c>
      <c r="Z20" s="8">
        <v>0</v>
      </c>
      <c r="AA20" s="8">
        <v>0</v>
      </c>
      <c r="AB20" s="8">
        <v>1</v>
      </c>
      <c r="AC20" s="8">
        <v>1</v>
      </c>
      <c r="AD20" s="8">
        <v>0</v>
      </c>
      <c r="AE20" s="8">
        <v>2</v>
      </c>
      <c r="AF20" s="8">
        <v>2</v>
      </c>
      <c r="AG20" s="8">
        <v>1</v>
      </c>
      <c r="AH20" s="8">
        <v>1</v>
      </c>
      <c r="AI20" s="8">
        <v>2</v>
      </c>
      <c r="AJ20" s="8">
        <v>0</v>
      </c>
      <c r="AK20" s="8">
        <v>0</v>
      </c>
      <c r="AL20" s="8">
        <v>0</v>
      </c>
      <c r="AM20" s="8">
        <v>0</v>
      </c>
      <c r="AN20" s="8">
        <v>1</v>
      </c>
      <c r="AO20" s="8">
        <v>1</v>
      </c>
      <c r="AP20" s="8">
        <v>1</v>
      </c>
      <c r="AQ20" s="8">
        <v>4</v>
      </c>
      <c r="AR20" s="8">
        <v>5</v>
      </c>
      <c r="AS20" s="8">
        <v>1</v>
      </c>
      <c r="AT20" s="8">
        <v>1</v>
      </c>
      <c r="AU20" s="8">
        <v>1</v>
      </c>
      <c r="AV20" s="8">
        <v>4</v>
      </c>
      <c r="AW20" s="8">
        <v>1</v>
      </c>
      <c r="AX20" s="8">
        <v>6</v>
      </c>
      <c r="AY20" s="8">
        <v>0</v>
      </c>
      <c r="AZ20" s="8">
        <v>1</v>
      </c>
      <c r="BA20" s="8">
        <v>1</v>
      </c>
      <c r="BB20">
        <v>0</v>
      </c>
      <c r="BC20">
        <v>1</v>
      </c>
      <c r="BD20" s="8">
        <v>1</v>
      </c>
      <c r="BE20" s="8">
        <v>7</v>
      </c>
      <c r="BF20" s="8">
        <v>0</v>
      </c>
      <c r="BG20" s="8">
        <v>0</v>
      </c>
      <c r="BH20" s="8">
        <v>1</v>
      </c>
      <c r="BI20" s="8">
        <v>1</v>
      </c>
      <c r="BJ20" s="8">
        <v>2</v>
      </c>
      <c r="BK20" s="8">
        <v>0</v>
      </c>
      <c r="BL20" s="8">
        <v>0</v>
      </c>
      <c r="BM20" s="8">
        <v>0</v>
      </c>
      <c r="BN20" s="8">
        <v>3</v>
      </c>
      <c r="BO20" s="8">
        <v>0</v>
      </c>
      <c r="BP20" s="8">
        <v>1</v>
      </c>
      <c r="BQ20" s="8">
        <v>1</v>
      </c>
      <c r="BR20" s="8">
        <v>0</v>
      </c>
      <c r="BS20" s="8">
        <v>0</v>
      </c>
      <c r="BT20" s="8">
        <v>0</v>
      </c>
      <c r="BU20" s="8">
        <v>0</v>
      </c>
      <c r="BV20" s="8">
        <v>12</v>
      </c>
      <c r="BW20" s="8">
        <v>12</v>
      </c>
      <c r="BX20" s="8">
        <v>1</v>
      </c>
      <c r="BY20" s="8">
        <v>2</v>
      </c>
      <c r="BZ20" s="8">
        <v>3</v>
      </c>
      <c r="CA20">
        <v>1</v>
      </c>
      <c r="CB20">
        <v>2</v>
      </c>
      <c r="CC20">
        <v>3</v>
      </c>
      <c r="CD20">
        <v>2</v>
      </c>
      <c r="CE20">
        <v>16</v>
      </c>
      <c r="CF20">
        <v>18</v>
      </c>
    </row>
    <row r="21" spans="1:84">
      <c r="A21" s="4" t="s">
        <v>738</v>
      </c>
      <c r="B21">
        <v>0</v>
      </c>
      <c r="C21">
        <v>0</v>
      </c>
      <c r="D21">
        <v>0</v>
      </c>
      <c r="E21">
        <v>1</v>
      </c>
      <c r="F21">
        <v>1</v>
      </c>
      <c r="G21">
        <v>0</v>
      </c>
      <c r="H21">
        <v>0</v>
      </c>
      <c r="I21">
        <v>0</v>
      </c>
      <c r="J21">
        <v>0</v>
      </c>
      <c r="K21">
        <v>0</v>
      </c>
      <c r="L21">
        <v>0</v>
      </c>
      <c r="M21">
        <v>20</v>
      </c>
      <c r="N21">
        <v>40</v>
      </c>
      <c r="O21" s="8">
        <v>0</v>
      </c>
      <c r="P21" s="8">
        <v>0</v>
      </c>
      <c r="Q21">
        <v>0</v>
      </c>
      <c r="R21">
        <v>0</v>
      </c>
      <c r="S21" s="8">
        <v>0</v>
      </c>
      <c r="T21" s="8">
        <v>0</v>
      </c>
      <c r="U21" s="8">
        <v>0</v>
      </c>
      <c r="V21" s="8">
        <v>0</v>
      </c>
      <c r="W21" s="8">
        <v>0</v>
      </c>
      <c r="X21" s="8">
        <v>0</v>
      </c>
      <c r="Y21" s="8">
        <v>0</v>
      </c>
      <c r="Z21" s="8">
        <v>0</v>
      </c>
      <c r="AA21" s="8">
        <v>0</v>
      </c>
      <c r="AB21" s="8">
        <v>1</v>
      </c>
      <c r="AC21" s="8">
        <v>0</v>
      </c>
      <c r="AD21" s="8">
        <v>0</v>
      </c>
      <c r="AE21" s="8">
        <v>0</v>
      </c>
      <c r="AF21" s="8">
        <v>0</v>
      </c>
      <c r="AG21" s="8">
        <v>0</v>
      </c>
      <c r="AH21" s="8">
        <v>0</v>
      </c>
      <c r="AI21" s="8">
        <v>0</v>
      </c>
      <c r="AJ21" s="8">
        <v>0</v>
      </c>
      <c r="AK21" s="8">
        <v>0</v>
      </c>
      <c r="AL21" s="8">
        <v>0</v>
      </c>
      <c r="AM21" s="8">
        <v>0</v>
      </c>
      <c r="AN21" s="8">
        <v>0</v>
      </c>
      <c r="AO21" s="8">
        <v>0</v>
      </c>
      <c r="AP21" s="8">
        <v>0</v>
      </c>
      <c r="AQ21" s="8">
        <v>1</v>
      </c>
      <c r="AR21" s="8">
        <v>1</v>
      </c>
      <c r="AS21" s="8">
        <v>0</v>
      </c>
      <c r="AT21" s="8">
        <v>1</v>
      </c>
      <c r="AU21" s="8">
        <v>0</v>
      </c>
      <c r="AV21" s="8">
        <v>1</v>
      </c>
      <c r="AW21" s="8">
        <v>0</v>
      </c>
      <c r="AX21" s="8">
        <v>1</v>
      </c>
      <c r="AY21" s="8">
        <v>0</v>
      </c>
      <c r="AZ21" s="8">
        <v>0</v>
      </c>
      <c r="BA21" s="8">
        <v>0</v>
      </c>
      <c r="BB21">
        <v>0</v>
      </c>
      <c r="BC21">
        <v>1</v>
      </c>
      <c r="BD21" s="8">
        <v>1</v>
      </c>
      <c r="BE21" s="8">
        <v>0</v>
      </c>
      <c r="BF21" s="8">
        <v>0</v>
      </c>
      <c r="BG21" s="8">
        <v>0</v>
      </c>
      <c r="BH21" s="8">
        <v>0</v>
      </c>
      <c r="BI21" s="8">
        <v>0</v>
      </c>
      <c r="BJ21" s="8">
        <v>1</v>
      </c>
      <c r="BK21" s="8">
        <v>0</v>
      </c>
      <c r="BL21" s="8">
        <v>0</v>
      </c>
      <c r="BM21" s="8">
        <v>0</v>
      </c>
      <c r="BN21" s="8">
        <v>1</v>
      </c>
      <c r="BO21" s="8">
        <v>1</v>
      </c>
      <c r="BP21" s="8">
        <v>2</v>
      </c>
      <c r="BQ21" s="8">
        <v>3</v>
      </c>
      <c r="BR21" s="8">
        <v>1</v>
      </c>
      <c r="BS21" s="8">
        <v>3</v>
      </c>
      <c r="BT21" s="8">
        <v>4</v>
      </c>
      <c r="BU21" s="8">
        <v>1</v>
      </c>
      <c r="BV21" s="8">
        <v>5</v>
      </c>
      <c r="BW21" s="8">
        <v>6</v>
      </c>
      <c r="BX21" s="8">
        <v>0</v>
      </c>
      <c r="BY21" s="8">
        <v>12</v>
      </c>
      <c r="BZ21" s="8">
        <v>12</v>
      </c>
      <c r="CA21">
        <v>7</v>
      </c>
      <c r="CB21">
        <v>8</v>
      </c>
      <c r="CC21">
        <v>15</v>
      </c>
      <c r="CD21">
        <v>8</v>
      </c>
      <c r="CE21">
        <v>25</v>
      </c>
      <c r="CF21">
        <v>33</v>
      </c>
    </row>
    <row r="22" spans="1:84">
      <c r="A22" s="4" t="s">
        <v>761</v>
      </c>
      <c r="B22">
        <v>3</v>
      </c>
      <c r="C22">
        <v>0</v>
      </c>
      <c r="D22">
        <v>2</v>
      </c>
      <c r="E22">
        <v>1</v>
      </c>
      <c r="F22">
        <v>3</v>
      </c>
      <c r="G22">
        <v>0</v>
      </c>
      <c r="H22">
        <v>5</v>
      </c>
      <c r="I22">
        <v>2</v>
      </c>
      <c r="J22">
        <v>0</v>
      </c>
      <c r="K22">
        <v>0</v>
      </c>
      <c r="L22">
        <v>0</v>
      </c>
      <c r="M22">
        <v>11</v>
      </c>
      <c r="N22">
        <v>60</v>
      </c>
      <c r="O22" s="8">
        <v>0</v>
      </c>
      <c r="P22" s="8">
        <v>0</v>
      </c>
      <c r="Q22">
        <v>0</v>
      </c>
      <c r="R22">
        <v>0</v>
      </c>
      <c r="S22" s="8">
        <v>0</v>
      </c>
      <c r="T22" s="8">
        <v>0</v>
      </c>
      <c r="U22" s="8">
        <v>0</v>
      </c>
      <c r="V22" s="8">
        <v>0</v>
      </c>
      <c r="W22" s="8">
        <v>0</v>
      </c>
      <c r="X22" s="8">
        <v>0</v>
      </c>
      <c r="Y22" s="8">
        <v>0</v>
      </c>
      <c r="Z22" s="8">
        <v>0</v>
      </c>
      <c r="AA22" s="8">
        <v>0</v>
      </c>
      <c r="AB22" s="8">
        <v>2</v>
      </c>
      <c r="AC22" s="8">
        <v>0</v>
      </c>
      <c r="AD22" s="8">
        <v>0</v>
      </c>
      <c r="AE22" s="8">
        <v>0</v>
      </c>
      <c r="AF22" s="8">
        <v>0</v>
      </c>
      <c r="AG22" s="8">
        <v>0</v>
      </c>
      <c r="AH22" s="8">
        <v>0</v>
      </c>
      <c r="AI22" s="8">
        <v>0</v>
      </c>
      <c r="AJ22" s="8">
        <v>0</v>
      </c>
      <c r="AK22" s="8">
        <v>0</v>
      </c>
      <c r="AL22" s="8">
        <v>0</v>
      </c>
      <c r="AM22" s="8">
        <v>2</v>
      </c>
      <c r="AN22" s="8">
        <v>0</v>
      </c>
      <c r="AO22" s="8">
        <v>2</v>
      </c>
      <c r="AP22" s="8">
        <v>0</v>
      </c>
      <c r="AQ22" s="8">
        <v>0</v>
      </c>
      <c r="AR22" s="8">
        <v>0</v>
      </c>
      <c r="AS22" s="8">
        <v>1</v>
      </c>
      <c r="AT22" s="8">
        <v>3</v>
      </c>
      <c r="AU22" s="8">
        <v>1</v>
      </c>
      <c r="AV22" s="8">
        <v>1</v>
      </c>
      <c r="AW22" s="8">
        <v>3</v>
      </c>
      <c r="AX22" s="8">
        <v>5</v>
      </c>
      <c r="AY22" s="8">
        <v>0</v>
      </c>
      <c r="AZ22" s="8">
        <v>0</v>
      </c>
      <c r="BA22" s="8">
        <v>0</v>
      </c>
      <c r="BB22">
        <v>0</v>
      </c>
      <c r="BC22">
        <v>0</v>
      </c>
      <c r="BD22" s="8">
        <v>0</v>
      </c>
      <c r="BE22" s="8">
        <v>1</v>
      </c>
      <c r="BF22" s="8">
        <v>0</v>
      </c>
      <c r="BG22" s="8">
        <v>1</v>
      </c>
      <c r="BH22" s="8">
        <v>1</v>
      </c>
      <c r="BI22" s="8">
        <v>2</v>
      </c>
      <c r="BJ22" s="8">
        <v>0</v>
      </c>
      <c r="BK22" s="8">
        <v>0</v>
      </c>
      <c r="BL22" s="8">
        <v>0</v>
      </c>
      <c r="BM22" s="8">
        <v>0</v>
      </c>
      <c r="BN22" s="8">
        <v>0</v>
      </c>
      <c r="BO22" s="8">
        <v>0</v>
      </c>
      <c r="BP22" s="8">
        <v>1</v>
      </c>
      <c r="BQ22" s="8">
        <v>1</v>
      </c>
      <c r="BR22" s="8">
        <v>0</v>
      </c>
      <c r="BS22" s="8">
        <v>0</v>
      </c>
      <c r="BT22" s="8">
        <v>0</v>
      </c>
      <c r="BU22" s="8">
        <v>0</v>
      </c>
      <c r="BV22" s="8">
        <v>2</v>
      </c>
      <c r="BW22" s="8">
        <v>2</v>
      </c>
      <c r="BX22" s="8">
        <v>0</v>
      </c>
      <c r="BY22" s="8">
        <v>6</v>
      </c>
      <c r="BZ22" s="8">
        <v>6</v>
      </c>
      <c r="CA22">
        <v>0</v>
      </c>
      <c r="CB22">
        <v>1</v>
      </c>
      <c r="CC22">
        <v>1</v>
      </c>
      <c r="CD22">
        <v>0</v>
      </c>
      <c r="CE22">
        <v>9</v>
      </c>
      <c r="CF22">
        <v>9</v>
      </c>
    </row>
    <row r="23" spans="1:84">
      <c r="A23" s="4" t="s">
        <v>120</v>
      </c>
      <c r="B23">
        <v>41</v>
      </c>
      <c r="C23">
        <v>1</v>
      </c>
      <c r="D23">
        <v>12</v>
      </c>
      <c r="E23">
        <v>11</v>
      </c>
      <c r="F23">
        <v>23</v>
      </c>
      <c r="G23">
        <v>15</v>
      </c>
      <c r="H23">
        <v>30</v>
      </c>
      <c r="I23">
        <v>48</v>
      </c>
      <c r="J23">
        <v>2</v>
      </c>
      <c r="K23">
        <v>1</v>
      </c>
      <c r="L23">
        <v>15</v>
      </c>
      <c r="M23">
        <v>322</v>
      </c>
      <c r="N23">
        <v>860</v>
      </c>
      <c r="O23" s="8">
        <v>0</v>
      </c>
      <c r="P23" s="8">
        <v>1</v>
      </c>
      <c r="Q23">
        <v>0</v>
      </c>
      <c r="R23">
        <v>0</v>
      </c>
      <c r="S23" s="8">
        <v>7</v>
      </c>
      <c r="T23" s="8">
        <v>1</v>
      </c>
      <c r="U23" s="8">
        <v>3</v>
      </c>
      <c r="V23" s="8">
        <v>0</v>
      </c>
      <c r="W23" s="8">
        <v>15</v>
      </c>
      <c r="X23" s="8">
        <v>8</v>
      </c>
      <c r="Y23" s="8">
        <v>0</v>
      </c>
      <c r="Z23" s="8">
        <v>0</v>
      </c>
      <c r="AA23" s="8">
        <v>6</v>
      </c>
      <c r="AB23" s="8">
        <v>31</v>
      </c>
      <c r="AC23" s="8">
        <v>8</v>
      </c>
      <c r="AD23" s="8">
        <v>5</v>
      </c>
      <c r="AE23" s="8">
        <v>6</v>
      </c>
      <c r="AF23" s="8">
        <v>11</v>
      </c>
      <c r="AG23" s="8">
        <v>5</v>
      </c>
      <c r="AH23" s="8">
        <v>4</v>
      </c>
      <c r="AI23" s="8">
        <v>9</v>
      </c>
      <c r="AJ23" s="8">
        <v>6</v>
      </c>
      <c r="AK23" s="8">
        <v>1</v>
      </c>
      <c r="AL23" s="8">
        <v>7</v>
      </c>
      <c r="AM23" s="8">
        <v>5</v>
      </c>
      <c r="AN23" s="8">
        <v>4</v>
      </c>
      <c r="AO23" s="8">
        <v>9</v>
      </c>
      <c r="AP23" s="8">
        <v>3</v>
      </c>
      <c r="AQ23" s="8">
        <v>17</v>
      </c>
      <c r="AR23" s="8">
        <v>20</v>
      </c>
      <c r="AS23" s="8">
        <v>5</v>
      </c>
      <c r="AT23" s="8">
        <v>6</v>
      </c>
      <c r="AU23" s="8">
        <v>4</v>
      </c>
      <c r="AV23" s="8">
        <v>12</v>
      </c>
      <c r="AW23" s="8">
        <v>6</v>
      </c>
      <c r="AX23" s="8">
        <v>22</v>
      </c>
      <c r="AY23" s="8">
        <v>7</v>
      </c>
      <c r="AZ23" s="8">
        <v>8</v>
      </c>
      <c r="BA23" s="8">
        <v>15</v>
      </c>
      <c r="BB23">
        <v>7</v>
      </c>
      <c r="BC23">
        <v>23</v>
      </c>
      <c r="BD23" s="8">
        <v>30</v>
      </c>
      <c r="BE23" s="8">
        <v>19</v>
      </c>
      <c r="BF23" s="8">
        <v>8</v>
      </c>
      <c r="BG23" s="8">
        <v>7</v>
      </c>
      <c r="BH23" s="8">
        <v>16</v>
      </c>
      <c r="BI23" s="8">
        <v>31</v>
      </c>
      <c r="BJ23" s="8">
        <v>22</v>
      </c>
      <c r="BK23" s="8">
        <v>0</v>
      </c>
      <c r="BL23" s="8">
        <v>0</v>
      </c>
      <c r="BM23" s="8">
        <v>0</v>
      </c>
      <c r="BN23" s="8">
        <v>13</v>
      </c>
      <c r="BO23" s="8">
        <v>14</v>
      </c>
      <c r="BP23" s="8">
        <v>19</v>
      </c>
      <c r="BQ23" s="8">
        <v>30</v>
      </c>
      <c r="BR23" s="8">
        <v>20</v>
      </c>
      <c r="BS23" s="8">
        <v>21</v>
      </c>
      <c r="BT23" s="8">
        <v>36</v>
      </c>
      <c r="BU23" s="8">
        <v>5</v>
      </c>
      <c r="BV23" s="8">
        <v>104</v>
      </c>
      <c r="BW23" s="8">
        <v>109</v>
      </c>
      <c r="BX23" s="8">
        <v>11</v>
      </c>
      <c r="BY23" s="8">
        <v>120</v>
      </c>
      <c r="BZ23" s="8">
        <v>131</v>
      </c>
      <c r="CA23">
        <v>57</v>
      </c>
      <c r="CB23">
        <v>115</v>
      </c>
      <c r="CC23">
        <v>172</v>
      </c>
      <c r="CD23">
        <v>73</v>
      </c>
      <c r="CE23">
        <v>339</v>
      </c>
      <c r="CF23">
        <v>412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7619A-E75B-FB45-8D38-295D2C6E3C68}">
  <dimension ref="A1:Y1448"/>
  <sheetViews>
    <sheetView topLeftCell="A1432" zoomScale="150" workbookViewId="0">
      <selection activeCell="Y1448" sqref="Y1448"/>
    </sheetView>
  </sheetViews>
  <sheetFormatPr baseColWidth="10" defaultRowHeight="16"/>
  <sheetData>
    <row r="1" spans="1:25">
      <c r="A1" t="s">
        <v>0</v>
      </c>
      <c r="B1" t="s">
        <v>1</v>
      </c>
      <c r="C1" t="s">
        <v>2</v>
      </c>
      <c r="D1" t="s">
        <v>3</v>
      </c>
      <c r="E1" t="s">
        <v>4</v>
      </c>
      <c r="F1" t="s">
        <v>337</v>
      </c>
      <c r="G1" t="s">
        <v>428</v>
      </c>
      <c r="H1" t="s">
        <v>429</v>
      </c>
      <c r="I1" t="s">
        <v>597</v>
      </c>
      <c r="J1" t="s">
        <v>430</v>
      </c>
      <c r="K1" t="s">
        <v>598</v>
      </c>
      <c r="L1" t="s">
        <v>599</v>
      </c>
      <c r="M1" t="s">
        <v>431</v>
      </c>
      <c r="N1" t="s">
        <v>193</v>
      </c>
      <c r="O1" t="s">
        <v>194</v>
      </c>
      <c r="P1" t="s">
        <v>184</v>
      </c>
      <c r="Q1" t="s">
        <v>185</v>
      </c>
      <c r="R1" t="s">
        <v>186</v>
      </c>
      <c r="S1" t="s">
        <v>187</v>
      </c>
      <c r="T1" t="s">
        <v>189</v>
      </c>
      <c r="U1" t="s">
        <v>188</v>
      </c>
      <c r="V1" t="s">
        <v>7</v>
      </c>
      <c r="W1" t="s">
        <v>8</v>
      </c>
      <c r="X1" t="s">
        <v>600</v>
      </c>
      <c r="Y1" t="s">
        <v>464</v>
      </c>
    </row>
    <row r="2" spans="1:25">
      <c r="A2" t="s">
        <v>688</v>
      </c>
      <c r="B2">
        <v>21.534326240999999</v>
      </c>
      <c r="C2">
        <v>15.679410302000001</v>
      </c>
      <c r="D2" t="s">
        <v>9</v>
      </c>
      <c r="E2">
        <v>1</v>
      </c>
      <c r="Y2" t="s">
        <v>545</v>
      </c>
    </row>
    <row r="3" spans="1:25">
      <c r="A3" t="s">
        <v>688</v>
      </c>
      <c r="B3">
        <v>24.534326240999999</v>
      </c>
      <c r="C3">
        <v>1</v>
      </c>
      <c r="D3" t="s">
        <v>17</v>
      </c>
      <c r="E3">
        <v>1</v>
      </c>
      <c r="Y3" t="s">
        <v>545</v>
      </c>
    </row>
    <row r="4" spans="1:25">
      <c r="A4" t="s">
        <v>688</v>
      </c>
      <c r="B4">
        <v>24.534326240999999</v>
      </c>
      <c r="C4">
        <v>16.861427806984</v>
      </c>
      <c r="D4" t="s">
        <v>19</v>
      </c>
      <c r="E4">
        <v>1</v>
      </c>
      <c r="Y4" t="s">
        <v>545</v>
      </c>
    </row>
    <row r="5" spans="1:25">
      <c r="A5" t="s">
        <v>688</v>
      </c>
      <c r="B5">
        <v>25.908666941</v>
      </c>
      <c r="C5">
        <v>20</v>
      </c>
      <c r="D5" t="s">
        <v>653</v>
      </c>
      <c r="E5">
        <v>1</v>
      </c>
      <c r="J5" t="s">
        <v>639</v>
      </c>
      <c r="Y5" t="s">
        <v>545</v>
      </c>
    </row>
    <row r="6" spans="1:25">
      <c r="A6" t="s">
        <v>688</v>
      </c>
      <c r="B6">
        <v>28.5895666536615</v>
      </c>
      <c r="C6">
        <v>20</v>
      </c>
      <c r="D6" t="s">
        <v>622</v>
      </c>
      <c r="E6">
        <v>1</v>
      </c>
      <c r="I6" t="s">
        <v>543</v>
      </c>
      <c r="M6" t="s">
        <v>443</v>
      </c>
      <c r="Y6" t="s">
        <v>545</v>
      </c>
    </row>
    <row r="7" spans="1:25">
      <c r="A7" t="s">
        <v>688</v>
      </c>
      <c r="B7">
        <v>30.213736543</v>
      </c>
      <c r="C7">
        <v>17</v>
      </c>
      <c r="D7" t="s">
        <v>27</v>
      </c>
      <c r="E7">
        <v>1</v>
      </c>
      <c r="U7" t="s">
        <v>14</v>
      </c>
      <c r="Y7" t="s">
        <v>545</v>
      </c>
    </row>
    <row r="8" spans="1:25">
      <c r="A8" t="s">
        <v>688</v>
      </c>
      <c r="B8">
        <v>34.213736543000003</v>
      </c>
      <c r="C8">
        <v>7.1820175049840804</v>
      </c>
      <c r="D8" t="s">
        <v>18</v>
      </c>
      <c r="E8">
        <v>1</v>
      </c>
      <c r="Y8" t="s">
        <v>545</v>
      </c>
    </row>
    <row r="9" spans="1:25">
      <c r="A9" t="s">
        <v>688</v>
      </c>
      <c r="B9">
        <v>41.395754047983999</v>
      </c>
      <c r="C9">
        <v>11.600041169670099</v>
      </c>
      <c r="D9" t="s">
        <v>10</v>
      </c>
      <c r="E9">
        <v>1</v>
      </c>
      <c r="Y9" t="s">
        <v>545</v>
      </c>
    </row>
    <row r="10" spans="1:25">
      <c r="A10" t="s">
        <v>688</v>
      </c>
      <c r="B10">
        <v>45.995795217654198</v>
      </c>
      <c r="C10">
        <v>17</v>
      </c>
      <c r="D10" t="s">
        <v>11</v>
      </c>
      <c r="E10">
        <v>1</v>
      </c>
      <c r="T10" t="s">
        <v>16</v>
      </c>
      <c r="Y10" t="s">
        <v>545</v>
      </c>
    </row>
    <row r="11" spans="1:25">
      <c r="A11" t="s">
        <v>688</v>
      </c>
      <c r="B11">
        <v>48.897116608321198</v>
      </c>
      <c r="C11">
        <v>17.720656003678702</v>
      </c>
      <c r="D11" t="s">
        <v>427</v>
      </c>
      <c r="E11">
        <v>1</v>
      </c>
      <c r="R11" t="s">
        <v>20</v>
      </c>
      <c r="S11" t="s">
        <v>43</v>
      </c>
      <c r="Y11" t="s">
        <v>545</v>
      </c>
    </row>
    <row r="12" spans="1:25">
      <c r="A12" t="s">
        <v>688</v>
      </c>
      <c r="B12">
        <v>49.995795217654198</v>
      </c>
      <c r="C12">
        <v>16.621977394345699</v>
      </c>
      <c r="D12" t="s">
        <v>9</v>
      </c>
      <c r="E12">
        <v>2</v>
      </c>
      <c r="Y12" t="s">
        <v>545</v>
      </c>
    </row>
    <row r="13" spans="1:25">
      <c r="A13" t="s">
        <v>688</v>
      </c>
      <c r="B13">
        <v>50.425144334999999</v>
      </c>
      <c r="C13">
        <v>20</v>
      </c>
      <c r="D13" t="s">
        <v>654</v>
      </c>
      <c r="E13">
        <v>1</v>
      </c>
      <c r="J13" t="s">
        <v>611</v>
      </c>
      <c r="Y13" t="s">
        <v>545</v>
      </c>
    </row>
    <row r="14" spans="1:25">
      <c r="A14" t="s">
        <v>688</v>
      </c>
      <c r="B14">
        <v>52.995795217654198</v>
      </c>
      <c r="C14">
        <v>19.698793483669299</v>
      </c>
      <c r="D14" t="s">
        <v>19</v>
      </c>
      <c r="E14">
        <v>2</v>
      </c>
      <c r="Y14" t="s">
        <v>545</v>
      </c>
    </row>
    <row r="15" spans="1:25">
      <c r="A15" t="s">
        <v>688</v>
      </c>
      <c r="B15">
        <v>57.804842581999999</v>
      </c>
      <c r="C15">
        <v>20</v>
      </c>
      <c r="D15" t="s">
        <v>632</v>
      </c>
      <c r="E15">
        <v>1</v>
      </c>
      <c r="I15" t="s">
        <v>439</v>
      </c>
      <c r="M15" t="s">
        <v>438</v>
      </c>
      <c r="Y15" t="s">
        <v>545</v>
      </c>
    </row>
    <row r="16" spans="1:25">
      <c r="A16" t="s">
        <v>688</v>
      </c>
      <c r="B16">
        <v>59.617772611999897</v>
      </c>
      <c r="C16">
        <v>17</v>
      </c>
      <c r="D16" t="s">
        <v>27</v>
      </c>
      <c r="E16">
        <v>2</v>
      </c>
      <c r="U16" t="s">
        <v>14</v>
      </c>
      <c r="Y16" t="s">
        <v>545</v>
      </c>
    </row>
    <row r="17" spans="1:25">
      <c r="A17" t="s">
        <v>688</v>
      </c>
      <c r="B17">
        <v>60.174352416999902</v>
      </c>
      <c r="C17">
        <v>20</v>
      </c>
      <c r="D17" t="s">
        <v>135</v>
      </c>
      <c r="E17">
        <v>1</v>
      </c>
      <c r="Y17" t="s">
        <v>545</v>
      </c>
    </row>
    <row r="18" spans="1:25">
      <c r="A18" t="s">
        <v>688</v>
      </c>
      <c r="B18">
        <v>62.596501339004298</v>
      </c>
      <c r="C18">
        <v>20</v>
      </c>
      <c r="D18" t="s">
        <v>647</v>
      </c>
      <c r="E18">
        <v>1</v>
      </c>
      <c r="H18" t="s">
        <v>435</v>
      </c>
      <c r="M18" t="s">
        <v>544</v>
      </c>
      <c r="Y18" t="s">
        <v>545</v>
      </c>
    </row>
    <row r="19" spans="1:25">
      <c r="A19" t="s">
        <v>688</v>
      </c>
      <c r="B19">
        <v>63.617772611999897</v>
      </c>
      <c r="C19">
        <v>9.0768160893235503</v>
      </c>
      <c r="D19" t="s">
        <v>18</v>
      </c>
      <c r="E19">
        <v>2</v>
      </c>
      <c r="Y19" t="s">
        <v>545</v>
      </c>
    </row>
    <row r="20" spans="1:25">
      <c r="A20" t="s">
        <v>688</v>
      </c>
      <c r="B20">
        <v>72.694588701323497</v>
      </c>
      <c r="C20">
        <v>22.965689766676402</v>
      </c>
      <c r="D20" t="s">
        <v>10</v>
      </c>
      <c r="E20">
        <v>2</v>
      </c>
      <c r="Y20" t="s">
        <v>545</v>
      </c>
    </row>
    <row r="21" spans="1:25">
      <c r="A21" t="s">
        <v>688</v>
      </c>
      <c r="B21">
        <v>83.096275532995094</v>
      </c>
      <c r="C21">
        <v>20</v>
      </c>
      <c r="D21" t="s">
        <v>36</v>
      </c>
      <c r="E21">
        <v>1</v>
      </c>
      <c r="N21">
        <v>95</v>
      </c>
      <c r="O21">
        <v>61</v>
      </c>
      <c r="Q21" t="s">
        <v>692</v>
      </c>
      <c r="Y21" t="s">
        <v>545</v>
      </c>
    </row>
    <row r="22" spans="1:25">
      <c r="A22" t="s">
        <v>688</v>
      </c>
      <c r="B22">
        <v>83.096275532995094</v>
      </c>
      <c r="C22">
        <v>20</v>
      </c>
      <c r="D22" t="s">
        <v>453</v>
      </c>
      <c r="E22">
        <v>1</v>
      </c>
      <c r="Y22" t="s">
        <v>545</v>
      </c>
    </row>
    <row r="23" spans="1:25">
      <c r="A23" t="s">
        <v>688</v>
      </c>
      <c r="B23">
        <v>86.476456452999997</v>
      </c>
      <c r="C23">
        <v>20</v>
      </c>
      <c r="D23" t="s">
        <v>654</v>
      </c>
      <c r="E23">
        <v>2</v>
      </c>
      <c r="I23" t="s">
        <v>446</v>
      </c>
      <c r="M23" t="s">
        <v>727</v>
      </c>
      <c r="Y23" t="s">
        <v>545</v>
      </c>
    </row>
    <row r="24" spans="1:25">
      <c r="A24" t="s">
        <v>688</v>
      </c>
      <c r="B24">
        <v>88.096275532995094</v>
      </c>
      <c r="C24">
        <v>15</v>
      </c>
      <c r="D24" t="s">
        <v>35</v>
      </c>
      <c r="E24">
        <v>1</v>
      </c>
      <c r="Y24" t="s">
        <v>545</v>
      </c>
    </row>
    <row r="25" spans="1:25">
      <c r="A25" t="s">
        <v>688</v>
      </c>
      <c r="B25">
        <v>88.240810577999994</v>
      </c>
      <c r="C25">
        <v>20</v>
      </c>
      <c r="D25" t="s">
        <v>738</v>
      </c>
      <c r="E25">
        <v>1</v>
      </c>
      <c r="L25" t="s">
        <v>51</v>
      </c>
      <c r="M25" t="s">
        <v>739</v>
      </c>
      <c r="Y25" t="s">
        <v>545</v>
      </c>
    </row>
    <row r="26" spans="1:25">
      <c r="A26" t="s">
        <v>688</v>
      </c>
      <c r="B26">
        <v>88.660278468000001</v>
      </c>
      <c r="C26">
        <v>17</v>
      </c>
      <c r="D26" t="s">
        <v>6</v>
      </c>
      <c r="E26">
        <v>1</v>
      </c>
      <c r="T26" t="s">
        <v>22</v>
      </c>
      <c r="Y26" t="s">
        <v>545</v>
      </c>
    </row>
    <row r="27" spans="1:25">
      <c r="A27" t="s">
        <v>688</v>
      </c>
      <c r="B27">
        <v>92.660278468000001</v>
      </c>
      <c r="C27">
        <v>5.4359970649951403</v>
      </c>
      <c r="D27" t="s">
        <v>18</v>
      </c>
      <c r="E27">
        <v>3</v>
      </c>
      <c r="Y27" t="s">
        <v>545</v>
      </c>
    </row>
    <row r="28" spans="1:25">
      <c r="A28" t="s">
        <v>688</v>
      </c>
      <c r="B28">
        <v>95.660278468000001</v>
      </c>
      <c r="C28">
        <v>2.4359970649951399</v>
      </c>
      <c r="D28" t="s">
        <v>19</v>
      </c>
      <c r="E28">
        <v>3</v>
      </c>
      <c r="Y28" t="s">
        <v>545</v>
      </c>
    </row>
    <row r="29" spans="1:25">
      <c r="A29" t="s">
        <v>688</v>
      </c>
      <c r="B29">
        <v>98.096275532995094</v>
      </c>
      <c r="C29">
        <v>33.493433459004798</v>
      </c>
      <c r="D29" t="s">
        <v>10</v>
      </c>
      <c r="E29">
        <v>3</v>
      </c>
      <c r="Y29" t="s">
        <v>545</v>
      </c>
    </row>
    <row r="30" spans="1:25">
      <c r="A30" t="s">
        <v>688</v>
      </c>
      <c r="B30">
        <v>128.589708992</v>
      </c>
      <c r="C30">
        <v>12.6771697359999</v>
      </c>
      <c r="D30" t="s">
        <v>9</v>
      </c>
      <c r="E30">
        <v>3</v>
      </c>
      <c r="Y30" t="s">
        <v>545</v>
      </c>
    </row>
    <row r="31" spans="1:25">
      <c r="A31" t="s">
        <v>688</v>
      </c>
      <c r="B31">
        <v>131.589708992</v>
      </c>
      <c r="C31">
        <v>1</v>
      </c>
      <c r="D31" t="s">
        <v>17</v>
      </c>
      <c r="E31">
        <v>2</v>
      </c>
      <c r="Y31" t="s">
        <v>545</v>
      </c>
    </row>
    <row r="32" spans="1:25">
      <c r="A32" t="s">
        <v>688</v>
      </c>
      <c r="B32">
        <v>131.589708992</v>
      </c>
      <c r="C32">
        <v>9.6771697359999909</v>
      </c>
      <c r="D32" t="s">
        <v>19</v>
      </c>
      <c r="E32">
        <v>4</v>
      </c>
      <c r="Y32" t="s">
        <v>545</v>
      </c>
    </row>
    <row r="33" spans="1:25">
      <c r="A33" t="s">
        <v>688</v>
      </c>
      <c r="B33">
        <v>141.26687872799999</v>
      </c>
      <c r="C33">
        <v>12.328741707983299</v>
      </c>
      <c r="D33" t="s">
        <v>10</v>
      </c>
      <c r="E33">
        <v>4</v>
      </c>
      <c r="Y33" t="s">
        <v>545</v>
      </c>
    </row>
    <row r="34" spans="1:25">
      <c r="A34" t="s">
        <v>688</v>
      </c>
      <c r="B34">
        <v>146.09640083763199</v>
      </c>
      <c r="C34">
        <v>20</v>
      </c>
      <c r="D34" t="s">
        <v>647</v>
      </c>
      <c r="E34">
        <v>2</v>
      </c>
      <c r="I34" t="s">
        <v>440</v>
      </c>
      <c r="M34" t="s">
        <v>607</v>
      </c>
      <c r="Y34" t="s">
        <v>545</v>
      </c>
    </row>
    <row r="35" spans="1:25">
      <c r="A35" t="s">
        <v>688</v>
      </c>
      <c r="B35">
        <v>146.59562043598299</v>
      </c>
      <c r="C35">
        <v>17</v>
      </c>
      <c r="D35" t="s">
        <v>6</v>
      </c>
      <c r="E35">
        <v>2</v>
      </c>
      <c r="T35" t="s">
        <v>21</v>
      </c>
      <c r="U35" t="s">
        <v>28</v>
      </c>
      <c r="Y35" t="s">
        <v>545</v>
      </c>
    </row>
    <row r="36" spans="1:25">
      <c r="A36" t="s">
        <v>688</v>
      </c>
      <c r="B36">
        <v>148.79596729600701</v>
      </c>
      <c r="C36">
        <v>20</v>
      </c>
      <c r="D36" t="s">
        <v>632</v>
      </c>
      <c r="E36">
        <v>2</v>
      </c>
      <c r="I36" t="s">
        <v>442</v>
      </c>
      <c r="M36" t="s">
        <v>607</v>
      </c>
      <c r="Y36" t="s">
        <v>545</v>
      </c>
    </row>
    <row r="37" spans="1:25">
      <c r="A37" t="s">
        <v>688</v>
      </c>
      <c r="B37">
        <v>150.59562043598299</v>
      </c>
      <c r="C37">
        <v>34.001695596010698</v>
      </c>
      <c r="D37" t="s">
        <v>18</v>
      </c>
      <c r="E37">
        <v>4</v>
      </c>
      <c r="Y37" t="s">
        <v>545</v>
      </c>
    </row>
    <row r="38" spans="1:25">
      <c r="A38" t="s">
        <v>688</v>
      </c>
      <c r="B38">
        <v>153.09610582065599</v>
      </c>
      <c r="C38">
        <v>31.501210211337799</v>
      </c>
      <c r="D38" t="s">
        <v>32</v>
      </c>
      <c r="E38">
        <v>1</v>
      </c>
      <c r="R38" t="s">
        <v>23</v>
      </c>
      <c r="Y38" t="s">
        <v>545</v>
      </c>
    </row>
    <row r="39" spans="1:25">
      <c r="A39" t="s">
        <v>688</v>
      </c>
      <c r="B39">
        <v>153.193289211337</v>
      </c>
      <c r="C39">
        <v>20</v>
      </c>
      <c r="D39" t="s">
        <v>636</v>
      </c>
      <c r="E39">
        <v>1</v>
      </c>
      <c r="H39" t="s">
        <v>628</v>
      </c>
      <c r="I39" t="s">
        <v>439</v>
      </c>
      <c r="M39" t="s">
        <v>607</v>
      </c>
      <c r="Y39" t="s">
        <v>545</v>
      </c>
    </row>
    <row r="40" spans="1:25">
      <c r="A40" t="s">
        <v>688</v>
      </c>
      <c r="B40">
        <v>153.59562043598299</v>
      </c>
      <c r="C40">
        <v>133.90131117768999</v>
      </c>
      <c r="D40" t="s">
        <v>19</v>
      </c>
      <c r="E40">
        <v>5</v>
      </c>
      <c r="Y40" t="s">
        <v>545</v>
      </c>
    </row>
    <row r="41" spans="1:25">
      <c r="A41" t="s">
        <v>688</v>
      </c>
      <c r="B41">
        <v>156.71136587500001</v>
      </c>
      <c r="C41">
        <v>20</v>
      </c>
      <c r="D41" t="s">
        <v>653</v>
      </c>
      <c r="E41">
        <v>2</v>
      </c>
      <c r="H41" t="s">
        <v>721</v>
      </c>
      <c r="I41" t="s">
        <v>440</v>
      </c>
      <c r="M41" t="s">
        <v>629</v>
      </c>
      <c r="Y41" t="s">
        <v>545</v>
      </c>
    </row>
    <row r="42" spans="1:25">
      <c r="A42" t="s">
        <v>688</v>
      </c>
      <c r="B42">
        <v>158.795158328974</v>
      </c>
      <c r="C42">
        <v>20</v>
      </c>
      <c r="D42" t="s">
        <v>636</v>
      </c>
      <c r="E42">
        <v>2</v>
      </c>
      <c r="I42" t="s">
        <v>440</v>
      </c>
      <c r="M42" t="s">
        <v>607</v>
      </c>
      <c r="Y42" t="s">
        <v>545</v>
      </c>
    </row>
    <row r="43" spans="1:25">
      <c r="A43" t="s">
        <v>688</v>
      </c>
      <c r="B43">
        <v>162.39642874999899</v>
      </c>
      <c r="C43">
        <v>20</v>
      </c>
      <c r="D43" t="s">
        <v>632</v>
      </c>
      <c r="E43">
        <v>3</v>
      </c>
      <c r="I43" t="s">
        <v>442</v>
      </c>
      <c r="M43" t="s">
        <v>607</v>
      </c>
      <c r="Y43" t="s">
        <v>545</v>
      </c>
    </row>
    <row r="44" spans="1:25">
      <c r="A44" t="s">
        <v>688</v>
      </c>
      <c r="B44">
        <v>165.896239664652</v>
      </c>
      <c r="C44">
        <v>20</v>
      </c>
      <c r="D44" t="s">
        <v>738</v>
      </c>
      <c r="E44">
        <v>2</v>
      </c>
      <c r="I44" t="s">
        <v>439</v>
      </c>
      <c r="M44" t="s">
        <v>607</v>
      </c>
      <c r="Y44" t="s">
        <v>545</v>
      </c>
    </row>
    <row r="45" spans="1:25">
      <c r="A45" t="s">
        <v>688</v>
      </c>
      <c r="B45">
        <v>166.79669648766099</v>
      </c>
      <c r="C45">
        <v>20</v>
      </c>
      <c r="D45" t="s">
        <v>626</v>
      </c>
      <c r="E45">
        <v>1</v>
      </c>
      <c r="H45" t="s">
        <v>628</v>
      </c>
      <c r="I45" t="s">
        <v>439</v>
      </c>
      <c r="M45" t="s">
        <v>607</v>
      </c>
      <c r="Y45" t="s">
        <v>545</v>
      </c>
    </row>
    <row r="46" spans="1:25">
      <c r="A46" t="s">
        <v>688</v>
      </c>
      <c r="B46">
        <v>168.492091750995</v>
      </c>
      <c r="C46">
        <v>20</v>
      </c>
      <c r="D46" t="s">
        <v>654</v>
      </c>
      <c r="E46">
        <v>3</v>
      </c>
      <c r="H46" t="s">
        <v>623</v>
      </c>
      <c r="I46" t="s">
        <v>442</v>
      </c>
      <c r="M46" t="s">
        <v>629</v>
      </c>
      <c r="Y46" t="s">
        <v>545</v>
      </c>
    </row>
    <row r="47" spans="1:25">
      <c r="A47" t="s">
        <v>688</v>
      </c>
      <c r="B47">
        <v>171.69540934263199</v>
      </c>
      <c r="C47">
        <v>20</v>
      </c>
      <c r="D47" t="s">
        <v>33</v>
      </c>
      <c r="E47">
        <v>1</v>
      </c>
      <c r="Y47" t="s">
        <v>545</v>
      </c>
    </row>
    <row r="48" spans="1:25">
      <c r="A48" t="s">
        <v>688</v>
      </c>
      <c r="B48">
        <v>171.99623566997201</v>
      </c>
      <c r="C48">
        <v>20</v>
      </c>
      <c r="D48" t="s">
        <v>647</v>
      </c>
      <c r="E48">
        <v>3</v>
      </c>
      <c r="I48" t="s">
        <v>613</v>
      </c>
      <c r="M48" t="s">
        <v>618</v>
      </c>
      <c r="Y48" t="s">
        <v>545</v>
      </c>
    </row>
    <row r="49" spans="1:25">
      <c r="A49" t="s">
        <v>688</v>
      </c>
      <c r="B49">
        <v>177.59731603199401</v>
      </c>
      <c r="C49">
        <v>17</v>
      </c>
      <c r="D49" t="s">
        <v>40</v>
      </c>
      <c r="E49">
        <v>1</v>
      </c>
      <c r="U49" t="s">
        <v>14</v>
      </c>
      <c r="Y49" t="s">
        <v>545</v>
      </c>
    </row>
    <row r="50" spans="1:25">
      <c r="A50" t="s">
        <v>688</v>
      </c>
      <c r="B50">
        <v>181.48954363866099</v>
      </c>
      <c r="C50">
        <v>20</v>
      </c>
      <c r="D50" t="s">
        <v>738</v>
      </c>
      <c r="E50">
        <v>3</v>
      </c>
      <c r="I50" t="s">
        <v>440</v>
      </c>
      <c r="M50" t="s">
        <v>438</v>
      </c>
      <c r="Y50" t="s">
        <v>545</v>
      </c>
    </row>
    <row r="51" spans="1:25">
      <c r="A51" t="s">
        <v>688</v>
      </c>
      <c r="B51">
        <v>181.59731603199401</v>
      </c>
      <c r="C51">
        <v>10.5009524069755</v>
      </c>
      <c r="D51" t="s">
        <v>9</v>
      </c>
      <c r="E51">
        <v>4</v>
      </c>
      <c r="Y51" t="s">
        <v>545</v>
      </c>
    </row>
    <row r="52" spans="1:25">
      <c r="A52" t="s">
        <v>688</v>
      </c>
      <c r="B52">
        <v>184.996846795002</v>
      </c>
      <c r="C52">
        <v>20</v>
      </c>
      <c r="D52" t="s">
        <v>642</v>
      </c>
      <c r="E52">
        <v>1</v>
      </c>
      <c r="I52" t="s">
        <v>442</v>
      </c>
      <c r="M52" t="s">
        <v>607</v>
      </c>
      <c r="Y52" t="s">
        <v>545</v>
      </c>
    </row>
    <row r="53" spans="1:25">
      <c r="A53" t="s">
        <v>688</v>
      </c>
      <c r="B53">
        <v>185.098268438969</v>
      </c>
      <c r="C53">
        <v>17</v>
      </c>
      <c r="D53" t="s">
        <v>27</v>
      </c>
      <c r="E53">
        <v>3</v>
      </c>
      <c r="U53" t="s">
        <v>28</v>
      </c>
      <c r="Y53" t="s">
        <v>545</v>
      </c>
    </row>
    <row r="54" spans="1:25">
      <c r="A54" t="s">
        <v>688</v>
      </c>
      <c r="B54">
        <v>187.19313729564499</v>
      </c>
      <c r="C54">
        <v>20</v>
      </c>
      <c r="D54" t="s">
        <v>649</v>
      </c>
      <c r="E54">
        <v>1</v>
      </c>
      <c r="I54" t="s">
        <v>439</v>
      </c>
      <c r="M54" t="s">
        <v>607</v>
      </c>
      <c r="Y54" t="s">
        <v>545</v>
      </c>
    </row>
    <row r="55" spans="1:25">
      <c r="A55" t="s">
        <v>688</v>
      </c>
      <c r="B55">
        <v>187.692447123319</v>
      </c>
      <c r="C55">
        <v>20</v>
      </c>
      <c r="D55" t="s">
        <v>632</v>
      </c>
      <c r="E55">
        <v>4</v>
      </c>
      <c r="H55" t="s">
        <v>445</v>
      </c>
      <c r="I55" t="s">
        <v>439</v>
      </c>
      <c r="M55" t="s">
        <v>607</v>
      </c>
      <c r="Y55" t="s">
        <v>545</v>
      </c>
    </row>
    <row r="56" spans="1:25">
      <c r="A56" t="s">
        <v>688</v>
      </c>
      <c r="B56">
        <v>189.098268438969</v>
      </c>
      <c r="C56">
        <v>46.298743406704503</v>
      </c>
      <c r="D56" t="s">
        <v>18</v>
      </c>
      <c r="E56">
        <v>5</v>
      </c>
      <c r="Y56" t="s">
        <v>545</v>
      </c>
    </row>
    <row r="57" spans="1:25">
      <c r="A57" t="s">
        <v>688</v>
      </c>
      <c r="B57">
        <v>191.63713587699999</v>
      </c>
      <c r="C57">
        <v>20</v>
      </c>
      <c r="D57" t="s">
        <v>645</v>
      </c>
      <c r="E57">
        <v>1</v>
      </c>
      <c r="H57" t="s">
        <v>445</v>
      </c>
      <c r="I57" t="s">
        <v>439</v>
      </c>
      <c r="M57" t="s">
        <v>607</v>
      </c>
      <c r="Y57" t="s">
        <v>545</v>
      </c>
    </row>
    <row r="58" spans="1:25">
      <c r="A58" t="s">
        <v>688</v>
      </c>
      <c r="B58">
        <v>194.19052775766301</v>
      </c>
      <c r="C58">
        <v>19.2073828366577</v>
      </c>
      <c r="D58" t="s">
        <v>32</v>
      </c>
      <c r="E58">
        <v>2</v>
      </c>
      <c r="R58" t="s">
        <v>23</v>
      </c>
      <c r="Y58" t="s">
        <v>545</v>
      </c>
    </row>
    <row r="59" spans="1:25">
      <c r="A59" t="s">
        <v>688</v>
      </c>
      <c r="B59">
        <v>194.595952928629</v>
      </c>
      <c r="C59">
        <v>20</v>
      </c>
      <c r="D59" t="s">
        <v>33</v>
      </c>
      <c r="E59">
        <v>2</v>
      </c>
      <c r="Y59" t="s">
        <v>545</v>
      </c>
    </row>
    <row r="60" spans="1:25">
      <c r="A60" t="s">
        <v>688</v>
      </c>
      <c r="B60">
        <v>195.89705792531899</v>
      </c>
      <c r="C60">
        <v>20</v>
      </c>
      <c r="D60" t="s">
        <v>654</v>
      </c>
      <c r="E60">
        <v>4</v>
      </c>
      <c r="H60" t="s">
        <v>728</v>
      </c>
      <c r="I60" t="s">
        <v>440</v>
      </c>
      <c r="M60" t="s">
        <v>607</v>
      </c>
      <c r="Y60" t="s">
        <v>545</v>
      </c>
    </row>
    <row r="61" spans="1:25">
      <c r="A61" t="s">
        <v>688</v>
      </c>
      <c r="B61">
        <v>198.18956487564</v>
      </c>
      <c r="C61">
        <v>20</v>
      </c>
      <c r="D61" t="s">
        <v>135</v>
      </c>
      <c r="E61">
        <v>2</v>
      </c>
      <c r="Y61" t="s">
        <v>545</v>
      </c>
    </row>
    <row r="62" spans="1:25">
      <c r="A62" t="s">
        <v>688</v>
      </c>
      <c r="B62">
        <v>205.692794851977</v>
      </c>
      <c r="C62">
        <v>20</v>
      </c>
      <c r="D62" t="s">
        <v>738</v>
      </c>
      <c r="E62">
        <v>4</v>
      </c>
      <c r="I62" t="s">
        <v>740</v>
      </c>
      <c r="M62" t="s">
        <v>741</v>
      </c>
      <c r="Y62" t="s">
        <v>545</v>
      </c>
    </row>
    <row r="63" spans="1:25">
      <c r="A63" t="s">
        <v>688</v>
      </c>
      <c r="B63">
        <v>209.29740197698101</v>
      </c>
      <c r="C63">
        <v>20</v>
      </c>
      <c r="D63" t="s">
        <v>649</v>
      </c>
      <c r="E63">
        <v>2</v>
      </c>
      <c r="I63" t="s">
        <v>644</v>
      </c>
      <c r="M63" t="s">
        <v>741</v>
      </c>
      <c r="Y63" t="s">
        <v>545</v>
      </c>
    </row>
    <row r="64" spans="1:25">
      <c r="A64" t="s">
        <v>688</v>
      </c>
      <c r="B64">
        <v>211.495503101982</v>
      </c>
      <c r="C64">
        <v>20</v>
      </c>
      <c r="D64" t="s">
        <v>636</v>
      </c>
      <c r="E64">
        <v>3</v>
      </c>
      <c r="H64" t="s">
        <v>628</v>
      </c>
      <c r="I64" t="s">
        <v>439</v>
      </c>
      <c r="M64" t="s">
        <v>607</v>
      </c>
      <c r="Y64" t="s">
        <v>545</v>
      </c>
    </row>
    <row r="65" spans="1:25">
      <c r="A65" t="s">
        <v>688</v>
      </c>
      <c r="B65">
        <v>212.29711139766999</v>
      </c>
      <c r="C65">
        <v>20.7150021233298</v>
      </c>
      <c r="D65" t="s">
        <v>32</v>
      </c>
      <c r="E65">
        <v>3</v>
      </c>
      <c r="R65" t="s">
        <v>20</v>
      </c>
      <c r="Y65" t="s">
        <v>545</v>
      </c>
    </row>
    <row r="66" spans="1:25">
      <c r="A66" t="s">
        <v>688</v>
      </c>
      <c r="B66">
        <v>213.04532528999999</v>
      </c>
      <c r="C66">
        <v>20</v>
      </c>
      <c r="D66" t="s">
        <v>33</v>
      </c>
      <c r="E66">
        <v>3</v>
      </c>
      <c r="Y66" t="s">
        <v>545</v>
      </c>
    </row>
    <row r="67" spans="1:25">
      <c r="A67" t="s">
        <v>688</v>
      </c>
      <c r="B67">
        <v>213.47243841400001</v>
      </c>
      <c r="C67">
        <v>20</v>
      </c>
      <c r="D67" t="s">
        <v>653</v>
      </c>
      <c r="E67">
        <v>3</v>
      </c>
      <c r="H67" t="s">
        <v>668</v>
      </c>
      <c r="I67" t="s">
        <v>442</v>
      </c>
      <c r="M67" t="s">
        <v>607</v>
      </c>
      <c r="Y67" t="s">
        <v>545</v>
      </c>
    </row>
    <row r="68" spans="1:25">
      <c r="A68" t="s">
        <v>688</v>
      </c>
      <c r="B68">
        <v>215.97163342499999</v>
      </c>
      <c r="C68">
        <v>20</v>
      </c>
      <c r="D68" t="s">
        <v>647</v>
      </c>
      <c r="E68">
        <v>4</v>
      </c>
      <c r="H68" t="s">
        <v>435</v>
      </c>
      <c r="I68" t="s">
        <v>442</v>
      </c>
      <c r="K68" t="s">
        <v>444</v>
      </c>
      <c r="M68" t="s">
        <v>734</v>
      </c>
      <c r="Y68" t="s">
        <v>545</v>
      </c>
    </row>
    <row r="69" spans="1:25">
      <c r="A69" t="s">
        <v>688</v>
      </c>
      <c r="B69">
        <v>217.69647815166201</v>
      </c>
      <c r="C69">
        <v>20</v>
      </c>
      <c r="D69" t="s">
        <v>135</v>
      </c>
      <c r="E69">
        <v>3</v>
      </c>
      <c r="Y69" t="s">
        <v>545</v>
      </c>
    </row>
    <row r="70" spans="1:25">
      <c r="A70" t="s">
        <v>688</v>
      </c>
      <c r="B70">
        <v>218.012113521</v>
      </c>
      <c r="C70">
        <v>20</v>
      </c>
      <c r="D70" t="s">
        <v>36</v>
      </c>
      <c r="E70">
        <v>2</v>
      </c>
      <c r="N70">
        <v>86</v>
      </c>
      <c r="O70">
        <v>43</v>
      </c>
      <c r="Q70" t="s">
        <v>693</v>
      </c>
      <c r="Y70" t="s">
        <v>545</v>
      </c>
    </row>
    <row r="71" spans="1:25">
      <c r="A71" t="s">
        <v>688</v>
      </c>
      <c r="B71">
        <v>222.49769925701</v>
      </c>
      <c r="C71">
        <v>20</v>
      </c>
      <c r="D71" t="s">
        <v>654</v>
      </c>
      <c r="E71">
        <v>5</v>
      </c>
      <c r="L71" t="s">
        <v>448</v>
      </c>
      <c r="Y71" t="s">
        <v>545</v>
      </c>
    </row>
    <row r="72" spans="1:25">
      <c r="A72" t="s">
        <v>688</v>
      </c>
      <c r="B72">
        <v>223.012113521</v>
      </c>
      <c r="C72">
        <v>15</v>
      </c>
      <c r="D72" t="s">
        <v>35</v>
      </c>
      <c r="E72">
        <v>2</v>
      </c>
      <c r="Y72" t="s">
        <v>545</v>
      </c>
    </row>
    <row r="73" spans="1:25">
      <c r="A73" t="s">
        <v>688</v>
      </c>
      <c r="B73">
        <v>228.397011845674</v>
      </c>
      <c r="C73">
        <v>17</v>
      </c>
      <c r="D73" t="s">
        <v>40</v>
      </c>
      <c r="E73">
        <v>2</v>
      </c>
      <c r="U73" t="s">
        <v>14</v>
      </c>
      <c r="Y73" t="s">
        <v>545</v>
      </c>
    </row>
    <row r="74" spans="1:25">
      <c r="A74" t="s">
        <v>688</v>
      </c>
      <c r="B74">
        <v>232.397011845674</v>
      </c>
      <c r="C74">
        <v>12.7006685249786</v>
      </c>
      <c r="D74" t="s">
        <v>9</v>
      </c>
      <c r="E74">
        <v>5</v>
      </c>
      <c r="Y74" t="s">
        <v>545</v>
      </c>
    </row>
    <row r="75" spans="1:25">
      <c r="A75" t="s">
        <v>688</v>
      </c>
      <c r="B75">
        <v>232.715308368</v>
      </c>
      <c r="C75">
        <v>12.382372002652801</v>
      </c>
      <c r="D75" t="s">
        <v>427</v>
      </c>
      <c r="E75">
        <v>2</v>
      </c>
      <c r="R75" t="s">
        <v>20</v>
      </c>
      <c r="S75" t="s">
        <v>43</v>
      </c>
      <c r="Y75" t="s">
        <v>545</v>
      </c>
    </row>
    <row r="76" spans="1:25">
      <c r="A76" t="s">
        <v>688</v>
      </c>
      <c r="B76">
        <v>234.592064712</v>
      </c>
      <c r="C76">
        <v>20</v>
      </c>
      <c r="D76" t="s">
        <v>632</v>
      </c>
      <c r="E76">
        <v>5</v>
      </c>
      <c r="I76" t="s">
        <v>439</v>
      </c>
      <c r="J76" t="s">
        <v>639</v>
      </c>
      <c r="M76" t="s">
        <v>643</v>
      </c>
      <c r="Y76" t="s">
        <v>545</v>
      </c>
    </row>
    <row r="77" spans="1:25">
      <c r="A77" t="s">
        <v>688</v>
      </c>
      <c r="B77">
        <v>238.097680370652</v>
      </c>
      <c r="C77">
        <v>17</v>
      </c>
      <c r="D77" t="s">
        <v>27</v>
      </c>
      <c r="E77">
        <v>4</v>
      </c>
      <c r="U77" t="s">
        <v>14</v>
      </c>
      <c r="Y77" t="s">
        <v>545</v>
      </c>
    </row>
    <row r="78" spans="1:25">
      <c r="A78" t="s">
        <v>688</v>
      </c>
      <c r="B78">
        <v>240.95078394699999</v>
      </c>
      <c r="C78">
        <v>20</v>
      </c>
      <c r="D78" t="s">
        <v>622</v>
      </c>
      <c r="E78">
        <v>2</v>
      </c>
      <c r="H78" t="s">
        <v>628</v>
      </c>
      <c r="I78" t="s">
        <v>53</v>
      </c>
      <c r="M78" t="s">
        <v>638</v>
      </c>
      <c r="Y78" t="s">
        <v>545</v>
      </c>
    </row>
    <row r="79" spans="1:25">
      <c r="A79" t="s">
        <v>688</v>
      </c>
      <c r="B79">
        <v>241.311409134</v>
      </c>
      <c r="C79">
        <v>19.999999999999901</v>
      </c>
      <c r="D79" t="s">
        <v>34</v>
      </c>
      <c r="E79">
        <v>1</v>
      </c>
      <c r="R79" t="s">
        <v>23</v>
      </c>
      <c r="Y79" t="s">
        <v>545</v>
      </c>
    </row>
    <row r="80" spans="1:25">
      <c r="A80" t="s">
        <v>688</v>
      </c>
      <c r="B80">
        <v>242.097680370652</v>
      </c>
      <c r="C80">
        <v>13.695618810678701</v>
      </c>
      <c r="D80" t="s">
        <v>18</v>
      </c>
      <c r="E80">
        <v>6</v>
      </c>
      <c r="Y80" t="s">
        <v>545</v>
      </c>
    </row>
    <row r="81" spans="1:25">
      <c r="A81" t="s">
        <v>688</v>
      </c>
      <c r="B81">
        <v>248.79329918133101</v>
      </c>
      <c r="C81">
        <v>16.999999999999901</v>
      </c>
      <c r="D81" t="s">
        <v>40</v>
      </c>
      <c r="E81">
        <v>3</v>
      </c>
      <c r="U81" t="s">
        <v>14</v>
      </c>
      <c r="Y81" t="s">
        <v>545</v>
      </c>
    </row>
    <row r="82" spans="1:25">
      <c r="A82" t="s">
        <v>688</v>
      </c>
      <c r="B82">
        <v>251.59693287499999</v>
      </c>
      <c r="C82">
        <v>20</v>
      </c>
      <c r="D82" t="s">
        <v>645</v>
      </c>
      <c r="E82">
        <v>2</v>
      </c>
      <c r="J82" t="s">
        <v>611</v>
      </c>
      <c r="Y82" t="s">
        <v>545</v>
      </c>
    </row>
    <row r="83" spans="1:25">
      <c r="A83" t="s">
        <v>688</v>
      </c>
      <c r="B83">
        <v>252.495847544307</v>
      </c>
      <c r="C83">
        <v>20</v>
      </c>
      <c r="D83" t="s">
        <v>632</v>
      </c>
      <c r="E83">
        <v>6</v>
      </c>
      <c r="I83" t="s">
        <v>439</v>
      </c>
      <c r="M83" t="s">
        <v>438</v>
      </c>
      <c r="Y83" t="s">
        <v>545</v>
      </c>
    </row>
    <row r="84" spans="1:25">
      <c r="A84" t="s">
        <v>688</v>
      </c>
      <c r="B84">
        <v>252.79329918133101</v>
      </c>
      <c r="C84">
        <v>10.077920402668401</v>
      </c>
      <c r="D84" t="s">
        <v>9</v>
      </c>
      <c r="E84">
        <v>6</v>
      </c>
      <c r="Y84" t="s">
        <v>545</v>
      </c>
    </row>
    <row r="85" spans="1:25">
      <c r="A85" t="s">
        <v>688</v>
      </c>
      <c r="B85">
        <v>254.196217176961</v>
      </c>
      <c r="C85">
        <v>20</v>
      </c>
      <c r="D85" t="s">
        <v>647</v>
      </c>
      <c r="E85">
        <v>5</v>
      </c>
      <c r="I85" t="s">
        <v>440</v>
      </c>
      <c r="M85" t="s">
        <v>607</v>
      </c>
      <c r="Y85" t="s">
        <v>545</v>
      </c>
    </row>
    <row r="86" spans="1:25">
      <c r="A86" t="s">
        <v>688</v>
      </c>
      <c r="B86">
        <v>255.87121958399999</v>
      </c>
      <c r="C86">
        <v>17</v>
      </c>
      <c r="D86" t="s">
        <v>27</v>
      </c>
      <c r="E86">
        <v>5</v>
      </c>
      <c r="U86" t="s">
        <v>14</v>
      </c>
      <c r="Y86" t="s">
        <v>545</v>
      </c>
    </row>
    <row r="87" spans="1:25">
      <c r="A87" t="s">
        <v>688</v>
      </c>
      <c r="B87">
        <v>258.296870090992</v>
      </c>
      <c r="C87">
        <v>20</v>
      </c>
      <c r="D87" t="s">
        <v>653</v>
      </c>
      <c r="E87">
        <v>4</v>
      </c>
      <c r="I87" t="s">
        <v>439</v>
      </c>
      <c r="M87" t="s">
        <v>607</v>
      </c>
      <c r="Y87" t="s">
        <v>545</v>
      </c>
    </row>
    <row r="88" spans="1:25">
      <c r="A88" t="s">
        <v>688</v>
      </c>
      <c r="B88">
        <v>259.87121958400002</v>
      </c>
      <c r="C88">
        <v>16.020419711658199</v>
      </c>
      <c r="D88" t="s">
        <v>18</v>
      </c>
      <c r="E88">
        <v>7</v>
      </c>
      <c r="Y88" t="s">
        <v>545</v>
      </c>
    </row>
    <row r="89" spans="1:25">
      <c r="A89" t="s">
        <v>688</v>
      </c>
      <c r="B89">
        <v>262.76044655200002</v>
      </c>
      <c r="C89">
        <v>20</v>
      </c>
      <c r="D89" t="s">
        <v>645</v>
      </c>
      <c r="E89">
        <v>3</v>
      </c>
      <c r="H89" t="s">
        <v>623</v>
      </c>
      <c r="M89" t="s">
        <v>676</v>
      </c>
      <c r="Y89" t="s">
        <v>545</v>
      </c>
    </row>
    <row r="90" spans="1:25">
      <c r="A90" t="s">
        <v>688</v>
      </c>
      <c r="B90">
        <v>268.89163929565802</v>
      </c>
      <c r="C90">
        <v>17</v>
      </c>
      <c r="D90" t="s">
        <v>40</v>
      </c>
      <c r="E90">
        <v>4</v>
      </c>
      <c r="U90" t="s">
        <v>14</v>
      </c>
      <c r="Y90" t="s">
        <v>545</v>
      </c>
    </row>
    <row r="91" spans="1:25">
      <c r="A91" t="s">
        <v>688</v>
      </c>
      <c r="B91">
        <v>269.69597501298699</v>
      </c>
      <c r="C91">
        <v>20</v>
      </c>
      <c r="D91" t="s">
        <v>632</v>
      </c>
      <c r="E91">
        <v>7</v>
      </c>
      <c r="I91" t="s">
        <v>442</v>
      </c>
      <c r="J91" t="s">
        <v>611</v>
      </c>
      <c r="M91" t="s">
        <v>438</v>
      </c>
      <c r="Y91" t="s">
        <v>545</v>
      </c>
    </row>
    <row r="92" spans="1:25">
      <c r="A92" t="s">
        <v>688</v>
      </c>
      <c r="B92">
        <v>271.49097283200803</v>
      </c>
      <c r="C92">
        <v>20</v>
      </c>
      <c r="D92" t="s">
        <v>36</v>
      </c>
      <c r="E92">
        <v>3</v>
      </c>
      <c r="N92">
        <v>81</v>
      </c>
      <c r="O92">
        <v>35</v>
      </c>
      <c r="Q92" t="s">
        <v>694</v>
      </c>
      <c r="Y92" t="s">
        <v>545</v>
      </c>
    </row>
    <row r="93" spans="1:25">
      <c r="A93" t="s">
        <v>688</v>
      </c>
      <c r="B93">
        <v>272.89163929565802</v>
      </c>
      <c r="C93">
        <v>7.0041701753391399</v>
      </c>
      <c r="D93" t="s">
        <v>9</v>
      </c>
      <c r="E93">
        <v>7</v>
      </c>
      <c r="Y93" t="s">
        <v>545</v>
      </c>
    </row>
    <row r="94" spans="1:25">
      <c r="A94" t="s">
        <v>688</v>
      </c>
      <c r="B94">
        <v>272.89580947099699</v>
      </c>
      <c r="C94">
        <v>17</v>
      </c>
      <c r="D94" t="s">
        <v>27</v>
      </c>
      <c r="E94">
        <v>6</v>
      </c>
      <c r="U94" t="s">
        <v>602</v>
      </c>
      <c r="Y94" t="s">
        <v>545</v>
      </c>
    </row>
    <row r="95" spans="1:25">
      <c r="A95" t="s">
        <v>688</v>
      </c>
      <c r="B95">
        <v>273.697833246313</v>
      </c>
      <c r="C95">
        <v>20</v>
      </c>
      <c r="D95" t="s">
        <v>654</v>
      </c>
      <c r="E95">
        <v>6</v>
      </c>
      <c r="L95" t="s">
        <v>51</v>
      </c>
      <c r="M95" t="s">
        <v>544</v>
      </c>
      <c r="Y95" t="s">
        <v>545</v>
      </c>
    </row>
    <row r="96" spans="1:25">
      <c r="A96" t="s">
        <v>688</v>
      </c>
      <c r="B96">
        <v>276.49097283200803</v>
      </c>
      <c r="C96">
        <v>15</v>
      </c>
      <c r="D96" t="s">
        <v>35</v>
      </c>
      <c r="E96">
        <v>3</v>
      </c>
      <c r="Y96" t="s">
        <v>545</v>
      </c>
    </row>
    <row r="97" spans="1:25">
      <c r="A97" t="s">
        <v>688</v>
      </c>
      <c r="B97">
        <v>276.89580947099699</v>
      </c>
      <c r="C97">
        <v>10.601122142676701</v>
      </c>
      <c r="D97" t="s">
        <v>18</v>
      </c>
      <c r="E97">
        <v>8</v>
      </c>
      <c r="Y97" t="s">
        <v>545</v>
      </c>
    </row>
    <row r="98" spans="1:25">
      <c r="A98" t="s">
        <v>688</v>
      </c>
      <c r="B98">
        <v>287.49693161367401</v>
      </c>
      <c r="C98">
        <v>35.600423076639402</v>
      </c>
      <c r="D98" t="s">
        <v>10</v>
      </c>
      <c r="E98">
        <v>5</v>
      </c>
      <c r="Y98" t="s">
        <v>545</v>
      </c>
    </row>
    <row r="99" spans="1:25">
      <c r="A99" t="s">
        <v>688</v>
      </c>
      <c r="B99">
        <v>311.59572255365202</v>
      </c>
      <c r="C99">
        <v>20</v>
      </c>
      <c r="D99" t="s">
        <v>36</v>
      </c>
      <c r="E99">
        <v>4</v>
      </c>
      <c r="N99">
        <v>99</v>
      </c>
      <c r="O99">
        <v>97</v>
      </c>
      <c r="Q99" t="s">
        <v>695</v>
      </c>
      <c r="Y99" t="s">
        <v>545</v>
      </c>
    </row>
    <row r="100" spans="1:25">
      <c r="A100" t="s">
        <v>688</v>
      </c>
      <c r="B100">
        <v>311.59572255365202</v>
      </c>
      <c r="C100">
        <v>20</v>
      </c>
      <c r="D100" t="s">
        <v>453</v>
      </c>
      <c r="E100">
        <v>2</v>
      </c>
      <c r="Y100" t="s">
        <v>545</v>
      </c>
    </row>
    <row r="101" spans="1:25">
      <c r="A101" t="s">
        <v>688</v>
      </c>
      <c r="B101">
        <v>313.19842913498297</v>
      </c>
      <c r="C101">
        <v>20</v>
      </c>
      <c r="D101" t="s">
        <v>645</v>
      </c>
      <c r="E101">
        <v>4</v>
      </c>
      <c r="I101" t="s">
        <v>446</v>
      </c>
      <c r="M101" t="s">
        <v>739</v>
      </c>
      <c r="Y101" t="s">
        <v>545</v>
      </c>
    </row>
    <row r="102" spans="1:25">
      <c r="A102" t="s">
        <v>688</v>
      </c>
      <c r="B102">
        <v>316.09735469031301</v>
      </c>
      <c r="C102">
        <v>17</v>
      </c>
      <c r="D102" t="s">
        <v>6</v>
      </c>
      <c r="E102">
        <v>3</v>
      </c>
      <c r="T102" t="s">
        <v>22</v>
      </c>
      <c r="Y102" t="s">
        <v>545</v>
      </c>
    </row>
    <row r="103" spans="1:25">
      <c r="A103" t="s">
        <v>688</v>
      </c>
      <c r="B103">
        <v>316.59572255365202</v>
      </c>
      <c r="C103">
        <v>15</v>
      </c>
      <c r="D103" t="s">
        <v>35</v>
      </c>
      <c r="E103">
        <v>4</v>
      </c>
      <c r="Y103" t="s">
        <v>545</v>
      </c>
    </row>
    <row r="104" spans="1:25">
      <c r="A104" t="s">
        <v>688</v>
      </c>
      <c r="B104">
        <v>320.09735469031301</v>
      </c>
      <c r="C104">
        <v>6.4983678633392401</v>
      </c>
      <c r="D104" t="s">
        <v>18</v>
      </c>
      <c r="E104">
        <v>9</v>
      </c>
      <c r="Y104" t="s">
        <v>545</v>
      </c>
    </row>
    <row r="105" spans="1:25">
      <c r="A105" t="s">
        <v>688</v>
      </c>
      <c r="B105">
        <v>323.09735469031301</v>
      </c>
      <c r="C105">
        <v>3.4983678633392401</v>
      </c>
      <c r="D105" t="s">
        <v>19</v>
      </c>
      <c r="E105">
        <v>6</v>
      </c>
      <c r="Y105" t="s">
        <v>545</v>
      </c>
    </row>
    <row r="106" spans="1:25">
      <c r="A106" t="s">
        <v>688</v>
      </c>
      <c r="B106">
        <v>326.59572255365202</v>
      </c>
      <c r="C106">
        <v>37.302021105994498</v>
      </c>
      <c r="D106" t="s">
        <v>10</v>
      </c>
      <c r="E106">
        <v>6</v>
      </c>
      <c r="Y106" t="s">
        <v>545</v>
      </c>
    </row>
    <row r="107" spans="1:25">
      <c r="A107" t="s">
        <v>688</v>
      </c>
      <c r="B107">
        <v>360.89774365964701</v>
      </c>
      <c r="C107">
        <v>12.2980383976907</v>
      </c>
      <c r="D107" t="s">
        <v>9</v>
      </c>
      <c r="E107">
        <v>8</v>
      </c>
      <c r="Y107" t="s">
        <v>545</v>
      </c>
    </row>
    <row r="108" spans="1:25">
      <c r="A108" t="s">
        <v>688</v>
      </c>
      <c r="B108">
        <v>362.29614975596701</v>
      </c>
      <c r="C108">
        <v>20</v>
      </c>
      <c r="D108" t="s">
        <v>642</v>
      </c>
      <c r="E108">
        <v>2</v>
      </c>
      <c r="G108" t="s">
        <v>449</v>
      </c>
      <c r="I108" t="s">
        <v>439</v>
      </c>
      <c r="M108" t="s">
        <v>438</v>
      </c>
      <c r="Y108" t="s">
        <v>545</v>
      </c>
    </row>
    <row r="109" spans="1:25">
      <c r="A109" t="s">
        <v>688</v>
      </c>
      <c r="B109">
        <v>363.89774365964701</v>
      </c>
      <c r="C109">
        <v>1</v>
      </c>
      <c r="D109" t="s">
        <v>17</v>
      </c>
      <c r="E109">
        <v>3</v>
      </c>
      <c r="Y109" t="s">
        <v>545</v>
      </c>
    </row>
    <row r="110" spans="1:25">
      <c r="A110" t="s">
        <v>688</v>
      </c>
      <c r="B110">
        <v>363.89774365964701</v>
      </c>
      <c r="C110">
        <v>24.7984111296918</v>
      </c>
      <c r="D110" t="s">
        <v>19</v>
      </c>
      <c r="E110">
        <v>7</v>
      </c>
      <c r="Y110" t="s">
        <v>545</v>
      </c>
    </row>
    <row r="111" spans="1:25">
      <c r="A111" t="s">
        <v>688</v>
      </c>
      <c r="B111">
        <v>366.19578205733802</v>
      </c>
      <c r="C111">
        <v>17</v>
      </c>
      <c r="D111" t="s">
        <v>27</v>
      </c>
      <c r="E111">
        <v>7</v>
      </c>
      <c r="U111" t="s">
        <v>28</v>
      </c>
      <c r="Y111" t="s">
        <v>545</v>
      </c>
    </row>
    <row r="112" spans="1:25">
      <c r="A112" t="s">
        <v>688</v>
      </c>
      <c r="B112">
        <v>366.79317321265898</v>
      </c>
      <c r="C112">
        <v>20</v>
      </c>
      <c r="D112" t="s">
        <v>632</v>
      </c>
      <c r="E112">
        <v>8</v>
      </c>
      <c r="H112" t="s">
        <v>445</v>
      </c>
      <c r="I112" t="s">
        <v>439</v>
      </c>
      <c r="M112" t="s">
        <v>607</v>
      </c>
      <c r="Y112" t="s">
        <v>545</v>
      </c>
    </row>
    <row r="113" spans="1:25">
      <c r="A113" t="s">
        <v>688</v>
      </c>
      <c r="B113">
        <v>369.69775977733298</v>
      </c>
      <c r="C113">
        <v>20</v>
      </c>
      <c r="D113" t="s">
        <v>645</v>
      </c>
      <c r="E113">
        <v>5</v>
      </c>
      <c r="H113" t="s">
        <v>5</v>
      </c>
      <c r="I113" t="s">
        <v>646</v>
      </c>
      <c r="M113" t="s">
        <v>615</v>
      </c>
      <c r="Y113" t="s">
        <v>545</v>
      </c>
    </row>
    <row r="114" spans="1:25">
      <c r="A114" t="s">
        <v>688</v>
      </c>
      <c r="B114">
        <v>370.19578205733802</v>
      </c>
      <c r="C114">
        <v>18.5003727320011</v>
      </c>
      <c r="D114" t="s">
        <v>18</v>
      </c>
      <c r="E114">
        <v>10</v>
      </c>
      <c r="Y114" t="s">
        <v>545</v>
      </c>
    </row>
    <row r="115" spans="1:25">
      <c r="A115" t="s">
        <v>688</v>
      </c>
      <c r="B115">
        <v>370.79690432365697</v>
      </c>
      <c r="C115">
        <v>17.899250465681899</v>
      </c>
      <c r="D115" t="s">
        <v>121</v>
      </c>
      <c r="E115">
        <v>1</v>
      </c>
      <c r="R115" t="s">
        <v>20</v>
      </c>
      <c r="Y115" t="s">
        <v>545</v>
      </c>
    </row>
    <row r="116" spans="1:25">
      <c r="A116" t="s">
        <v>688</v>
      </c>
      <c r="B116">
        <v>388.696154789339</v>
      </c>
      <c r="C116">
        <v>13.3941277723039</v>
      </c>
      <c r="D116" t="s">
        <v>10</v>
      </c>
      <c r="E116">
        <v>7</v>
      </c>
      <c r="Y116" t="s">
        <v>545</v>
      </c>
    </row>
    <row r="117" spans="1:25">
      <c r="A117" t="s">
        <v>688</v>
      </c>
      <c r="B117">
        <v>395.09028256164299</v>
      </c>
      <c r="C117">
        <v>17</v>
      </c>
      <c r="D117" t="s">
        <v>11</v>
      </c>
      <c r="E117">
        <v>2</v>
      </c>
      <c r="T117" t="s">
        <v>12</v>
      </c>
      <c r="U117" t="s">
        <v>14</v>
      </c>
      <c r="Y117" t="s">
        <v>545</v>
      </c>
    </row>
    <row r="118" spans="1:25">
      <c r="A118" t="s">
        <v>688</v>
      </c>
      <c r="B118">
        <v>395.90047239500001</v>
      </c>
      <c r="C118">
        <v>20</v>
      </c>
      <c r="D118" t="s">
        <v>653</v>
      </c>
      <c r="E118">
        <v>5</v>
      </c>
      <c r="K118" t="s">
        <v>444</v>
      </c>
      <c r="M118" t="s">
        <v>617</v>
      </c>
      <c r="Y118" t="s">
        <v>545</v>
      </c>
    </row>
    <row r="119" spans="1:25">
      <c r="A119" t="s">
        <v>688</v>
      </c>
      <c r="B119">
        <v>399.09028256164299</v>
      </c>
      <c r="C119">
        <v>18.104856291670099</v>
      </c>
      <c r="D119" t="s">
        <v>9</v>
      </c>
      <c r="E119">
        <v>9</v>
      </c>
      <c r="Y119" t="s">
        <v>545</v>
      </c>
    </row>
    <row r="120" spans="1:25">
      <c r="A120" t="s">
        <v>688</v>
      </c>
      <c r="B120">
        <v>402.09028256164299</v>
      </c>
      <c r="C120">
        <v>15.104856291670099</v>
      </c>
      <c r="D120" t="s">
        <v>19</v>
      </c>
      <c r="E120">
        <v>8</v>
      </c>
      <c r="Y120" t="s">
        <v>545</v>
      </c>
    </row>
    <row r="121" spans="1:25">
      <c r="A121" t="s">
        <v>688</v>
      </c>
      <c r="B121">
        <v>403.00917617499999</v>
      </c>
      <c r="C121">
        <v>20</v>
      </c>
      <c r="D121" t="s">
        <v>649</v>
      </c>
      <c r="E121">
        <v>3</v>
      </c>
      <c r="I121" t="s">
        <v>439</v>
      </c>
      <c r="K121" t="s">
        <v>48</v>
      </c>
      <c r="M121" t="s">
        <v>624</v>
      </c>
      <c r="Y121" t="s">
        <v>545</v>
      </c>
    </row>
    <row r="122" spans="1:25">
      <c r="A122" t="s">
        <v>688</v>
      </c>
      <c r="B122">
        <v>410.49784713498002</v>
      </c>
      <c r="C122">
        <v>20</v>
      </c>
      <c r="D122" t="s">
        <v>654</v>
      </c>
      <c r="E122">
        <v>7</v>
      </c>
      <c r="J122" t="s">
        <v>222</v>
      </c>
      <c r="M122" t="s">
        <v>544</v>
      </c>
      <c r="Y122" t="s">
        <v>545</v>
      </c>
    </row>
    <row r="123" spans="1:25">
      <c r="A123" t="s">
        <v>688</v>
      </c>
      <c r="B123">
        <v>417.19513885331298</v>
      </c>
      <c r="C123">
        <v>34.901814818337897</v>
      </c>
      <c r="D123" t="s">
        <v>10</v>
      </c>
      <c r="E123">
        <v>8</v>
      </c>
      <c r="Y123" t="s">
        <v>545</v>
      </c>
    </row>
    <row r="124" spans="1:25">
      <c r="A124" t="s">
        <v>688</v>
      </c>
      <c r="B124">
        <v>438.93037887100002</v>
      </c>
      <c r="C124">
        <v>20</v>
      </c>
      <c r="D124" t="s">
        <v>36</v>
      </c>
      <c r="E124">
        <v>5</v>
      </c>
      <c r="N124">
        <v>76</v>
      </c>
      <c r="O124">
        <v>37</v>
      </c>
      <c r="Q124" t="s">
        <v>696</v>
      </c>
      <c r="Y124" t="s">
        <v>545</v>
      </c>
    </row>
    <row r="125" spans="1:25">
      <c r="A125" t="s">
        <v>688</v>
      </c>
      <c r="B125">
        <v>442.99801173965102</v>
      </c>
      <c r="C125">
        <v>20</v>
      </c>
      <c r="D125" t="s">
        <v>654</v>
      </c>
      <c r="E125">
        <v>8</v>
      </c>
      <c r="I125" t="s">
        <v>679</v>
      </c>
      <c r="L125" t="s">
        <v>51</v>
      </c>
      <c r="Y125" t="s">
        <v>545</v>
      </c>
    </row>
    <row r="126" spans="1:25">
      <c r="A126" t="s">
        <v>688</v>
      </c>
      <c r="B126">
        <v>443.93037887100002</v>
      </c>
      <c r="C126">
        <v>15</v>
      </c>
      <c r="D126" t="s">
        <v>35</v>
      </c>
      <c r="E126">
        <v>5</v>
      </c>
      <c r="Y126" t="s">
        <v>545</v>
      </c>
    </row>
    <row r="127" spans="1:25">
      <c r="A127" t="s">
        <v>688</v>
      </c>
      <c r="B127">
        <v>445.09695367165102</v>
      </c>
      <c r="C127">
        <v>17</v>
      </c>
      <c r="D127" t="s">
        <v>6</v>
      </c>
      <c r="E127">
        <v>4</v>
      </c>
      <c r="T127" t="s">
        <v>24</v>
      </c>
      <c r="Y127" t="s">
        <v>545</v>
      </c>
    </row>
    <row r="128" spans="1:25">
      <c r="A128" t="s">
        <v>688</v>
      </c>
      <c r="B128">
        <v>448.79581841399499</v>
      </c>
      <c r="C128">
        <v>17</v>
      </c>
      <c r="D128" t="s">
        <v>40</v>
      </c>
      <c r="E128">
        <v>5</v>
      </c>
      <c r="U128" t="s">
        <v>14</v>
      </c>
      <c r="Y128" t="s">
        <v>545</v>
      </c>
    </row>
    <row r="129" spans="1:25">
      <c r="A129" t="s">
        <v>688</v>
      </c>
      <c r="B129">
        <v>449.09695367165102</v>
      </c>
      <c r="C129">
        <v>6.6988647423440799</v>
      </c>
      <c r="D129" t="s">
        <v>18</v>
      </c>
      <c r="E129">
        <v>11</v>
      </c>
      <c r="Y129" t="s">
        <v>545</v>
      </c>
    </row>
    <row r="130" spans="1:25">
      <c r="A130" t="s">
        <v>688</v>
      </c>
      <c r="B130">
        <v>452.09695367165102</v>
      </c>
      <c r="C130">
        <v>12.1501277893486</v>
      </c>
      <c r="D130" t="s">
        <v>19</v>
      </c>
      <c r="E130">
        <v>9</v>
      </c>
      <c r="Y130" t="s">
        <v>545</v>
      </c>
    </row>
    <row r="131" spans="1:25">
      <c r="A131" t="s">
        <v>688</v>
      </c>
      <c r="B131">
        <v>452.79581841399499</v>
      </c>
      <c r="C131">
        <v>11.451263047004501</v>
      </c>
      <c r="D131" t="s">
        <v>9</v>
      </c>
      <c r="E131">
        <v>10</v>
      </c>
      <c r="Y131" t="s">
        <v>545</v>
      </c>
    </row>
    <row r="132" spans="1:25">
      <c r="A132" t="s">
        <v>688</v>
      </c>
      <c r="B132">
        <v>453.08661866798599</v>
      </c>
      <c r="C132">
        <v>11.160462793013201</v>
      </c>
      <c r="D132" t="s">
        <v>427</v>
      </c>
      <c r="E132">
        <v>3</v>
      </c>
      <c r="R132" t="s">
        <v>20</v>
      </c>
      <c r="S132" t="s">
        <v>454</v>
      </c>
      <c r="Y132" t="s">
        <v>545</v>
      </c>
    </row>
    <row r="133" spans="1:25">
      <c r="A133" t="s">
        <v>688</v>
      </c>
      <c r="B133">
        <v>462.39508797464799</v>
      </c>
      <c r="C133">
        <v>17</v>
      </c>
      <c r="D133" t="s">
        <v>11</v>
      </c>
      <c r="E133">
        <v>3</v>
      </c>
      <c r="T133" t="s">
        <v>12</v>
      </c>
      <c r="U133" t="s">
        <v>14</v>
      </c>
      <c r="Y133" t="s">
        <v>545</v>
      </c>
    </row>
    <row r="134" spans="1:25">
      <c r="A134" t="s">
        <v>688</v>
      </c>
      <c r="B134">
        <v>464.24708146099999</v>
      </c>
      <c r="C134">
        <v>5.1480065136486797</v>
      </c>
      <c r="D134" t="s">
        <v>10</v>
      </c>
      <c r="E134">
        <v>9</v>
      </c>
      <c r="Y134" t="s">
        <v>545</v>
      </c>
    </row>
    <row r="135" spans="1:25">
      <c r="A135" t="s">
        <v>688</v>
      </c>
      <c r="B135">
        <v>466.096437845004</v>
      </c>
      <c r="C135">
        <v>20</v>
      </c>
      <c r="D135" t="s">
        <v>738</v>
      </c>
      <c r="E135">
        <v>5</v>
      </c>
      <c r="I135" t="s">
        <v>439</v>
      </c>
      <c r="M135" t="s">
        <v>443</v>
      </c>
      <c r="Y135" t="s">
        <v>545</v>
      </c>
    </row>
    <row r="136" spans="1:25">
      <c r="A136" t="s">
        <v>688</v>
      </c>
      <c r="B136">
        <v>466.39508797464799</v>
      </c>
      <c r="C136">
        <v>28.101070785670601</v>
      </c>
      <c r="D136" t="s">
        <v>9</v>
      </c>
      <c r="E136">
        <v>11</v>
      </c>
      <c r="Y136" t="s">
        <v>545</v>
      </c>
    </row>
    <row r="137" spans="1:25">
      <c r="A137" t="s">
        <v>688</v>
      </c>
      <c r="B137">
        <v>469.39508797464799</v>
      </c>
      <c r="C137">
        <v>25.101070785670601</v>
      </c>
      <c r="D137" t="s">
        <v>19</v>
      </c>
      <c r="E137">
        <v>10</v>
      </c>
      <c r="Y137" t="s">
        <v>545</v>
      </c>
    </row>
    <row r="138" spans="1:25">
      <c r="A138" t="s">
        <v>688</v>
      </c>
      <c r="B138">
        <v>476.49469712898099</v>
      </c>
      <c r="C138">
        <v>18.001461631337801</v>
      </c>
      <c r="D138" t="s">
        <v>42</v>
      </c>
      <c r="E138">
        <v>1</v>
      </c>
      <c r="R138" t="s">
        <v>20</v>
      </c>
      <c r="Y138" t="s">
        <v>545</v>
      </c>
    </row>
    <row r="139" spans="1:25">
      <c r="A139" t="s">
        <v>688</v>
      </c>
      <c r="B139">
        <v>493.09551401197001</v>
      </c>
      <c r="C139">
        <v>19.999999999999901</v>
      </c>
      <c r="D139" t="s">
        <v>649</v>
      </c>
      <c r="E139">
        <v>4</v>
      </c>
      <c r="I139" t="s">
        <v>442</v>
      </c>
      <c r="M139" t="s">
        <v>607</v>
      </c>
      <c r="Y139" t="s">
        <v>545</v>
      </c>
    </row>
    <row r="140" spans="1:25">
      <c r="A140" t="s">
        <v>688</v>
      </c>
      <c r="B140">
        <v>493.79651838666098</v>
      </c>
      <c r="C140">
        <v>17</v>
      </c>
      <c r="D140" t="s">
        <v>6</v>
      </c>
      <c r="E140">
        <v>5</v>
      </c>
      <c r="T140" t="s">
        <v>21</v>
      </c>
      <c r="U140" t="s">
        <v>28</v>
      </c>
      <c r="Y140" t="s">
        <v>545</v>
      </c>
    </row>
    <row r="141" spans="1:25">
      <c r="A141" t="s">
        <v>688</v>
      </c>
      <c r="B141">
        <v>494.49615876031902</v>
      </c>
      <c r="C141">
        <v>6.30035962634184</v>
      </c>
      <c r="D141" t="s">
        <v>10</v>
      </c>
      <c r="E141">
        <v>10</v>
      </c>
      <c r="Y141" t="s">
        <v>545</v>
      </c>
    </row>
    <row r="142" spans="1:25">
      <c r="A142" t="s">
        <v>688</v>
      </c>
      <c r="B142">
        <v>497.79651838666098</v>
      </c>
      <c r="C142">
        <v>34.599235533667503</v>
      </c>
      <c r="D142" t="s">
        <v>18</v>
      </c>
      <c r="E142">
        <v>12</v>
      </c>
      <c r="Y142" t="s">
        <v>545</v>
      </c>
    </row>
    <row r="143" spans="1:25">
      <c r="A143" t="s">
        <v>688</v>
      </c>
      <c r="B143">
        <v>499.89562350831301</v>
      </c>
      <c r="C143">
        <v>20</v>
      </c>
      <c r="D143" t="s">
        <v>642</v>
      </c>
      <c r="E143">
        <v>3</v>
      </c>
      <c r="I143" t="s">
        <v>442</v>
      </c>
      <c r="M143" t="s">
        <v>607</v>
      </c>
      <c r="Y143" t="s">
        <v>545</v>
      </c>
    </row>
    <row r="144" spans="1:25">
      <c r="A144" t="s">
        <v>688</v>
      </c>
      <c r="B144">
        <v>500.79651838666098</v>
      </c>
      <c r="C144">
        <v>31.5992355336675</v>
      </c>
      <c r="D144" t="s">
        <v>19</v>
      </c>
      <c r="E144">
        <v>11</v>
      </c>
      <c r="Y144" t="s">
        <v>545</v>
      </c>
    </row>
    <row r="145" spans="1:25">
      <c r="A145" t="s">
        <v>688</v>
      </c>
      <c r="B145">
        <v>505.889651179</v>
      </c>
      <c r="C145">
        <v>20</v>
      </c>
      <c r="D145" t="s">
        <v>649</v>
      </c>
      <c r="E145">
        <v>5</v>
      </c>
      <c r="I145" t="s">
        <v>440</v>
      </c>
      <c r="M145" t="s">
        <v>607</v>
      </c>
      <c r="Y145" t="s">
        <v>545</v>
      </c>
    </row>
    <row r="146" spans="1:25">
      <c r="A146" t="s">
        <v>688</v>
      </c>
      <c r="B146">
        <v>507.49303181366002</v>
      </c>
      <c r="C146">
        <v>24.902722106667799</v>
      </c>
      <c r="D146" t="s">
        <v>32</v>
      </c>
      <c r="E146">
        <v>4</v>
      </c>
      <c r="R146" t="s">
        <v>23</v>
      </c>
      <c r="Y146" t="s">
        <v>545</v>
      </c>
    </row>
    <row r="147" spans="1:25">
      <c r="A147" t="s">
        <v>688</v>
      </c>
      <c r="B147">
        <v>513.29589588697502</v>
      </c>
      <c r="C147">
        <v>20</v>
      </c>
      <c r="D147" t="s">
        <v>642</v>
      </c>
      <c r="E147">
        <v>4</v>
      </c>
      <c r="I147" t="s">
        <v>442</v>
      </c>
      <c r="M147" t="s">
        <v>607</v>
      </c>
      <c r="Y147" t="s">
        <v>545</v>
      </c>
    </row>
    <row r="148" spans="1:25">
      <c r="A148" t="s">
        <v>688</v>
      </c>
      <c r="B148">
        <v>516.79660401333604</v>
      </c>
      <c r="C148">
        <v>20</v>
      </c>
      <c r="D148" t="s">
        <v>649</v>
      </c>
      <c r="E148">
        <v>6</v>
      </c>
      <c r="I148" t="s">
        <v>455</v>
      </c>
      <c r="M148" t="s">
        <v>608</v>
      </c>
      <c r="Y148" t="s">
        <v>545</v>
      </c>
    </row>
    <row r="149" spans="1:25">
      <c r="A149" t="s">
        <v>688</v>
      </c>
      <c r="B149">
        <v>532.39575392032805</v>
      </c>
      <c r="C149">
        <v>9.0966327676712808</v>
      </c>
      <c r="D149" t="s">
        <v>10</v>
      </c>
      <c r="E149">
        <v>11</v>
      </c>
      <c r="Y149" t="s">
        <v>545</v>
      </c>
    </row>
    <row r="150" spans="1:25">
      <c r="A150" t="s">
        <v>688</v>
      </c>
      <c r="B150">
        <v>534.49238668800001</v>
      </c>
      <c r="C150">
        <v>17</v>
      </c>
      <c r="D150" t="s">
        <v>11</v>
      </c>
      <c r="E150">
        <v>4</v>
      </c>
      <c r="T150" t="s">
        <v>16</v>
      </c>
      <c r="Y150" t="s">
        <v>545</v>
      </c>
    </row>
    <row r="151" spans="1:25">
      <c r="A151" t="s">
        <v>688</v>
      </c>
      <c r="B151">
        <v>538.49238668800001</v>
      </c>
      <c r="C151">
        <v>13.104456670008201</v>
      </c>
      <c r="D151" t="s">
        <v>9</v>
      </c>
      <c r="E151">
        <v>12</v>
      </c>
      <c r="Y151" t="s">
        <v>545</v>
      </c>
    </row>
    <row r="152" spans="1:25">
      <c r="A152" t="s">
        <v>688</v>
      </c>
      <c r="B152">
        <v>538.49610104665703</v>
      </c>
      <c r="C152">
        <v>13.1007423113508</v>
      </c>
      <c r="D152" t="s">
        <v>427</v>
      </c>
      <c r="E152">
        <v>4</v>
      </c>
      <c r="R152" t="s">
        <v>20</v>
      </c>
      <c r="S152" t="s">
        <v>454</v>
      </c>
      <c r="Y152" t="s">
        <v>545</v>
      </c>
    </row>
    <row r="153" spans="1:25">
      <c r="A153" t="s">
        <v>688</v>
      </c>
      <c r="B153">
        <v>541.49238668800001</v>
      </c>
      <c r="C153">
        <v>10.104456670008201</v>
      </c>
      <c r="D153" t="s">
        <v>19</v>
      </c>
      <c r="E153">
        <v>12</v>
      </c>
      <c r="Y153" t="s">
        <v>545</v>
      </c>
    </row>
    <row r="154" spans="1:25">
      <c r="A154" t="s">
        <v>688</v>
      </c>
      <c r="B154">
        <v>548.39814546298703</v>
      </c>
      <c r="C154">
        <v>20</v>
      </c>
      <c r="D154" t="s">
        <v>649</v>
      </c>
      <c r="E154">
        <v>7</v>
      </c>
      <c r="I154" t="s">
        <v>440</v>
      </c>
      <c r="M154" t="s">
        <v>607</v>
      </c>
      <c r="Y154" t="s">
        <v>545</v>
      </c>
    </row>
    <row r="155" spans="1:25">
      <c r="A155" t="s">
        <v>688</v>
      </c>
      <c r="B155">
        <v>549.69684536866805</v>
      </c>
      <c r="C155">
        <v>17</v>
      </c>
      <c r="D155" t="s">
        <v>6</v>
      </c>
      <c r="E155">
        <v>6</v>
      </c>
      <c r="T155" t="s">
        <v>21</v>
      </c>
      <c r="U155" t="s">
        <v>195</v>
      </c>
      <c r="Y155" t="s">
        <v>545</v>
      </c>
    </row>
    <row r="156" spans="1:25">
      <c r="A156" t="s">
        <v>688</v>
      </c>
      <c r="B156">
        <v>551.59684335800796</v>
      </c>
      <c r="C156">
        <v>5.1000020106599697</v>
      </c>
      <c r="D156" t="s">
        <v>10</v>
      </c>
      <c r="E156">
        <v>12</v>
      </c>
      <c r="Y156" t="s">
        <v>545</v>
      </c>
    </row>
    <row r="157" spans="1:25">
      <c r="A157" t="s">
        <v>688</v>
      </c>
      <c r="B157">
        <v>553.69684536866805</v>
      </c>
      <c r="C157">
        <v>21.977347534331599</v>
      </c>
      <c r="D157" t="s">
        <v>18</v>
      </c>
      <c r="E157">
        <v>13</v>
      </c>
      <c r="Y157" t="s">
        <v>545</v>
      </c>
    </row>
    <row r="158" spans="1:25">
      <c r="A158" t="s">
        <v>688</v>
      </c>
      <c r="B158">
        <v>556.69684536866805</v>
      </c>
      <c r="C158">
        <v>19.451093368331701</v>
      </c>
      <c r="D158" t="s">
        <v>19</v>
      </c>
      <c r="E158">
        <v>13</v>
      </c>
      <c r="Y158" t="s">
        <v>545</v>
      </c>
    </row>
    <row r="159" spans="1:25">
      <c r="A159" t="s">
        <v>688</v>
      </c>
      <c r="B159">
        <v>558.597305294992</v>
      </c>
      <c r="C159">
        <v>20</v>
      </c>
      <c r="D159" t="s">
        <v>642</v>
      </c>
      <c r="E159">
        <v>5</v>
      </c>
      <c r="I159" t="s">
        <v>447</v>
      </c>
      <c r="M159" t="s">
        <v>607</v>
      </c>
      <c r="Y159" t="s">
        <v>545</v>
      </c>
    </row>
    <row r="160" spans="1:25">
      <c r="A160" t="s">
        <v>688</v>
      </c>
      <c r="B160">
        <v>560.79643755497</v>
      </c>
      <c r="C160">
        <v>14.877755348029201</v>
      </c>
      <c r="D160" t="s">
        <v>32</v>
      </c>
      <c r="E160">
        <v>5</v>
      </c>
      <c r="R160" t="s">
        <v>23</v>
      </c>
      <c r="Y160" t="s">
        <v>545</v>
      </c>
    </row>
    <row r="161" spans="1:25">
      <c r="A161" t="s">
        <v>688</v>
      </c>
      <c r="B161">
        <v>566.147938737</v>
      </c>
      <c r="C161">
        <v>15</v>
      </c>
      <c r="D161" t="s">
        <v>605</v>
      </c>
      <c r="E161">
        <v>1</v>
      </c>
      <c r="Y161" t="s">
        <v>545</v>
      </c>
    </row>
    <row r="162" spans="1:25">
      <c r="A162" t="s">
        <v>688</v>
      </c>
      <c r="B162">
        <v>572.67419290299995</v>
      </c>
      <c r="C162">
        <v>3.47374583400005</v>
      </c>
      <c r="D162" t="s">
        <v>9</v>
      </c>
      <c r="E162">
        <v>13</v>
      </c>
      <c r="Y162" t="s">
        <v>545</v>
      </c>
    </row>
    <row r="163" spans="1:25">
      <c r="A163" t="s">
        <v>688</v>
      </c>
      <c r="B163">
        <v>576.147938737</v>
      </c>
      <c r="C163">
        <v>17.0635280169999</v>
      </c>
      <c r="D163" t="s">
        <v>10</v>
      </c>
      <c r="E163">
        <v>13</v>
      </c>
      <c r="Y163" t="s">
        <v>545</v>
      </c>
    </row>
    <row r="164" spans="1:25">
      <c r="A164" t="s">
        <v>688</v>
      </c>
      <c r="B164">
        <v>586.09137105166599</v>
      </c>
      <c r="C164">
        <v>20</v>
      </c>
      <c r="D164" t="s">
        <v>632</v>
      </c>
      <c r="E164">
        <v>9</v>
      </c>
      <c r="J164" t="s">
        <v>223</v>
      </c>
      <c r="Y164" t="s">
        <v>545</v>
      </c>
    </row>
    <row r="165" spans="1:25">
      <c r="A165" t="s">
        <v>688</v>
      </c>
      <c r="B165">
        <v>586.61162047799996</v>
      </c>
      <c r="C165">
        <v>17</v>
      </c>
      <c r="D165" t="s">
        <v>11</v>
      </c>
      <c r="E165">
        <v>5</v>
      </c>
      <c r="T165" t="s">
        <v>13</v>
      </c>
      <c r="Y165" t="s">
        <v>545</v>
      </c>
    </row>
    <row r="166" spans="1:25">
      <c r="A166" t="s">
        <v>688</v>
      </c>
      <c r="B166">
        <v>590.21146675399996</v>
      </c>
      <c r="C166">
        <v>3.4001537239999999</v>
      </c>
      <c r="D166" t="s">
        <v>18</v>
      </c>
      <c r="E166">
        <v>14</v>
      </c>
      <c r="Y166" t="s">
        <v>545</v>
      </c>
    </row>
    <row r="167" spans="1:25">
      <c r="A167" t="s">
        <v>688</v>
      </c>
      <c r="B167">
        <v>590.61162047799996</v>
      </c>
      <c r="C167">
        <v>8.3473669549999805</v>
      </c>
      <c r="D167" t="s">
        <v>9</v>
      </c>
      <c r="E167">
        <v>14</v>
      </c>
      <c r="Y167" t="s">
        <v>545</v>
      </c>
    </row>
    <row r="168" spans="1:25">
      <c r="A168" t="s">
        <v>688</v>
      </c>
      <c r="B168">
        <v>593.21146675399996</v>
      </c>
      <c r="C168">
        <v>5.7475206789999902</v>
      </c>
      <c r="D168" t="s">
        <v>19</v>
      </c>
      <c r="E168">
        <v>14</v>
      </c>
      <c r="Y168" t="s">
        <v>545</v>
      </c>
    </row>
    <row r="169" spans="1:25">
      <c r="A169" t="s">
        <v>688</v>
      </c>
      <c r="B169">
        <v>598.95898743299995</v>
      </c>
      <c r="C169">
        <v>13.8364673626615</v>
      </c>
      <c r="D169" t="s">
        <v>10</v>
      </c>
      <c r="E169">
        <v>14</v>
      </c>
      <c r="Y169" t="s">
        <v>545</v>
      </c>
    </row>
    <row r="170" spans="1:25">
      <c r="A170" t="s">
        <v>688</v>
      </c>
      <c r="B170">
        <v>608.59769268565901</v>
      </c>
      <c r="C170">
        <v>17</v>
      </c>
      <c r="D170" t="s">
        <v>11</v>
      </c>
      <c r="E170">
        <v>6</v>
      </c>
      <c r="T170" t="s">
        <v>13</v>
      </c>
      <c r="Y170" t="s">
        <v>545</v>
      </c>
    </row>
    <row r="171" spans="1:25">
      <c r="A171" t="s">
        <v>688</v>
      </c>
      <c r="B171">
        <v>609.79545479566104</v>
      </c>
      <c r="C171">
        <v>4.3342209103384404</v>
      </c>
      <c r="D171" t="s">
        <v>9</v>
      </c>
      <c r="E171">
        <v>15</v>
      </c>
      <c r="Y171" t="s">
        <v>545</v>
      </c>
    </row>
    <row r="172" spans="1:25">
      <c r="A172" t="s">
        <v>688</v>
      </c>
      <c r="B172">
        <v>612.59769268565901</v>
      </c>
      <c r="C172">
        <v>14.3000860593216</v>
      </c>
      <c r="D172" t="s">
        <v>9</v>
      </c>
      <c r="E172">
        <v>16</v>
      </c>
      <c r="Y172" t="s">
        <v>545</v>
      </c>
    </row>
    <row r="173" spans="1:25">
      <c r="A173" t="s">
        <v>688</v>
      </c>
      <c r="B173">
        <v>612.79545479566104</v>
      </c>
      <c r="C173">
        <v>1.3342209103384399</v>
      </c>
      <c r="D173" t="s">
        <v>19</v>
      </c>
      <c r="E173">
        <v>15</v>
      </c>
      <c r="Y173" t="s">
        <v>545</v>
      </c>
    </row>
    <row r="174" spans="1:25">
      <c r="A174" t="s">
        <v>688</v>
      </c>
      <c r="B174">
        <v>613.44781628400006</v>
      </c>
      <c r="C174">
        <v>13.4499624609811</v>
      </c>
      <c r="D174" t="s">
        <v>42</v>
      </c>
      <c r="E174">
        <v>2</v>
      </c>
      <c r="R174" t="s">
        <v>20</v>
      </c>
      <c r="Y174" t="s">
        <v>545</v>
      </c>
    </row>
    <row r="175" spans="1:25">
      <c r="A175" t="s">
        <v>688</v>
      </c>
      <c r="B175">
        <v>614.12967570599994</v>
      </c>
      <c r="C175">
        <v>1.4680169796596301</v>
      </c>
      <c r="D175" t="s">
        <v>10</v>
      </c>
      <c r="E175">
        <v>15</v>
      </c>
      <c r="Y175" t="s">
        <v>545</v>
      </c>
    </row>
    <row r="176" spans="1:25">
      <c r="A176" t="s">
        <v>688</v>
      </c>
      <c r="B176">
        <v>615.59769268565901</v>
      </c>
      <c r="C176">
        <v>34.400077500328798</v>
      </c>
      <c r="D176" t="s">
        <v>19</v>
      </c>
      <c r="E176">
        <v>16</v>
      </c>
      <c r="Y176" t="s">
        <v>545</v>
      </c>
    </row>
    <row r="177" spans="1:25">
      <c r="A177" t="s">
        <v>688</v>
      </c>
      <c r="B177">
        <v>616.51112497400004</v>
      </c>
      <c r="C177">
        <v>20</v>
      </c>
      <c r="D177" t="s">
        <v>642</v>
      </c>
      <c r="E177">
        <v>6</v>
      </c>
      <c r="G177" t="s">
        <v>449</v>
      </c>
      <c r="M177" t="s">
        <v>650</v>
      </c>
      <c r="Y177" t="s">
        <v>545</v>
      </c>
    </row>
    <row r="178" spans="1:25">
      <c r="A178" t="s">
        <v>688</v>
      </c>
      <c r="B178">
        <v>616.99745618065697</v>
      </c>
      <c r="C178">
        <v>20</v>
      </c>
      <c r="D178" t="s">
        <v>738</v>
      </c>
      <c r="E178">
        <v>6</v>
      </c>
      <c r="I178" t="s">
        <v>442</v>
      </c>
      <c r="K178" t="s">
        <v>441</v>
      </c>
      <c r="M178" t="s">
        <v>624</v>
      </c>
      <c r="Y178" t="s">
        <v>545</v>
      </c>
    </row>
    <row r="179" spans="1:25">
      <c r="A179" t="s">
        <v>688</v>
      </c>
      <c r="B179">
        <v>619.897778744981</v>
      </c>
      <c r="C179">
        <v>17</v>
      </c>
      <c r="D179" t="s">
        <v>27</v>
      </c>
      <c r="E179">
        <v>8</v>
      </c>
      <c r="U179" t="s">
        <v>28</v>
      </c>
      <c r="Y179" t="s">
        <v>545</v>
      </c>
    </row>
    <row r="180" spans="1:25">
      <c r="A180" t="s">
        <v>688</v>
      </c>
      <c r="B180">
        <v>622.89546348398801</v>
      </c>
      <c r="C180">
        <v>20</v>
      </c>
      <c r="D180" t="s">
        <v>626</v>
      </c>
      <c r="E180">
        <v>2</v>
      </c>
      <c r="H180" t="s">
        <v>628</v>
      </c>
      <c r="I180" t="s">
        <v>442</v>
      </c>
      <c r="M180" t="s">
        <v>607</v>
      </c>
      <c r="Y180" t="s">
        <v>545</v>
      </c>
    </row>
    <row r="181" spans="1:25">
      <c r="A181" t="s">
        <v>688</v>
      </c>
      <c r="B181">
        <v>623.89679729967702</v>
      </c>
      <c r="C181">
        <v>20</v>
      </c>
      <c r="D181" t="s">
        <v>632</v>
      </c>
      <c r="E181">
        <v>10</v>
      </c>
      <c r="H181" t="s">
        <v>445</v>
      </c>
      <c r="I181" t="s">
        <v>442</v>
      </c>
      <c r="M181" t="s">
        <v>607</v>
      </c>
      <c r="Y181" t="s">
        <v>545</v>
      </c>
    </row>
    <row r="182" spans="1:25">
      <c r="A182" t="s">
        <v>688</v>
      </c>
      <c r="B182">
        <v>623.897778744981</v>
      </c>
      <c r="C182">
        <v>26.099991441007202</v>
      </c>
      <c r="D182" t="s">
        <v>18</v>
      </c>
      <c r="E182">
        <v>15</v>
      </c>
      <c r="Y182" t="s">
        <v>545</v>
      </c>
    </row>
    <row r="183" spans="1:25">
      <c r="A183" t="s">
        <v>688</v>
      </c>
      <c r="B183">
        <v>629.795730471664</v>
      </c>
      <c r="C183">
        <v>20</v>
      </c>
      <c r="D183" t="s">
        <v>653</v>
      </c>
      <c r="E183">
        <v>6</v>
      </c>
      <c r="H183" t="s">
        <v>445</v>
      </c>
      <c r="I183" t="s">
        <v>621</v>
      </c>
      <c r="M183" t="s">
        <v>610</v>
      </c>
      <c r="Y183" t="s">
        <v>545</v>
      </c>
    </row>
    <row r="184" spans="1:25">
      <c r="A184" t="s">
        <v>688</v>
      </c>
      <c r="B184">
        <v>629.99533274467296</v>
      </c>
      <c r="C184">
        <v>20</v>
      </c>
      <c r="D184" t="s">
        <v>636</v>
      </c>
      <c r="E184">
        <v>4</v>
      </c>
      <c r="I184" t="s">
        <v>439</v>
      </c>
      <c r="M184" t="s">
        <v>607</v>
      </c>
      <c r="Y184" t="s">
        <v>545</v>
      </c>
    </row>
    <row r="185" spans="1:25">
      <c r="A185" t="s">
        <v>688</v>
      </c>
      <c r="B185">
        <v>633.39769383000703</v>
      </c>
      <c r="C185">
        <v>16.6000763559808</v>
      </c>
      <c r="D185" t="s">
        <v>32</v>
      </c>
      <c r="E185">
        <v>6</v>
      </c>
      <c r="R185" t="s">
        <v>20</v>
      </c>
      <c r="Y185" t="s">
        <v>545</v>
      </c>
    </row>
    <row r="186" spans="1:25">
      <c r="A186" t="s">
        <v>688</v>
      </c>
      <c r="B186">
        <v>635.99783721563597</v>
      </c>
      <c r="C186">
        <v>20</v>
      </c>
      <c r="D186" t="s">
        <v>622</v>
      </c>
      <c r="E186">
        <v>3</v>
      </c>
      <c r="H186" t="s">
        <v>461</v>
      </c>
      <c r="I186" t="s">
        <v>53</v>
      </c>
      <c r="M186" t="s">
        <v>443</v>
      </c>
      <c r="Y186" t="s">
        <v>545</v>
      </c>
    </row>
    <row r="187" spans="1:25">
      <c r="A187" t="s">
        <v>688</v>
      </c>
      <c r="B187">
        <v>636.09745281797098</v>
      </c>
      <c r="C187">
        <v>20</v>
      </c>
      <c r="D187" t="s">
        <v>33</v>
      </c>
      <c r="E187">
        <v>4</v>
      </c>
      <c r="Y187" t="s">
        <v>545</v>
      </c>
    </row>
    <row r="188" spans="1:25">
      <c r="A188" t="s">
        <v>688</v>
      </c>
      <c r="B188">
        <v>636.89687193566795</v>
      </c>
      <c r="C188">
        <v>20</v>
      </c>
      <c r="D188" t="s">
        <v>34</v>
      </c>
      <c r="E188">
        <v>2</v>
      </c>
      <c r="R188" t="s">
        <v>23</v>
      </c>
      <c r="Y188" t="s">
        <v>545</v>
      </c>
    </row>
    <row r="189" spans="1:25">
      <c r="A189" t="s">
        <v>688</v>
      </c>
      <c r="B189">
        <v>649.99777018598797</v>
      </c>
      <c r="C189">
        <v>34.498586572011597</v>
      </c>
      <c r="D189" t="s">
        <v>10</v>
      </c>
      <c r="E189">
        <v>16</v>
      </c>
      <c r="Y189" t="s">
        <v>545</v>
      </c>
    </row>
    <row r="190" spans="1:25">
      <c r="A190" t="s">
        <v>688</v>
      </c>
      <c r="B190">
        <v>673.89600641631398</v>
      </c>
      <c r="C190">
        <v>20</v>
      </c>
      <c r="D190" t="s">
        <v>645</v>
      </c>
      <c r="E190">
        <v>6</v>
      </c>
      <c r="I190" t="s">
        <v>446</v>
      </c>
      <c r="Y190" t="s">
        <v>545</v>
      </c>
    </row>
    <row r="191" spans="1:25">
      <c r="A191" t="s">
        <v>688</v>
      </c>
      <c r="B191">
        <v>677.49635675800005</v>
      </c>
      <c r="C191">
        <v>17</v>
      </c>
      <c r="D191" t="s">
        <v>6</v>
      </c>
      <c r="E191">
        <v>7</v>
      </c>
      <c r="T191" t="s">
        <v>22</v>
      </c>
      <c r="Y191" t="s">
        <v>545</v>
      </c>
    </row>
    <row r="192" spans="1:25">
      <c r="A192" t="s">
        <v>688</v>
      </c>
      <c r="B192">
        <v>681.49635675800005</v>
      </c>
      <c r="C192">
        <v>6.4458569269999</v>
      </c>
      <c r="D192" t="s">
        <v>18</v>
      </c>
      <c r="E192">
        <v>16</v>
      </c>
      <c r="Y192" t="s">
        <v>545</v>
      </c>
    </row>
    <row r="193" spans="1:25">
      <c r="A193" t="s">
        <v>688</v>
      </c>
      <c r="B193">
        <v>684.49635675800005</v>
      </c>
      <c r="C193">
        <v>3.4458569269999</v>
      </c>
      <c r="D193" t="s">
        <v>19</v>
      </c>
      <c r="E193">
        <v>17</v>
      </c>
      <c r="Y193" t="s">
        <v>545</v>
      </c>
    </row>
    <row r="194" spans="1:25">
      <c r="A194" t="s">
        <v>688</v>
      </c>
      <c r="B194">
        <v>687.94221368499996</v>
      </c>
      <c r="C194">
        <v>24.348945885999999</v>
      </c>
      <c r="D194" t="s">
        <v>10</v>
      </c>
      <c r="E194">
        <v>17</v>
      </c>
      <c r="Y194" t="s">
        <v>545</v>
      </c>
    </row>
    <row r="195" spans="1:25">
      <c r="A195" t="s">
        <v>688</v>
      </c>
      <c r="B195">
        <v>704.99823338134604</v>
      </c>
      <c r="C195">
        <v>20</v>
      </c>
      <c r="D195" t="s">
        <v>622</v>
      </c>
      <c r="E195">
        <v>4</v>
      </c>
      <c r="J195" t="s">
        <v>639</v>
      </c>
      <c r="Y195" t="s">
        <v>545</v>
      </c>
    </row>
    <row r="196" spans="1:25">
      <c r="A196" t="s">
        <v>688</v>
      </c>
      <c r="B196">
        <v>705.29115957099998</v>
      </c>
      <c r="C196">
        <v>17</v>
      </c>
      <c r="D196" t="s">
        <v>11</v>
      </c>
      <c r="E196">
        <v>7</v>
      </c>
      <c r="T196" t="s">
        <v>16</v>
      </c>
      <c r="Y196" t="s">
        <v>545</v>
      </c>
    </row>
    <row r="197" spans="1:25">
      <c r="A197" t="s">
        <v>688</v>
      </c>
      <c r="B197">
        <v>707.87945221899997</v>
      </c>
      <c r="C197">
        <v>12.215636744652199</v>
      </c>
      <c r="D197" t="s">
        <v>427</v>
      </c>
      <c r="E197">
        <v>5</v>
      </c>
      <c r="R197" t="s">
        <v>20</v>
      </c>
      <c r="S197" t="s">
        <v>43</v>
      </c>
      <c r="Y197" t="s">
        <v>545</v>
      </c>
    </row>
    <row r="198" spans="1:25">
      <c r="A198" t="s">
        <v>688</v>
      </c>
      <c r="B198">
        <v>709.29115957099998</v>
      </c>
      <c r="C198">
        <v>22.3041912309716</v>
      </c>
      <c r="D198" t="s">
        <v>9</v>
      </c>
      <c r="E198">
        <v>17</v>
      </c>
      <c r="Y198" t="s">
        <v>545</v>
      </c>
    </row>
    <row r="199" spans="1:25">
      <c r="A199" t="s">
        <v>688</v>
      </c>
      <c r="B199">
        <v>712.29115957099998</v>
      </c>
      <c r="C199">
        <v>68.881888685000007</v>
      </c>
      <c r="D199" t="s">
        <v>19</v>
      </c>
      <c r="E199">
        <v>18</v>
      </c>
      <c r="Y199" t="s">
        <v>545</v>
      </c>
    </row>
    <row r="200" spans="1:25">
      <c r="A200" t="s">
        <v>688</v>
      </c>
      <c r="B200">
        <v>716.79843628098104</v>
      </c>
      <c r="C200">
        <v>20</v>
      </c>
      <c r="D200" t="s">
        <v>653</v>
      </c>
      <c r="E200">
        <v>7</v>
      </c>
      <c r="J200" t="s">
        <v>639</v>
      </c>
      <c r="M200" t="s">
        <v>433</v>
      </c>
      <c r="Y200" t="s">
        <v>545</v>
      </c>
    </row>
    <row r="201" spans="1:25">
      <c r="A201" t="s">
        <v>688</v>
      </c>
      <c r="B201">
        <v>722.19586063366</v>
      </c>
      <c r="C201">
        <v>20</v>
      </c>
      <c r="D201" t="s">
        <v>622</v>
      </c>
      <c r="E201">
        <v>5</v>
      </c>
      <c r="H201" t="s">
        <v>435</v>
      </c>
      <c r="I201" t="s">
        <v>440</v>
      </c>
      <c r="K201" t="s">
        <v>441</v>
      </c>
      <c r="M201" t="s">
        <v>619</v>
      </c>
      <c r="Y201" t="s">
        <v>545</v>
      </c>
    </row>
    <row r="202" spans="1:25">
      <c r="A202" t="s">
        <v>688</v>
      </c>
      <c r="B202">
        <v>723.10601528400002</v>
      </c>
      <c r="C202">
        <v>20</v>
      </c>
      <c r="D202" t="s">
        <v>135</v>
      </c>
      <c r="E202">
        <v>4</v>
      </c>
      <c r="Y202" t="s">
        <v>545</v>
      </c>
    </row>
    <row r="203" spans="1:25">
      <c r="A203" t="s">
        <v>688</v>
      </c>
      <c r="B203">
        <v>724.59535080197099</v>
      </c>
      <c r="C203">
        <v>17</v>
      </c>
      <c r="D203" t="s">
        <v>27</v>
      </c>
      <c r="E203">
        <v>9</v>
      </c>
      <c r="U203" t="s">
        <v>602</v>
      </c>
      <c r="Y203" t="s">
        <v>545</v>
      </c>
    </row>
    <row r="204" spans="1:25">
      <c r="A204" t="s">
        <v>688</v>
      </c>
      <c r="B204">
        <v>728.44862499999999</v>
      </c>
      <c r="C204">
        <v>17</v>
      </c>
      <c r="D204" t="s">
        <v>27</v>
      </c>
      <c r="E204">
        <v>10</v>
      </c>
      <c r="U204" t="s">
        <v>689</v>
      </c>
      <c r="Y204" t="s">
        <v>545</v>
      </c>
    </row>
    <row r="205" spans="1:25">
      <c r="A205" t="s">
        <v>688</v>
      </c>
      <c r="B205">
        <v>728.59535080197099</v>
      </c>
      <c r="C205">
        <v>7.1003798963590699</v>
      </c>
      <c r="D205" t="s">
        <v>18</v>
      </c>
      <c r="E205">
        <v>17</v>
      </c>
      <c r="Y205" t="s">
        <v>545</v>
      </c>
    </row>
    <row r="206" spans="1:25">
      <c r="A206" t="s">
        <v>688</v>
      </c>
      <c r="B206">
        <v>729.35611834400004</v>
      </c>
      <c r="C206">
        <v>20</v>
      </c>
      <c r="D206" t="s">
        <v>626</v>
      </c>
      <c r="E206">
        <v>3</v>
      </c>
      <c r="K206" t="s">
        <v>441</v>
      </c>
      <c r="M206" t="s">
        <v>612</v>
      </c>
      <c r="Y206" t="s">
        <v>545</v>
      </c>
    </row>
    <row r="207" spans="1:25">
      <c r="A207" t="s">
        <v>688</v>
      </c>
      <c r="B207">
        <v>730.70204092699998</v>
      </c>
      <c r="C207">
        <v>20</v>
      </c>
      <c r="D207" t="s">
        <v>645</v>
      </c>
      <c r="E207">
        <v>7</v>
      </c>
      <c r="J207" t="s">
        <v>611</v>
      </c>
      <c r="Y207" t="s">
        <v>545</v>
      </c>
    </row>
    <row r="208" spans="1:25">
      <c r="A208" t="s">
        <v>688</v>
      </c>
      <c r="B208">
        <v>732.44862499999999</v>
      </c>
      <c r="C208">
        <v>7.4482076873429097</v>
      </c>
      <c r="D208" t="s">
        <v>18</v>
      </c>
      <c r="E208">
        <v>18</v>
      </c>
      <c r="Y208" t="s">
        <v>545</v>
      </c>
    </row>
    <row r="209" spans="1:25">
      <c r="A209" t="s">
        <v>688</v>
      </c>
      <c r="B209">
        <v>732.69573069832995</v>
      </c>
      <c r="C209">
        <v>2.7528943016692402</v>
      </c>
      <c r="D209" t="s">
        <v>9</v>
      </c>
      <c r="E209">
        <v>18</v>
      </c>
      <c r="Y209" t="s">
        <v>545</v>
      </c>
    </row>
    <row r="210" spans="1:25">
      <c r="A210" t="s">
        <v>688</v>
      </c>
      <c r="B210">
        <v>732.896832687342</v>
      </c>
      <c r="C210">
        <v>17</v>
      </c>
      <c r="D210" t="s">
        <v>40</v>
      </c>
      <c r="E210">
        <v>6</v>
      </c>
      <c r="U210" t="s">
        <v>14</v>
      </c>
      <c r="Y210" t="s">
        <v>545</v>
      </c>
    </row>
    <row r="211" spans="1:25">
      <c r="A211" t="s">
        <v>688</v>
      </c>
      <c r="B211">
        <v>733.53088342599995</v>
      </c>
      <c r="C211">
        <v>20</v>
      </c>
      <c r="D211" t="s">
        <v>626</v>
      </c>
      <c r="E211">
        <v>4</v>
      </c>
      <c r="M211" t="s">
        <v>433</v>
      </c>
      <c r="Y211" t="s">
        <v>545</v>
      </c>
    </row>
    <row r="212" spans="1:25">
      <c r="A212" t="s">
        <v>688</v>
      </c>
      <c r="B212">
        <v>736.896832687342</v>
      </c>
      <c r="C212">
        <v>18.599629889299401</v>
      </c>
      <c r="D212" t="s">
        <v>9</v>
      </c>
      <c r="E212">
        <v>19</v>
      </c>
      <c r="Y212" t="s">
        <v>545</v>
      </c>
    </row>
    <row r="213" spans="1:25">
      <c r="A213" t="s">
        <v>688</v>
      </c>
      <c r="B213">
        <v>737.03215192799996</v>
      </c>
      <c r="C213">
        <v>20</v>
      </c>
      <c r="D213" t="s">
        <v>647</v>
      </c>
      <c r="E213">
        <v>6</v>
      </c>
      <c r="K213" t="s">
        <v>441</v>
      </c>
      <c r="M213" t="s">
        <v>617</v>
      </c>
      <c r="Y213" t="s">
        <v>545</v>
      </c>
    </row>
    <row r="214" spans="1:25">
      <c r="A214" t="s">
        <v>688</v>
      </c>
      <c r="B214">
        <v>747.34557097499999</v>
      </c>
      <c r="C214">
        <v>20</v>
      </c>
      <c r="D214" t="s">
        <v>738</v>
      </c>
      <c r="E214">
        <v>7</v>
      </c>
      <c r="I214" t="s">
        <v>440</v>
      </c>
      <c r="M214" t="s">
        <v>438</v>
      </c>
      <c r="Y214" t="s">
        <v>545</v>
      </c>
    </row>
    <row r="215" spans="1:25">
      <c r="A215" t="s">
        <v>688</v>
      </c>
      <c r="B215">
        <v>748.49646257664199</v>
      </c>
      <c r="C215">
        <v>17</v>
      </c>
      <c r="D215" t="s">
        <v>27</v>
      </c>
      <c r="E215">
        <v>11</v>
      </c>
      <c r="U215" t="s">
        <v>195</v>
      </c>
      <c r="Y215" t="s">
        <v>545</v>
      </c>
    </row>
    <row r="216" spans="1:25">
      <c r="A216" t="s">
        <v>688</v>
      </c>
      <c r="B216">
        <v>752.196520261302</v>
      </c>
      <c r="C216">
        <v>20</v>
      </c>
      <c r="D216" t="s">
        <v>642</v>
      </c>
      <c r="E216">
        <v>7</v>
      </c>
      <c r="I216" t="s">
        <v>442</v>
      </c>
      <c r="M216" t="s">
        <v>607</v>
      </c>
      <c r="Y216" t="s">
        <v>545</v>
      </c>
    </row>
    <row r="217" spans="1:25">
      <c r="A217" t="s">
        <v>688</v>
      </c>
      <c r="B217">
        <v>752.49646257664199</v>
      </c>
      <c r="C217">
        <v>19.0995592710305</v>
      </c>
      <c r="D217" t="s">
        <v>18</v>
      </c>
      <c r="E217">
        <v>19</v>
      </c>
      <c r="Y217" t="s">
        <v>545</v>
      </c>
    </row>
    <row r="218" spans="1:25">
      <c r="A218" t="s">
        <v>688</v>
      </c>
      <c r="B218">
        <v>755.94740854999998</v>
      </c>
      <c r="C218">
        <v>20</v>
      </c>
      <c r="D218" t="s">
        <v>738</v>
      </c>
      <c r="E218">
        <v>8</v>
      </c>
      <c r="I218" t="s">
        <v>621</v>
      </c>
      <c r="M218" t="s">
        <v>608</v>
      </c>
      <c r="Y218" t="s">
        <v>545</v>
      </c>
    </row>
    <row r="219" spans="1:25">
      <c r="A219" t="s">
        <v>688</v>
      </c>
      <c r="B219">
        <v>756.89880715731601</v>
      </c>
      <c r="C219">
        <v>14.697214690356301</v>
      </c>
      <c r="D219" t="s">
        <v>32</v>
      </c>
      <c r="E219">
        <v>7</v>
      </c>
      <c r="R219" t="s">
        <v>23</v>
      </c>
      <c r="Y219" t="s">
        <v>545</v>
      </c>
    </row>
    <row r="220" spans="1:25">
      <c r="A220" t="s">
        <v>688</v>
      </c>
      <c r="B220">
        <v>764.59602184767198</v>
      </c>
      <c r="C220">
        <v>17</v>
      </c>
      <c r="D220" t="s">
        <v>40</v>
      </c>
      <c r="E220">
        <v>7</v>
      </c>
      <c r="U220" t="s">
        <v>14</v>
      </c>
      <c r="Y220" t="s">
        <v>545</v>
      </c>
    </row>
    <row r="221" spans="1:25">
      <c r="A221" t="s">
        <v>688</v>
      </c>
      <c r="B221">
        <v>768.59602184767198</v>
      </c>
      <c r="C221">
        <v>12.5770264083271</v>
      </c>
      <c r="D221" t="s">
        <v>9</v>
      </c>
      <c r="E221">
        <v>20</v>
      </c>
      <c r="Y221" t="s">
        <v>545</v>
      </c>
    </row>
    <row r="222" spans="1:25">
      <c r="A222" t="s">
        <v>688</v>
      </c>
      <c r="B222">
        <v>769.89596362999998</v>
      </c>
      <c r="C222">
        <v>11.277084626000001</v>
      </c>
      <c r="D222" t="s">
        <v>427</v>
      </c>
      <c r="E222">
        <v>6</v>
      </c>
      <c r="R222" t="s">
        <v>23</v>
      </c>
      <c r="Y222" t="s">
        <v>545</v>
      </c>
    </row>
    <row r="223" spans="1:25">
      <c r="A223" t="s">
        <v>688</v>
      </c>
      <c r="B223">
        <v>769.91126722299998</v>
      </c>
      <c r="C223">
        <v>20</v>
      </c>
      <c r="D223" t="s">
        <v>622</v>
      </c>
      <c r="E223">
        <v>6</v>
      </c>
      <c r="J223" t="s">
        <v>223</v>
      </c>
      <c r="K223" t="s">
        <v>432</v>
      </c>
      <c r="M223" t="s">
        <v>617</v>
      </c>
      <c r="Y223" t="s">
        <v>545</v>
      </c>
    </row>
    <row r="224" spans="1:25">
      <c r="A224" t="s">
        <v>688</v>
      </c>
      <c r="B224">
        <v>781.17304825600002</v>
      </c>
      <c r="C224">
        <v>8.8173606960059399</v>
      </c>
      <c r="D224" t="s">
        <v>10</v>
      </c>
      <c r="E224">
        <v>18</v>
      </c>
      <c r="Y224" t="s">
        <v>545</v>
      </c>
    </row>
    <row r="225" spans="1:25">
      <c r="A225" t="s">
        <v>688</v>
      </c>
      <c r="B225">
        <v>782.99040895200596</v>
      </c>
      <c r="C225">
        <v>17</v>
      </c>
      <c r="D225" t="s">
        <v>11</v>
      </c>
      <c r="E225">
        <v>8</v>
      </c>
      <c r="T225" t="s">
        <v>13</v>
      </c>
      <c r="Y225" t="s">
        <v>545</v>
      </c>
    </row>
    <row r="226" spans="1:25">
      <c r="A226" t="s">
        <v>688</v>
      </c>
      <c r="B226">
        <v>785.83600962699995</v>
      </c>
      <c r="C226">
        <v>22.550672189</v>
      </c>
      <c r="D226" t="s">
        <v>427</v>
      </c>
      <c r="E226">
        <v>7</v>
      </c>
      <c r="R226" t="s">
        <v>20</v>
      </c>
      <c r="S226" t="s">
        <v>454</v>
      </c>
      <c r="Y226" t="s">
        <v>545</v>
      </c>
    </row>
    <row r="227" spans="1:25">
      <c r="A227" t="s">
        <v>688</v>
      </c>
      <c r="B227">
        <v>786.99040895200596</v>
      </c>
      <c r="C227">
        <v>21.396272863994</v>
      </c>
      <c r="D227" t="s">
        <v>9</v>
      </c>
      <c r="E227">
        <v>21</v>
      </c>
      <c r="Y227" t="s">
        <v>545</v>
      </c>
    </row>
    <row r="228" spans="1:25">
      <c r="A228" t="s">
        <v>688</v>
      </c>
      <c r="B228">
        <v>789.99040895200596</v>
      </c>
      <c r="C228">
        <v>18.396272863994</v>
      </c>
      <c r="D228" t="s">
        <v>19</v>
      </c>
      <c r="E228">
        <v>19</v>
      </c>
      <c r="Y228" t="s">
        <v>545</v>
      </c>
    </row>
    <row r="229" spans="1:25">
      <c r="A229" t="s">
        <v>688</v>
      </c>
      <c r="B229">
        <v>793.63782905300002</v>
      </c>
      <c r="C229">
        <v>20</v>
      </c>
      <c r="D229" t="s">
        <v>632</v>
      </c>
      <c r="E229">
        <v>11</v>
      </c>
      <c r="J229" t="s">
        <v>639</v>
      </c>
      <c r="Y229" t="s">
        <v>545</v>
      </c>
    </row>
    <row r="230" spans="1:25">
      <c r="A230" t="s">
        <v>688</v>
      </c>
      <c r="B230">
        <v>794.90404969099995</v>
      </c>
      <c r="C230">
        <v>20</v>
      </c>
      <c r="D230" t="s">
        <v>626</v>
      </c>
      <c r="E230">
        <v>5</v>
      </c>
      <c r="K230" t="s">
        <v>444</v>
      </c>
      <c r="M230" t="s">
        <v>617</v>
      </c>
      <c r="Y230" t="s">
        <v>545</v>
      </c>
    </row>
    <row r="231" spans="1:25">
      <c r="A231" t="s">
        <v>688</v>
      </c>
      <c r="B231">
        <v>807.99573466965501</v>
      </c>
      <c r="C231">
        <v>20</v>
      </c>
      <c r="D231" t="s">
        <v>632</v>
      </c>
      <c r="E231">
        <v>12</v>
      </c>
      <c r="J231" t="s">
        <v>639</v>
      </c>
      <c r="Y231" t="s">
        <v>545</v>
      </c>
    </row>
    <row r="232" spans="1:25">
      <c r="A232" t="s">
        <v>688</v>
      </c>
      <c r="B232">
        <v>808.06552187199998</v>
      </c>
      <c r="C232">
        <v>17</v>
      </c>
      <c r="D232" t="s">
        <v>11</v>
      </c>
      <c r="E232">
        <v>9</v>
      </c>
      <c r="T232" t="s">
        <v>12</v>
      </c>
      <c r="U232" t="s">
        <v>14</v>
      </c>
      <c r="Y232" t="s">
        <v>545</v>
      </c>
    </row>
    <row r="233" spans="1:25">
      <c r="A233" t="s">
        <v>688</v>
      </c>
      <c r="B233">
        <v>808.38668181599996</v>
      </c>
      <c r="C233">
        <v>6.6788400560000101</v>
      </c>
      <c r="D233" t="s">
        <v>10</v>
      </c>
      <c r="E233">
        <v>19</v>
      </c>
      <c r="Y233" t="s">
        <v>545</v>
      </c>
    </row>
    <row r="234" spans="1:25">
      <c r="A234" t="s">
        <v>688</v>
      </c>
      <c r="B234">
        <v>812.05421633699996</v>
      </c>
      <c r="C234">
        <v>20</v>
      </c>
      <c r="D234" t="s">
        <v>647</v>
      </c>
      <c r="E234">
        <v>7</v>
      </c>
      <c r="J234" t="s">
        <v>222</v>
      </c>
      <c r="Y234" t="s">
        <v>545</v>
      </c>
    </row>
    <row r="235" spans="1:25">
      <c r="A235" t="s">
        <v>688</v>
      </c>
      <c r="B235">
        <v>812.06552187199998</v>
      </c>
      <c r="C235">
        <v>7.6311170049885897</v>
      </c>
      <c r="D235" t="s">
        <v>9</v>
      </c>
      <c r="E235">
        <v>22</v>
      </c>
      <c r="Y235" t="s">
        <v>545</v>
      </c>
    </row>
    <row r="236" spans="1:25">
      <c r="A236" t="s">
        <v>688</v>
      </c>
      <c r="B236">
        <v>812.696638876988</v>
      </c>
      <c r="C236">
        <v>17</v>
      </c>
      <c r="D236" t="s">
        <v>27</v>
      </c>
      <c r="E236">
        <v>12</v>
      </c>
      <c r="U236" t="s">
        <v>602</v>
      </c>
      <c r="Y236" t="s">
        <v>545</v>
      </c>
    </row>
    <row r="237" spans="1:25">
      <c r="A237" t="s">
        <v>688</v>
      </c>
      <c r="B237">
        <v>815.06552187199998</v>
      </c>
      <c r="C237">
        <v>8.2671200980000705</v>
      </c>
      <c r="D237" t="s">
        <v>19</v>
      </c>
      <c r="E237">
        <v>20</v>
      </c>
      <c r="Y237" t="s">
        <v>545</v>
      </c>
    </row>
    <row r="238" spans="1:25">
      <c r="A238" t="s">
        <v>688</v>
      </c>
      <c r="B238">
        <v>816.696638876988</v>
      </c>
      <c r="C238">
        <v>6.6360030930114799</v>
      </c>
      <c r="D238" t="s">
        <v>18</v>
      </c>
      <c r="E238">
        <v>20</v>
      </c>
      <c r="Y238" t="s">
        <v>545</v>
      </c>
    </row>
    <row r="239" spans="1:25">
      <c r="A239" t="s">
        <v>688</v>
      </c>
      <c r="B239">
        <v>823.33264197000005</v>
      </c>
      <c r="C239">
        <v>30.316851668999899</v>
      </c>
      <c r="D239" t="s">
        <v>10</v>
      </c>
      <c r="E239">
        <v>20</v>
      </c>
      <c r="Y239" t="s">
        <v>545</v>
      </c>
    </row>
    <row r="240" spans="1:25">
      <c r="A240" t="s">
        <v>688</v>
      </c>
      <c r="B240">
        <v>844.09237565665103</v>
      </c>
      <c r="C240">
        <v>20</v>
      </c>
      <c r="D240" t="s">
        <v>645</v>
      </c>
      <c r="E240">
        <v>8</v>
      </c>
      <c r="I240" t="s">
        <v>458</v>
      </c>
      <c r="Y240" t="s">
        <v>545</v>
      </c>
    </row>
    <row r="241" spans="1:25">
      <c r="A241" t="s">
        <v>688</v>
      </c>
      <c r="B241">
        <v>846.64949363899996</v>
      </c>
      <c r="C241">
        <v>17</v>
      </c>
      <c r="D241" t="s">
        <v>6</v>
      </c>
      <c r="E241">
        <v>8</v>
      </c>
      <c r="T241" t="s">
        <v>24</v>
      </c>
      <c r="Y241" t="s">
        <v>545</v>
      </c>
    </row>
    <row r="242" spans="1:25">
      <c r="A242" t="s">
        <v>688</v>
      </c>
      <c r="B242">
        <v>849.73768238299999</v>
      </c>
      <c r="C242">
        <v>20</v>
      </c>
      <c r="D242" t="s">
        <v>636</v>
      </c>
      <c r="E242">
        <v>5</v>
      </c>
      <c r="H242" t="s">
        <v>435</v>
      </c>
      <c r="I242" t="s">
        <v>53</v>
      </c>
      <c r="M242" t="s">
        <v>443</v>
      </c>
      <c r="Y242" t="s">
        <v>545</v>
      </c>
    </row>
    <row r="243" spans="1:25">
      <c r="A243" t="s">
        <v>688</v>
      </c>
      <c r="B243">
        <v>849.84717556600003</v>
      </c>
      <c r="C243">
        <v>20</v>
      </c>
      <c r="D243" t="s">
        <v>135</v>
      </c>
      <c r="E243">
        <v>5</v>
      </c>
      <c r="Y243" t="s">
        <v>545</v>
      </c>
    </row>
    <row r="244" spans="1:25">
      <c r="A244" t="s">
        <v>688</v>
      </c>
      <c r="B244">
        <v>850.64949363899996</v>
      </c>
      <c r="C244">
        <v>36.864622081999997</v>
      </c>
      <c r="D244" t="s">
        <v>18</v>
      </c>
      <c r="E244">
        <v>21</v>
      </c>
      <c r="Y244" t="s">
        <v>545</v>
      </c>
    </row>
    <row r="245" spans="1:25">
      <c r="A245" t="s">
        <v>688</v>
      </c>
      <c r="B245">
        <v>850.69577916867195</v>
      </c>
      <c r="C245">
        <v>20</v>
      </c>
      <c r="D245" t="s">
        <v>34</v>
      </c>
      <c r="E245">
        <v>3</v>
      </c>
      <c r="R245" t="s">
        <v>23</v>
      </c>
      <c r="Y245" t="s">
        <v>545</v>
      </c>
    </row>
    <row r="246" spans="1:25">
      <c r="A246" t="s">
        <v>688</v>
      </c>
      <c r="B246">
        <v>853.64949363899996</v>
      </c>
      <c r="C246">
        <v>72.863073557999996</v>
      </c>
      <c r="D246" t="s">
        <v>19</v>
      </c>
      <c r="E246">
        <v>21</v>
      </c>
      <c r="Y246" t="s">
        <v>545</v>
      </c>
    </row>
    <row r="247" spans="1:25">
      <c r="A247" t="s">
        <v>688</v>
      </c>
      <c r="B247">
        <v>858.14134455600004</v>
      </c>
      <c r="C247">
        <v>20</v>
      </c>
      <c r="D247" t="s">
        <v>738</v>
      </c>
      <c r="E247">
        <v>9</v>
      </c>
      <c r="I247" t="s">
        <v>439</v>
      </c>
      <c r="M247" t="s">
        <v>443</v>
      </c>
      <c r="Y247" t="s">
        <v>545</v>
      </c>
    </row>
    <row r="248" spans="1:25">
      <c r="A248" t="s">
        <v>688</v>
      </c>
      <c r="B248">
        <v>862.39567930067301</v>
      </c>
      <c r="C248">
        <v>20</v>
      </c>
      <c r="D248" t="s">
        <v>632</v>
      </c>
      <c r="E248">
        <v>13</v>
      </c>
      <c r="I248" t="s">
        <v>442</v>
      </c>
      <c r="M248" t="s">
        <v>438</v>
      </c>
      <c r="Y248" t="s">
        <v>545</v>
      </c>
    </row>
    <row r="249" spans="1:25">
      <c r="A249" t="s">
        <v>688</v>
      </c>
      <c r="B249">
        <v>865.98656112563197</v>
      </c>
      <c r="C249">
        <v>20</v>
      </c>
      <c r="D249" t="s">
        <v>645</v>
      </c>
      <c r="E249">
        <v>9</v>
      </c>
      <c r="I249" t="s">
        <v>440</v>
      </c>
      <c r="M249" t="s">
        <v>607</v>
      </c>
      <c r="Y249" t="s">
        <v>545</v>
      </c>
    </row>
    <row r="250" spans="1:25">
      <c r="A250" t="s">
        <v>688</v>
      </c>
      <c r="B250">
        <v>868.69492171898105</v>
      </c>
      <c r="C250">
        <v>20</v>
      </c>
      <c r="D250" t="s">
        <v>642</v>
      </c>
      <c r="E250">
        <v>8</v>
      </c>
      <c r="I250" t="s">
        <v>747</v>
      </c>
      <c r="M250" t="s">
        <v>744</v>
      </c>
      <c r="Y250" t="s">
        <v>545</v>
      </c>
    </row>
    <row r="251" spans="1:25">
      <c r="A251" t="s">
        <v>688</v>
      </c>
      <c r="B251">
        <v>870.68893421899895</v>
      </c>
      <c r="C251">
        <v>20</v>
      </c>
      <c r="D251" t="s">
        <v>645</v>
      </c>
      <c r="E251">
        <v>10</v>
      </c>
      <c r="I251" t="s">
        <v>439</v>
      </c>
      <c r="M251" t="s">
        <v>607</v>
      </c>
      <c r="Y251" t="s">
        <v>545</v>
      </c>
    </row>
    <row r="252" spans="1:25">
      <c r="A252" t="s">
        <v>688</v>
      </c>
      <c r="B252">
        <v>871.09576405130997</v>
      </c>
      <c r="C252">
        <v>20</v>
      </c>
      <c r="D252" t="s">
        <v>632</v>
      </c>
      <c r="E252">
        <v>14</v>
      </c>
      <c r="I252" t="s">
        <v>442</v>
      </c>
      <c r="M252" t="s">
        <v>607</v>
      </c>
      <c r="Y252" t="s">
        <v>545</v>
      </c>
    </row>
    <row r="253" spans="1:25">
      <c r="A253" t="s">
        <v>688</v>
      </c>
      <c r="B253">
        <v>873.09739477435005</v>
      </c>
      <c r="C253">
        <v>14.416720946649701</v>
      </c>
      <c r="D253" t="s">
        <v>32</v>
      </c>
      <c r="E253">
        <v>8</v>
      </c>
      <c r="R253" t="s">
        <v>23</v>
      </c>
      <c r="Y253" t="s">
        <v>545</v>
      </c>
    </row>
    <row r="254" spans="1:25">
      <c r="A254" t="s">
        <v>688</v>
      </c>
      <c r="B254">
        <v>875.87524463700004</v>
      </c>
      <c r="C254">
        <v>20</v>
      </c>
      <c r="D254" t="s">
        <v>632</v>
      </c>
      <c r="E254">
        <v>15</v>
      </c>
      <c r="H254" t="s">
        <v>5</v>
      </c>
      <c r="I254" t="s">
        <v>439</v>
      </c>
      <c r="M254" t="s">
        <v>616</v>
      </c>
      <c r="Y254" t="s">
        <v>545</v>
      </c>
    </row>
    <row r="255" spans="1:25">
      <c r="A255" t="s">
        <v>688</v>
      </c>
      <c r="B255">
        <v>879.74800105300005</v>
      </c>
      <c r="C255">
        <v>20</v>
      </c>
      <c r="D255" t="s">
        <v>632</v>
      </c>
      <c r="E255">
        <v>16</v>
      </c>
      <c r="J255" t="s">
        <v>733</v>
      </c>
      <c r="M255" t="s">
        <v>620</v>
      </c>
      <c r="Y255" t="s">
        <v>545</v>
      </c>
    </row>
    <row r="256" spans="1:25">
      <c r="A256" t="s">
        <v>688</v>
      </c>
      <c r="B256">
        <v>880.51411572100005</v>
      </c>
      <c r="C256">
        <v>17</v>
      </c>
      <c r="D256" t="s">
        <v>40</v>
      </c>
      <c r="E256">
        <v>8</v>
      </c>
      <c r="U256" t="s">
        <v>195</v>
      </c>
      <c r="Y256" t="s">
        <v>545</v>
      </c>
    </row>
    <row r="257" spans="1:25">
      <c r="A257" t="s">
        <v>688</v>
      </c>
      <c r="B257">
        <v>882.59566409366005</v>
      </c>
      <c r="C257">
        <v>20</v>
      </c>
      <c r="D257" t="s">
        <v>647</v>
      </c>
      <c r="E257">
        <v>8</v>
      </c>
      <c r="H257" t="s">
        <v>445</v>
      </c>
      <c r="I257" t="s">
        <v>440</v>
      </c>
      <c r="M257" t="s">
        <v>607</v>
      </c>
      <c r="Y257" t="s">
        <v>545</v>
      </c>
    </row>
    <row r="258" spans="1:25">
      <c r="A258" t="s">
        <v>688</v>
      </c>
      <c r="B258">
        <v>882.78462926700001</v>
      </c>
      <c r="C258">
        <v>20</v>
      </c>
      <c r="D258" t="s">
        <v>654</v>
      </c>
      <c r="E258">
        <v>9</v>
      </c>
      <c r="I258" t="s">
        <v>439</v>
      </c>
      <c r="M258" t="s">
        <v>438</v>
      </c>
      <c r="Y258" t="s">
        <v>545</v>
      </c>
    </row>
    <row r="259" spans="1:25">
      <c r="A259" t="s">
        <v>688</v>
      </c>
      <c r="B259">
        <v>884.51411572100005</v>
      </c>
      <c r="C259">
        <v>7.0838168889874797</v>
      </c>
      <c r="D259" t="s">
        <v>9</v>
      </c>
      <c r="E259">
        <v>23</v>
      </c>
      <c r="Y259" t="s">
        <v>545</v>
      </c>
    </row>
    <row r="260" spans="1:25">
      <c r="A260" t="s">
        <v>688</v>
      </c>
      <c r="B260">
        <v>884.59793260998697</v>
      </c>
      <c r="C260">
        <v>17</v>
      </c>
      <c r="D260" t="s">
        <v>27</v>
      </c>
      <c r="E260">
        <v>13</v>
      </c>
      <c r="U260" t="s">
        <v>690</v>
      </c>
      <c r="Y260" t="s">
        <v>545</v>
      </c>
    </row>
    <row r="261" spans="1:25">
      <c r="A261" t="s">
        <v>688</v>
      </c>
      <c r="B261">
        <v>886.09680285964896</v>
      </c>
      <c r="C261">
        <v>20</v>
      </c>
      <c r="D261" t="s">
        <v>632</v>
      </c>
      <c r="E261">
        <v>17</v>
      </c>
      <c r="I261" t="s">
        <v>440</v>
      </c>
      <c r="M261" t="s">
        <v>607</v>
      </c>
      <c r="Y261" t="s">
        <v>545</v>
      </c>
    </row>
    <row r="262" spans="1:25">
      <c r="A262" t="s">
        <v>688</v>
      </c>
      <c r="B262">
        <v>888.59793260998697</v>
      </c>
      <c r="C262">
        <v>29.697887998344999</v>
      </c>
      <c r="D262" t="s">
        <v>18</v>
      </c>
      <c r="E262">
        <v>22</v>
      </c>
      <c r="Y262" t="s">
        <v>545</v>
      </c>
    </row>
    <row r="263" spans="1:25">
      <c r="A263" t="s">
        <v>688</v>
      </c>
      <c r="B263">
        <v>891.79493490065602</v>
      </c>
      <c r="C263">
        <v>20</v>
      </c>
      <c r="D263" t="s">
        <v>649</v>
      </c>
      <c r="E263">
        <v>8</v>
      </c>
      <c r="I263" t="s">
        <v>442</v>
      </c>
      <c r="M263" t="s">
        <v>607</v>
      </c>
      <c r="Y263" t="s">
        <v>545</v>
      </c>
    </row>
    <row r="264" spans="1:25">
      <c r="A264" t="s">
        <v>688</v>
      </c>
      <c r="B264">
        <v>893.09364100298296</v>
      </c>
      <c r="C264">
        <v>25.2021796053494</v>
      </c>
      <c r="D264" t="s">
        <v>32</v>
      </c>
      <c r="E264">
        <v>9</v>
      </c>
      <c r="R264" t="s">
        <v>23</v>
      </c>
      <c r="Y264" t="s">
        <v>545</v>
      </c>
    </row>
    <row r="265" spans="1:25">
      <c r="A265" t="s">
        <v>688</v>
      </c>
      <c r="B265">
        <v>894.50157390132404</v>
      </c>
      <c r="C265">
        <v>20</v>
      </c>
      <c r="D265" t="s">
        <v>636</v>
      </c>
      <c r="E265">
        <v>6</v>
      </c>
      <c r="I265" t="s">
        <v>440</v>
      </c>
      <c r="M265" t="s">
        <v>607</v>
      </c>
      <c r="Y265" t="s">
        <v>545</v>
      </c>
    </row>
    <row r="266" spans="1:25">
      <c r="A266" t="s">
        <v>688</v>
      </c>
      <c r="B266">
        <v>898.89672072431301</v>
      </c>
      <c r="C266">
        <v>20</v>
      </c>
      <c r="D266" t="s">
        <v>649</v>
      </c>
      <c r="E266">
        <v>9</v>
      </c>
      <c r="I266" t="s">
        <v>442</v>
      </c>
      <c r="M266" t="s">
        <v>607</v>
      </c>
      <c r="Y266" t="s">
        <v>545</v>
      </c>
    </row>
    <row r="267" spans="1:25">
      <c r="A267" t="s">
        <v>688</v>
      </c>
      <c r="B267">
        <v>902.19591821931499</v>
      </c>
      <c r="C267">
        <v>20</v>
      </c>
      <c r="D267" t="s">
        <v>642</v>
      </c>
      <c r="E267">
        <v>9</v>
      </c>
      <c r="I267" t="s">
        <v>439</v>
      </c>
      <c r="M267" t="s">
        <v>607</v>
      </c>
      <c r="Y267" t="s">
        <v>545</v>
      </c>
    </row>
    <row r="268" spans="1:25">
      <c r="A268" t="s">
        <v>688</v>
      </c>
      <c r="B268">
        <v>906.79078038866805</v>
      </c>
      <c r="C268">
        <v>20</v>
      </c>
      <c r="D268" t="s">
        <v>738</v>
      </c>
      <c r="E268">
        <v>10</v>
      </c>
      <c r="I268" t="s">
        <v>439</v>
      </c>
      <c r="M268" t="s">
        <v>608</v>
      </c>
      <c r="Y268" t="s">
        <v>545</v>
      </c>
    </row>
    <row r="269" spans="1:25">
      <c r="A269" t="s">
        <v>688</v>
      </c>
      <c r="B269">
        <v>911.29582060833195</v>
      </c>
      <c r="C269">
        <v>17</v>
      </c>
      <c r="D269" t="s">
        <v>40</v>
      </c>
      <c r="E269">
        <v>9</v>
      </c>
      <c r="U269" t="s">
        <v>14</v>
      </c>
      <c r="Y269" t="s">
        <v>545</v>
      </c>
    </row>
    <row r="270" spans="1:25">
      <c r="A270" t="s">
        <v>688</v>
      </c>
      <c r="B270">
        <v>915.29582060833195</v>
      </c>
      <c r="C270">
        <v>11.2167465886673</v>
      </c>
      <c r="D270" t="s">
        <v>9</v>
      </c>
      <c r="E270">
        <v>24</v>
      </c>
      <c r="Y270" t="s">
        <v>545</v>
      </c>
    </row>
    <row r="271" spans="1:25">
      <c r="A271" t="s">
        <v>688</v>
      </c>
      <c r="B271">
        <v>916.096157804992</v>
      </c>
      <c r="C271">
        <v>20</v>
      </c>
      <c r="D271" t="s">
        <v>738</v>
      </c>
      <c r="E271">
        <v>11</v>
      </c>
      <c r="J271" t="s">
        <v>49</v>
      </c>
      <c r="Y271" t="s">
        <v>545</v>
      </c>
    </row>
    <row r="272" spans="1:25">
      <c r="A272" t="s">
        <v>688</v>
      </c>
      <c r="B272">
        <v>926.51256719699995</v>
      </c>
      <c r="C272">
        <v>31.53463837</v>
      </c>
      <c r="D272" t="s">
        <v>10</v>
      </c>
      <c r="E272">
        <v>21</v>
      </c>
      <c r="Y272" t="s">
        <v>545</v>
      </c>
    </row>
    <row r="273" spans="1:25">
      <c r="A273" t="s">
        <v>688</v>
      </c>
      <c r="B273">
        <v>951.04720556699999</v>
      </c>
      <c r="C273">
        <v>17</v>
      </c>
      <c r="D273" t="s">
        <v>11</v>
      </c>
      <c r="E273">
        <v>10</v>
      </c>
      <c r="T273" t="s">
        <v>12</v>
      </c>
      <c r="U273" t="s">
        <v>14</v>
      </c>
      <c r="Y273" t="s">
        <v>545</v>
      </c>
    </row>
    <row r="274" spans="1:25">
      <c r="A274" t="s">
        <v>688</v>
      </c>
      <c r="B274">
        <v>955.04720556699999</v>
      </c>
      <c r="C274">
        <v>27.075208008999901</v>
      </c>
      <c r="D274" t="s">
        <v>9</v>
      </c>
      <c r="E274">
        <v>25</v>
      </c>
      <c r="Y274" t="s">
        <v>545</v>
      </c>
    </row>
    <row r="275" spans="1:25">
      <c r="A275" t="s">
        <v>688</v>
      </c>
      <c r="B275">
        <v>958.04720556699999</v>
      </c>
      <c r="C275">
        <v>24.075208008999901</v>
      </c>
      <c r="D275" t="s">
        <v>19</v>
      </c>
      <c r="E275">
        <v>22</v>
      </c>
      <c r="Y275" t="s">
        <v>545</v>
      </c>
    </row>
    <row r="276" spans="1:25">
      <c r="A276" t="s">
        <v>688</v>
      </c>
      <c r="B276">
        <v>958.49308228066798</v>
      </c>
      <c r="C276">
        <v>20.4872087143317</v>
      </c>
      <c r="D276" t="s">
        <v>42</v>
      </c>
      <c r="E276">
        <v>3</v>
      </c>
      <c r="R276" t="s">
        <v>20</v>
      </c>
      <c r="Y276" t="s">
        <v>545</v>
      </c>
    </row>
    <row r="277" spans="1:25">
      <c r="A277" t="s">
        <v>688</v>
      </c>
      <c r="B277">
        <v>961.68922617066903</v>
      </c>
      <c r="C277">
        <v>20</v>
      </c>
      <c r="D277" t="s">
        <v>636</v>
      </c>
      <c r="E277">
        <v>7</v>
      </c>
      <c r="K277" t="s">
        <v>48</v>
      </c>
      <c r="M277" t="s">
        <v>620</v>
      </c>
      <c r="Y277" t="s">
        <v>545</v>
      </c>
    </row>
    <row r="278" spans="1:25">
      <c r="A278" t="s">
        <v>688</v>
      </c>
      <c r="B278">
        <v>962.31140875699998</v>
      </c>
      <c r="C278">
        <v>20</v>
      </c>
      <c r="D278" t="s">
        <v>649</v>
      </c>
      <c r="E278">
        <v>10</v>
      </c>
      <c r="I278" t="s">
        <v>439</v>
      </c>
      <c r="M278" t="s">
        <v>438</v>
      </c>
      <c r="Y278" t="s">
        <v>545</v>
      </c>
    </row>
    <row r="279" spans="1:25">
      <c r="A279" t="s">
        <v>688</v>
      </c>
      <c r="B279">
        <v>982.12241357599999</v>
      </c>
      <c r="C279">
        <v>14.094685692999899</v>
      </c>
      <c r="D279" t="s">
        <v>10</v>
      </c>
      <c r="E279">
        <v>22</v>
      </c>
      <c r="Y279" t="s">
        <v>545</v>
      </c>
    </row>
    <row r="280" spans="1:25">
      <c r="A280" t="s">
        <v>688</v>
      </c>
      <c r="B280">
        <v>987.59048621900001</v>
      </c>
      <c r="C280">
        <v>20</v>
      </c>
      <c r="D280" t="s">
        <v>645</v>
      </c>
      <c r="E280">
        <v>11</v>
      </c>
      <c r="I280" t="s">
        <v>442</v>
      </c>
      <c r="M280" t="s">
        <v>608</v>
      </c>
      <c r="Y280" t="s">
        <v>545</v>
      </c>
    </row>
    <row r="281" spans="1:25">
      <c r="A281" t="s">
        <v>688</v>
      </c>
      <c r="B281">
        <v>989.21709926899996</v>
      </c>
      <c r="C281">
        <v>17</v>
      </c>
      <c r="D281" t="s">
        <v>6</v>
      </c>
      <c r="E281">
        <v>9</v>
      </c>
      <c r="T281" t="s">
        <v>21</v>
      </c>
      <c r="U281" t="s">
        <v>14</v>
      </c>
      <c r="Y281" t="s">
        <v>545</v>
      </c>
    </row>
    <row r="282" spans="1:25">
      <c r="A282" t="s">
        <v>688</v>
      </c>
      <c r="B282">
        <v>993.21709926899996</v>
      </c>
      <c r="C282">
        <v>7.0539939440000099</v>
      </c>
      <c r="D282" t="s">
        <v>18</v>
      </c>
      <c r="E282">
        <v>23</v>
      </c>
      <c r="Y282" t="s">
        <v>545</v>
      </c>
    </row>
    <row r="283" spans="1:25">
      <c r="A283" t="s">
        <v>688</v>
      </c>
      <c r="B283">
        <v>996.21709926899996</v>
      </c>
      <c r="C283">
        <v>4.0539939440000099</v>
      </c>
      <c r="D283" t="s">
        <v>19</v>
      </c>
      <c r="E283">
        <v>23</v>
      </c>
      <c r="Y283" t="s">
        <v>545</v>
      </c>
    </row>
    <row r="284" spans="1:25">
      <c r="A284" t="s">
        <v>688</v>
      </c>
      <c r="B284">
        <v>1000.271093213</v>
      </c>
      <c r="C284">
        <v>8.5300674080000292</v>
      </c>
      <c r="D284" t="s">
        <v>10</v>
      </c>
      <c r="E284">
        <v>23</v>
      </c>
      <c r="Y284" t="s">
        <v>545</v>
      </c>
    </row>
    <row r="285" spans="1:25">
      <c r="A285" t="s">
        <v>688</v>
      </c>
      <c r="B285">
        <v>1001.801160621</v>
      </c>
      <c r="C285">
        <v>17</v>
      </c>
      <c r="D285" t="s">
        <v>11</v>
      </c>
      <c r="E285">
        <v>11</v>
      </c>
      <c r="T285" t="s">
        <v>12</v>
      </c>
      <c r="Y285" t="s">
        <v>545</v>
      </c>
    </row>
    <row r="286" spans="1:25">
      <c r="A286" t="s">
        <v>688</v>
      </c>
      <c r="B286">
        <v>1005.801160621</v>
      </c>
      <c r="C286">
        <v>5.4384567900000302</v>
      </c>
      <c r="D286" t="s">
        <v>9</v>
      </c>
      <c r="E286">
        <v>26</v>
      </c>
      <c r="Y286" t="s">
        <v>545</v>
      </c>
    </row>
    <row r="287" spans="1:25">
      <c r="A287" t="s">
        <v>688</v>
      </c>
      <c r="B287">
        <v>1008.801160621</v>
      </c>
      <c r="C287">
        <v>2.4384567900000298</v>
      </c>
      <c r="D287" t="s">
        <v>19</v>
      </c>
      <c r="E287">
        <v>24</v>
      </c>
      <c r="Y287" t="s">
        <v>545</v>
      </c>
    </row>
    <row r="288" spans="1:25">
      <c r="A288" t="s">
        <v>688</v>
      </c>
      <c r="B288">
        <v>1011.239617411</v>
      </c>
      <c r="C288">
        <v>14.553723000999801</v>
      </c>
      <c r="D288" t="s">
        <v>10</v>
      </c>
      <c r="E288">
        <v>24</v>
      </c>
      <c r="Y288" t="s">
        <v>545</v>
      </c>
    </row>
    <row r="289" spans="1:25">
      <c r="A289" t="s">
        <v>688</v>
      </c>
      <c r="B289">
        <v>1017.79065975596</v>
      </c>
      <c r="C289">
        <v>20</v>
      </c>
      <c r="D289" t="s">
        <v>649</v>
      </c>
      <c r="E289">
        <v>11</v>
      </c>
      <c r="I289" t="s">
        <v>439</v>
      </c>
      <c r="M289" t="s">
        <v>607</v>
      </c>
      <c r="Y289" t="s">
        <v>545</v>
      </c>
    </row>
    <row r="290" spans="1:25">
      <c r="A290" t="s">
        <v>688</v>
      </c>
      <c r="B290">
        <v>1018.79334041199</v>
      </c>
      <c r="C290">
        <v>17</v>
      </c>
      <c r="D290" t="s">
        <v>6</v>
      </c>
      <c r="E290">
        <v>10</v>
      </c>
      <c r="T290" t="s">
        <v>21</v>
      </c>
      <c r="U290" t="s">
        <v>195</v>
      </c>
      <c r="Y290" t="s">
        <v>545</v>
      </c>
    </row>
    <row r="291" spans="1:25">
      <c r="A291" t="s">
        <v>688</v>
      </c>
      <c r="B291">
        <v>1019.99063059532</v>
      </c>
      <c r="C291">
        <v>20</v>
      </c>
      <c r="D291" t="s">
        <v>632</v>
      </c>
      <c r="E291">
        <v>18</v>
      </c>
      <c r="H291" t="s">
        <v>445</v>
      </c>
      <c r="I291" t="s">
        <v>442</v>
      </c>
      <c r="M291" t="s">
        <v>607</v>
      </c>
      <c r="Y291" t="s">
        <v>545</v>
      </c>
    </row>
    <row r="292" spans="1:25">
      <c r="A292" t="s">
        <v>688</v>
      </c>
      <c r="B292">
        <v>1022.79334041199</v>
      </c>
      <c r="C292">
        <v>26.102832427664602</v>
      </c>
      <c r="D292" t="s">
        <v>18</v>
      </c>
      <c r="E292">
        <v>24</v>
      </c>
      <c r="Y292" t="s">
        <v>545</v>
      </c>
    </row>
    <row r="293" spans="1:25">
      <c r="A293" t="s">
        <v>688</v>
      </c>
      <c r="B293">
        <v>1022.89561263299</v>
      </c>
      <c r="C293">
        <v>17.000924382674299</v>
      </c>
      <c r="D293" t="s">
        <v>32</v>
      </c>
      <c r="E293">
        <v>10</v>
      </c>
      <c r="R293" t="s">
        <v>23</v>
      </c>
      <c r="Y293" t="s">
        <v>545</v>
      </c>
    </row>
    <row r="294" spans="1:25">
      <c r="A294" t="s">
        <v>688</v>
      </c>
      <c r="B294">
        <v>1023.99704021633</v>
      </c>
      <c r="C294">
        <v>20</v>
      </c>
      <c r="D294" t="s">
        <v>645</v>
      </c>
      <c r="E294">
        <v>12</v>
      </c>
      <c r="I294" t="s">
        <v>439</v>
      </c>
      <c r="M294" t="s">
        <v>607</v>
      </c>
      <c r="Y294" t="s">
        <v>545</v>
      </c>
    </row>
    <row r="295" spans="1:25">
      <c r="A295" t="s">
        <v>688</v>
      </c>
      <c r="B295">
        <v>1025.7933404119999</v>
      </c>
      <c r="C295">
        <v>48.161684530000002</v>
      </c>
      <c r="D295" t="s">
        <v>19</v>
      </c>
      <c r="E295">
        <v>25</v>
      </c>
      <c r="Y295" t="s">
        <v>545</v>
      </c>
    </row>
    <row r="296" spans="1:25">
      <c r="A296" t="s">
        <v>688</v>
      </c>
      <c r="B296">
        <v>1025.89216948431</v>
      </c>
      <c r="C296">
        <v>20</v>
      </c>
      <c r="D296" t="s">
        <v>33</v>
      </c>
      <c r="E296">
        <v>5</v>
      </c>
      <c r="Y296" t="s">
        <v>545</v>
      </c>
    </row>
    <row r="297" spans="1:25">
      <c r="A297" t="s">
        <v>688</v>
      </c>
      <c r="B297">
        <v>1026.89596384533</v>
      </c>
      <c r="C297">
        <v>20</v>
      </c>
      <c r="D297" t="s">
        <v>654</v>
      </c>
      <c r="E297">
        <v>10</v>
      </c>
      <c r="H297" t="s">
        <v>5</v>
      </c>
      <c r="M297" t="s">
        <v>676</v>
      </c>
      <c r="Y297" t="s">
        <v>545</v>
      </c>
    </row>
    <row r="298" spans="1:25">
      <c r="A298" t="s">
        <v>688</v>
      </c>
      <c r="B298">
        <v>1036.0660775040001</v>
      </c>
      <c r="C298">
        <v>20</v>
      </c>
      <c r="D298" t="s">
        <v>738</v>
      </c>
      <c r="E298">
        <v>12</v>
      </c>
      <c r="I298" t="s">
        <v>442</v>
      </c>
      <c r="M298" t="s">
        <v>438</v>
      </c>
      <c r="Y298" t="s">
        <v>545</v>
      </c>
    </row>
    <row r="299" spans="1:25">
      <c r="A299" t="s">
        <v>688</v>
      </c>
      <c r="B299">
        <v>1036.3953318379699</v>
      </c>
      <c r="C299">
        <v>20</v>
      </c>
      <c r="D299" t="s">
        <v>649</v>
      </c>
      <c r="E299">
        <v>12</v>
      </c>
      <c r="I299" t="s">
        <v>439</v>
      </c>
      <c r="M299" t="s">
        <v>608</v>
      </c>
      <c r="Y299" t="s">
        <v>545</v>
      </c>
    </row>
    <row r="300" spans="1:25">
      <c r="A300" t="s">
        <v>688</v>
      </c>
      <c r="B300">
        <v>1041.89617283966</v>
      </c>
      <c r="C300">
        <v>17</v>
      </c>
      <c r="D300" t="s">
        <v>40</v>
      </c>
      <c r="E300">
        <v>10</v>
      </c>
      <c r="U300" t="s">
        <v>14</v>
      </c>
      <c r="Y300" t="s">
        <v>545</v>
      </c>
    </row>
    <row r="301" spans="1:25">
      <c r="A301" t="s">
        <v>688</v>
      </c>
      <c r="B301">
        <v>1044.49584613501</v>
      </c>
      <c r="C301">
        <v>20</v>
      </c>
      <c r="D301" t="s">
        <v>645</v>
      </c>
      <c r="E301">
        <v>13</v>
      </c>
      <c r="I301" t="s">
        <v>442</v>
      </c>
      <c r="M301" t="s">
        <v>438</v>
      </c>
      <c r="Y301" t="s">
        <v>545</v>
      </c>
    </row>
    <row r="302" spans="1:25">
      <c r="A302" t="s">
        <v>688</v>
      </c>
      <c r="B302">
        <v>1045.89617283966</v>
      </c>
      <c r="C302">
        <v>9.1011838970116496</v>
      </c>
      <c r="D302" t="s">
        <v>9</v>
      </c>
      <c r="E302">
        <v>27</v>
      </c>
      <c r="Y302" t="s">
        <v>545</v>
      </c>
    </row>
    <row r="303" spans="1:25">
      <c r="A303" t="s">
        <v>688</v>
      </c>
      <c r="B303">
        <v>1047.1120346739999</v>
      </c>
      <c r="C303">
        <v>20</v>
      </c>
      <c r="D303" t="s">
        <v>632</v>
      </c>
      <c r="E303">
        <v>19</v>
      </c>
      <c r="I303" t="s">
        <v>442</v>
      </c>
      <c r="M303" t="s">
        <v>607</v>
      </c>
      <c r="Y303" t="s">
        <v>545</v>
      </c>
    </row>
    <row r="304" spans="1:25">
      <c r="A304" t="s">
        <v>688</v>
      </c>
      <c r="B304">
        <v>1047.5954637603199</v>
      </c>
      <c r="C304">
        <v>20</v>
      </c>
      <c r="D304" t="s">
        <v>645</v>
      </c>
      <c r="E304">
        <v>14</v>
      </c>
      <c r="M304" t="s">
        <v>676</v>
      </c>
      <c r="Y304" t="s">
        <v>545</v>
      </c>
    </row>
    <row r="305" spans="1:25">
      <c r="A305" t="s">
        <v>688</v>
      </c>
      <c r="B305">
        <v>1047.9973567366701</v>
      </c>
      <c r="C305">
        <v>17</v>
      </c>
      <c r="D305" t="s">
        <v>27</v>
      </c>
      <c r="E305">
        <v>14</v>
      </c>
      <c r="U305" t="s">
        <v>195</v>
      </c>
      <c r="Y305" t="s">
        <v>545</v>
      </c>
    </row>
    <row r="306" spans="1:25">
      <c r="A306" t="s">
        <v>688</v>
      </c>
      <c r="B306">
        <v>1051.9973567366701</v>
      </c>
      <c r="C306">
        <v>8.23526069232366</v>
      </c>
      <c r="D306" t="s">
        <v>18</v>
      </c>
      <c r="E306">
        <v>25</v>
      </c>
      <c r="Y306" t="s">
        <v>545</v>
      </c>
    </row>
    <row r="307" spans="1:25">
      <c r="A307" t="s">
        <v>688</v>
      </c>
      <c r="B307">
        <v>1052.4897065539701</v>
      </c>
      <c r="C307">
        <v>20</v>
      </c>
      <c r="D307" t="s">
        <v>645</v>
      </c>
      <c r="E307">
        <v>15</v>
      </c>
      <c r="I307" t="s">
        <v>440</v>
      </c>
      <c r="J307" t="s">
        <v>611</v>
      </c>
      <c r="M307" t="s">
        <v>438</v>
      </c>
      <c r="Y307" t="s">
        <v>545</v>
      </c>
    </row>
    <row r="308" spans="1:25">
      <c r="A308" t="s">
        <v>688</v>
      </c>
      <c r="B308">
        <v>1053.2326174289999</v>
      </c>
      <c r="C308">
        <v>17</v>
      </c>
      <c r="D308" t="s">
        <v>40</v>
      </c>
      <c r="E308">
        <v>11</v>
      </c>
      <c r="U308" t="s">
        <v>195</v>
      </c>
      <c r="Y308" t="s">
        <v>545</v>
      </c>
    </row>
    <row r="309" spans="1:25">
      <c r="A309" t="s">
        <v>688</v>
      </c>
      <c r="B309">
        <v>1055.197903683</v>
      </c>
      <c r="C309">
        <v>17</v>
      </c>
      <c r="D309" t="s">
        <v>27</v>
      </c>
      <c r="E309">
        <v>15</v>
      </c>
      <c r="U309" t="s">
        <v>601</v>
      </c>
      <c r="Y309" t="s">
        <v>545</v>
      </c>
    </row>
    <row r="310" spans="1:25">
      <c r="A310" t="s">
        <v>688</v>
      </c>
      <c r="B310">
        <v>1056.0815272350001</v>
      </c>
      <c r="C310">
        <v>20</v>
      </c>
      <c r="D310" t="s">
        <v>738</v>
      </c>
      <c r="E310">
        <v>13</v>
      </c>
      <c r="I310" t="s">
        <v>442</v>
      </c>
      <c r="M310" t="s">
        <v>607</v>
      </c>
      <c r="Y310" t="s">
        <v>545</v>
      </c>
    </row>
    <row r="311" spans="1:25">
      <c r="A311" t="s">
        <v>688</v>
      </c>
      <c r="B311">
        <v>1057.2326174289999</v>
      </c>
      <c r="C311">
        <v>4.9652862540001399</v>
      </c>
      <c r="D311" t="s">
        <v>9</v>
      </c>
      <c r="E311">
        <v>28</v>
      </c>
      <c r="Y311" t="s">
        <v>545</v>
      </c>
    </row>
    <row r="312" spans="1:25">
      <c r="A312" t="s">
        <v>688</v>
      </c>
      <c r="B312">
        <v>1059.0948447179901</v>
      </c>
      <c r="C312">
        <v>20</v>
      </c>
      <c r="D312" t="s">
        <v>649</v>
      </c>
      <c r="E312">
        <v>13</v>
      </c>
      <c r="I312" t="s">
        <v>439</v>
      </c>
      <c r="M312" t="s">
        <v>608</v>
      </c>
      <c r="Y312" t="s">
        <v>545</v>
      </c>
    </row>
    <row r="313" spans="1:25">
      <c r="A313" t="s">
        <v>688</v>
      </c>
      <c r="B313">
        <v>1059.197903683</v>
      </c>
      <c r="C313">
        <v>14.757121258999801</v>
      </c>
      <c r="D313" t="s">
        <v>18</v>
      </c>
      <c r="E313">
        <v>26</v>
      </c>
      <c r="Y313" t="s">
        <v>545</v>
      </c>
    </row>
    <row r="314" spans="1:25">
      <c r="A314" t="s">
        <v>688</v>
      </c>
      <c r="B314">
        <v>1060.89617254065</v>
      </c>
      <c r="C314">
        <v>13.058852401344399</v>
      </c>
      <c r="D314" t="s">
        <v>32</v>
      </c>
      <c r="E314">
        <v>11</v>
      </c>
      <c r="R314" t="s">
        <v>23</v>
      </c>
      <c r="Y314" t="s">
        <v>545</v>
      </c>
    </row>
    <row r="315" spans="1:25">
      <c r="A315" t="s">
        <v>688</v>
      </c>
      <c r="B315">
        <v>1073.9550249419999</v>
      </c>
      <c r="C315">
        <v>14.842395388011701</v>
      </c>
      <c r="D315" t="s">
        <v>10</v>
      </c>
      <c r="E315">
        <v>25</v>
      </c>
      <c r="Y315" t="s">
        <v>545</v>
      </c>
    </row>
    <row r="316" spans="1:25">
      <c r="A316" t="s">
        <v>688</v>
      </c>
      <c r="B316">
        <v>1081.79682363799</v>
      </c>
      <c r="C316">
        <v>20</v>
      </c>
      <c r="D316" t="s">
        <v>653</v>
      </c>
      <c r="E316">
        <v>8</v>
      </c>
      <c r="J316" t="s">
        <v>49</v>
      </c>
      <c r="Y316" t="s">
        <v>545</v>
      </c>
    </row>
    <row r="317" spans="1:25">
      <c r="A317" t="s">
        <v>688</v>
      </c>
      <c r="B317">
        <v>1081.79742033001</v>
      </c>
      <c r="C317">
        <v>17</v>
      </c>
      <c r="D317" t="s">
        <v>11</v>
      </c>
      <c r="E317">
        <v>12</v>
      </c>
      <c r="T317" t="s">
        <v>12</v>
      </c>
      <c r="U317" t="s">
        <v>14</v>
      </c>
      <c r="Y317" t="s">
        <v>545</v>
      </c>
    </row>
    <row r="318" spans="1:25">
      <c r="A318" t="s">
        <v>688</v>
      </c>
      <c r="B318">
        <v>1085.79742033001</v>
      </c>
      <c r="C318">
        <v>5.1596649379882802</v>
      </c>
      <c r="D318" t="s">
        <v>9</v>
      </c>
      <c r="E318">
        <v>29</v>
      </c>
      <c r="Y318" t="s">
        <v>545</v>
      </c>
    </row>
    <row r="319" spans="1:25">
      <c r="A319" t="s">
        <v>688</v>
      </c>
      <c r="B319">
        <v>1088.79742033001</v>
      </c>
      <c r="C319">
        <v>2.1596649379882802</v>
      </c>
      <c r="D319" t="s">
        <v>19</v>
      </c>
      <c r="E319">
        <v>26</v>
      </c>
      <c r="Y319" t="s">
        <v>545</v>
      </c>
    </row>
    <row r="320" spans="1:25">
      <c r="A320" t="s">
        <v>688</v>
      </c>
      <c r="B320">
        <v>1090.9570852679999</v>
      </c>
      <c r="C320">
        <v>12.139482280967499</v>
      </c>
      <c r="D320" t="s">
        <v>10</v>
      </c>
      <c r="E320">
        <v>26</v>
      </c>
      <c r="Y320" t="s">
        <v>545</v>
      </c>
    </row>
    <row r="321" spans="1:25">
      <c r="A321" t="s">
        <v>688</v>
      </c>
      <c r="B321">
        <v>1096.0965675489599</v>
      </c>
      <c r="C321">
        <v>17</v>
      </c>
      <c r="D321" t="s">
        <v>11</v>
      </c>
      <c r="E321">
        <v>13</v>
      </c>
      <c r="T321" t="s">
        <v>12</v>
      </c>
      <c r="U321" t="s">
        <v>14</v>
      </c>
      <c r="Y321" t="s">
        <v>545</v>
      </c>
    </row>
    <row r="322" spans="1:25">
      <c r="A322" t="s">
        <v>688</v>
      </c>
      <c r="B322">
        <v>1096.39677034532</v>
      </c>
      <c r="C322">
        <v>20</v>
      </c>
      <c r="D322" t="s">
        <v>636</v>
      </c>
      <c r="E322">
        <v>8</v>
      </c>
      <c r="J322" t="s">
        <v>49</v>
      </c>
      <c r="Y322" t="s">
        <v>545</v>
      </c>
    </row>
    <row r="323" spans="1:25">
      <c r="A323" t="s">
        <v>688</v>
      </c>
      <c r="B323">
        <v>1100.0965675489599</v>
      </c>
      <c r="C323">
        <v>8.20070177635011</v>
      </c>
      <c r="D323" t="s">
        <v>9</v>
      </c>
      <c r="E323">
        <v>30</v>
      </c>
      <c r="Y323" t="s">
        <v>545</v>
      </c>
    </row>
    <row r="324" spans="1:25">
      <c r="A324" t="s">
        <v>688</v>
      </c>
      <c r="B324">
        <v>1103.0965675489599</v>
      </c>
      <c r="C324">
        <v>5.20070177635011</v>
      </c>
      <c r="D324" t="s">
        <v>19</v>
      </c>
      <c r="E324">
        <v>27</v>
      </c>
      <c r="Y324" t="s">
        <v>545</v>
      </c>
    </row>
    <row r="325" spans="1:25">
      <c r="A325" t="s">
        <v>688</v>
      </c>
      <c r="B325">
        <v>1108.29726932531</v>
      </c>
      <c r="C325">
        <v>10.298393734672301</v>
      </c>
      <c r="D325" t="s">
        <v>10</v>
      </c>
      <c r="E325">
        <v>27</v>
      </c>
      <c r="Y325" t="s">
        <v>545</v>
      </c>
    </row>
    <row r="326" spans="1:25">
      <c r="A326" t="s">
        <v>688</v>
      </c>
      <c r="B326">
        <v>1110.59552984631</v>
      </c>
      <c r="C326">
        <v>20</v>
      </c>
      <c r="D326" t="s">
        <v>653</v>
      </c>
      <c r="E326">
        <v>9</v>
      </c>
      <c r="J326" t="s">
        <v>611</v>
      </c>
      <c r="K326" t="s">
        <v>441</v>
      </c>
      <c r="M326" t="s">
        <v>620</v>
      </c>
      <c r="Y326" t="s">
        <v>545</v>
      </c>
    </row>
    <row r="327" spans="1:25">
      <c r="A327" t="s">
        <v>688</v>
      </c>
      <c r="B327">
        <v>1111.5956630599801</v>
      </c>
      <c r="C327">
        <v>17</v>
      </c>
      <c r="D327" t="s">
        <v>11</v>
      </c>
      <c r="E327">
        <v>14</v>
      </c>
      <c r="T327" t="s">
        <v>12</v>
      </c>
      <c r="U327" t="s">
        <v>14</v>
      </c>
      <c r="Y327" t="s">
        <v>545</v>
      </c>
    </row>
    <row r="328" spans="1:25">
      <c r="A328" t="s">
        <v>688</v>
      </c>
      <c r="B328">
        <v>1113.5961761393</v>
      </c>
      <c r="C328">
        <v>20</v>
      </c>
      <c r="D328" t="s">
        <v>632</v>
      </c>
      <c r="E328">
        <v>20</v>
      </c>
      <c r="I328" t="s">
        <v>440</v>
      </c>
      <c r="M328" t="s">
        <v>438</v>
      </c>
      <c r="Y328" t="s">
        <v>545</v>
      </c>
    </row>
    <row r="329" spans="1:25">
      <c r="A329" t="s">
        <v>688</v>
      </c>
      <c r="B329">
        <v>1115.5956630599801</v>
      </c>
      <c r="C329">
        <v>8.0150410550102098</v>
      </c>
      <c r="D329" t="s">
        <v>9</v>
      </c>
      <c r="E329">
        <v>31</v>
      </c>
      <c r="Y329" t="s">
        <v>545</v>
      </c>
    </row>
    <row r="330" spans="1:25">
      <c r="A330" t="s">
        <v>688</v>
      </c>
      <c r="B330">
        <v>1115.5967632643401</v>
      </c>
      <c r="C330">
        <v>20</v>
      </c>
      <c r="D330" t="s">
        <v>645</v>
      </c>
      <c r="E330">
        <v>16</v>
      </c>
      <c r="I330" t="s">
        <v>440</v>
      </c>
      <c r="M330" t="s">
        <v>607</v>
      </c>
      <c r="Y330" t="s">
        <v>545</v>
      </c>
    </row>
    <row r="331" spans="1:25">
      <c r="A331" t="s">
        <v>688</v>
      </c>
      <c r="B331">
        <v>1116.6107041150001</v>
      </c>
      <c r="C331">
        <v>17</v>
      </c>
      <c r="D331" t="s">
        <v>27</v>
      </c>
      <c r="E331">
        <v>16</v>
      </c>
      <c r="U331" t="s">
        <v>14</v>
      </c>
      <c r="Y331" t="s">
        <v>545</v>
      </c>
    </row>
    <row r="332" spans="1:25">
      <c r="A332" t="s">
        <v>688</v>
      </c>
      <c r="B332">
        <v>1117.7973184733301</v>
      </c>
      <c r="C332">
        <v>20</v>
      </c>
      <c r="D332" t="s">
        <v>626</v>
      </c>
      <c r="E332">
        <v>6</v>
      </c>
      <c r="I332" t="s">
        <v>440</v>
      </c>
      <c r="M332" t="s">
        <v>607</v>
      </c>
      <c r="Y332" t="s">
        <v>545</v>
      </c>
    </row>
    <row r="333" spans="1:25">
      <c r="A333" t="s">
        <v>688</v>
      </c>
      <c r="B333">
        <v>1118.5956630599801</v>
      </c>
      <c r="C333">
        <v>39.001319183987697</v>
      </c>
      <c r="D333" t="s">
        <v>19</v>
      </c>
      <c r="E333">
        <v>28</v>
      </c>
      <c r="Y333" t="s">
        <v>545</v>
      </c>
    </row>
    <row r="334" spans="1:25">
      <c r="A334" t="s">
        <v>688</v>
      </c>
      <c r="B334">
        <v>1120.6107041150001</v>
      </c>
      <c r="C334">
        <v>36.986278128977503</v>
      </c>
      <c r="D334" t="s">
        <v>18</v>
      </c>
      <c r="E334">
        <v>27</v>
      </c>
      <c r="Y334" t="s">
        <v>545</v>
      </c>
    </row>
    <row r="335" spans="1:25">
      <c r="A335" t="s">
        <v>688</v>
      </c>
      <c r="B335">
        <v>1122.8961807226301</v>
      </c>
      <c r="C335">
        <v>20</v>
      </c>
      <c r="D335" t="s">
        <v>738</v>
      </c>
      <c r="E335">
        <v>14</v>
      </c>
      <c r="I335" t="s">
        <v>442</v>
      </c>
      <c r="M335" t="s">
        <v>607</v>
      </c>
      <c r="Y335" t="s">
        <v>545</v>
      </c>
    </row>
    <row r="336" spans="1:25">
      <c r="A336" t="s">
        <v>688</v>
      </c>
      <c r="B336">
        <v>1123.69603861566</v>
      </c>
      <c r="C336">
        <v>33.900943628313101</v>
      </c>
      <c r="D336" t="s">
        <v>32</v>
      </c>
      <c r="E336">
        <v>12</v>
      </c>
      <c r="R336" t="s">
        <v>23</v>
      </c>
      <c r="Y336" t="s">
        <v>545</v>
      </c>
    </row>
    <row r="337" spans="1:25">
      <c r="A337" t="s">
        <v>688</v>
      </c>
      <c r="B337">
        <v>1130.78912346929</v>
      </c>
      <c r="C337">
        <v>20</v>
      </c>
      <c r="D337" t="s">
        <v>649</v>
      </c>
      <c r="E337">
        <v>14</v>
      </c>
      <c r="I337" t="s">
        <v>442</v>
      </c>
      <c r="M337" t="s">
        <v>607</v>
      </c>
      <c r="Y337" t="s">
        <v>545</v>
      </c>
    </row>
    <row r="338" spans="1:25">
      <c r="A338" t="s">
        <v>688</v>
      </c>
      <c r="B338">
        <v>1134.2913397559801</v>
      </c>
      <c r="C338">
        <v>20</v>
      </c>
      <c r="D338" t="s">
        <v>738</v>
      </c>
      <c r="E338">
        <v>15</v>
      </c>
      <c r="I338" t="s">
        <v>442</v>
      </c>
      <c r="M338" t="s">
        <v>607</v>
      </c>
      <c r="Y338" t="s">
        <v>545</v>
      </c>
    </row>
    <row r="339" spans="1:25">
      <c r="A339" t="s">
        <v>688</v>
      </c>
      <c r="B339">
        <v>1139.09580377101</v>
      </c>
      <c r="C339">
        <v>20</v>
      </c>
      <c r="D339" t="s">
        <v>649</v>
      </c>
      <c r="E339">
        <v>15</v>
      </c>
      <c r="H339" t="s">
        <v>336</v>
      </c>
      <c r="I339" t="s">
        <v>543</v>
      </c>
      <c r="M339" t="s">
        <v>615</v>
      </c>
      <c r="Y339" t="s">
        <v>545</v>
      </c>
    </row>
    <row r="340" spans="1:25">
      <c r="A340" t="s">
        <v>688</v>
      </c>
      <c r="B340">
        <v>1157.5969822439699</v>
      </c>
      <c r="C340">
        <v>11.1001792673478</v>
      </c>
      <c r="D340" t="s">
        <v>10</v>
      </c>
      <c r="E340">
        <v>28</v>
      </c>
      <c r="Y340" t="s">
        <v>545</v>
      </c>
    </row>
    <row r="341" spans="1:25">
      <c r="A341" t="s">
        <v>688</v>
      </c>
      <c r="B341">
        <v>1161.69716151132</v>
      </c>
      <c r="C341">
        <v>17</v>
      </c>
      <c r="D341" t="s">
        <v>11</v>
      </c>
      <c r="E341">
        <v>15</v>
      </c>
      <c r="T341" t="s">
        <v>16</v>
      </c>
      <c r="Y341" t="s">
        <v>545</v>
      </c>
    </row>
    <row r="342" spans="1:25">
      <c r="A342" t="s">
        <v>688</v>
      </c>
      <c r="B342">
        <v>1165.224625803</v>
      </c>
      <c r="C342">
        <v>14.271296898327799</v>
      </c>
      <c r="D342" t="s">
        <v>427</v>
      </c>
      <c r="E342">
        <v>8</v>
      </c>
      <c r="R342" t="s">
        <v>20</v>
      </c>
      <c r="S342" t="s">
        <v>43</v>
      </c>
      <c r="Y342" t="s">
        <v>545</v>
      </c>
    </row>
    <row r="343" spans="1:25">
      <c r="A343" t="s">
        <v>688</v>
      </c>
      <c r="B343">
        <v>1165.69716151132</v>
      </c>
      <c r="C343">
        <v>13.798761190002301</v>
      </c>
      <c r="D343" t="s">
        <v>9</v>
      </c>
      <c r="E343">
        <v>32</v>
      </c>
      <c r="Y343" t="s">
        <v>545</v>
      </c>
    </row>
    <row r="344" spans="1:25">
      <c r="A344" t="s">
        <v>688</v>
      </c>
      <c r="B344">
        <v>1168.4936388420001</v>
      </c>
      <c r="C344">
        <v>20</v>
      </c>
      <c r="D344" t="s">
        <v>622</v>
      </c>
      <c r="E344">
        <v>7</v>
      </c>
      <c r="I344" t="s">
        <v>440</v>
      </c>
      <c r="J344" t="s">
        <v>611</v>
      </c>
      <c r="M344" t="s">
        <v>438</v>
      </c>
      <c r="Y344" t="s">
        <v>545</v>
      </c>
    </row>
    <row r="345" spans="1:25">
      <c r="A345" t="s">
        <v>688</v>
      </c>
      <c r="B345">
        <v>1168.69716151132</v>
      </c>
      <c r="C345">
        <v>25.6197260746744</v>
      </c>
      <c r="D345" t="s">
        <v>19</v>
      </c>
      <c r="E345">
        <v>29</v>
      </c>
      <c r="Y345" t="s">
        <v>545</v>
      </c>
    </row>
    <row r="346" spans="1:25">
      <c r="A346" t="s">
        <v>688</v>
      </c>
      <c r="B346">
        <v>1172.4959227013201</v>
      </c>
      <c r="C346">
        <v>17</v>
      </c>
      <c r="D346" t="s">
        <v>27</v>
      </c>
      <c r="E346">
        <v>17</v>
      </c>
      <c r="U346" t="s">
        <v>14</v>
      </c>
      <c r="Y346" t="s">
        <v>545</v>
      </c>
    </row>
    <row r="347" spans="1:25">
      <c r="A347" t="s">
        <v>688</v>
      </c>
      <c r="B347">
        <v>1172.6963284696601</v>
      </c>
      <c r="C347">
        <v>20</v>
      </c>
      <c r="D347" t="s">
        <v>649</v>
      </c>
      <c r="E347">
        <v>16</v>
      </c>
      <c r="I347" t="s">
        <v>442</v>
      </c>
      <c r="M347" t="s">
        <v>607</v>
      </c>
      <c r="Y347" t="s">
        <v>545</v>
      </c>
    </row>
    <row r="348" spans="1:25">
      <c r="A348" t="s">
        <v>688</v>
      </c>
      <c r="B348">
        <v>1175.49103537932</v>
      </c>
      <c r="C348">
        <v>20</v>
      </c>
      <c r="D348" t="s">
        <v>738</v>
      </c>
      <c r="E348">
        <v>16</v>
      </c>
      <c r="I348" t="s">
        <v>447</v>
      </c>
      <c r="M348" t="s">
        <v>607</v>
      </c>
      <c r="Y348" t="s">
        <v>545</v>
      </c>
    </row>
    <row r="349" spans="1:25">
      <c r="A349" t="s">
        <v>688</v>
      </c>
      <c r="B349">
        <v>1176.4959227013201</v>
      </c>
      <c r="C349">
        <v>17.820964884672001</v>
      </c>
      <c r="D349" t="s">
        <v>18</v>
      </c>
      <c r="E349">
        <v>28</v>
      </c>
      <c r="Y349" t="s">
        <v>545</v>
      </c>
    </row>
    <row r="350" spans="1:25">
      <c r="A350" t="s">
        <v>688</v>
      </c>
      <c r="B350">
        <v>1176.896886645</v>
      </c>
      <c r="C350">
        <v>17.420000940998001</v>
      </c>
      <c r="D350" t="s">
        <v>32</v>
      </c>
      <c r="E350">
        <v>13</v>
      </c>
      <c r="R350" t="s">
        <v>23</v>
      </c>
      <c r="Y350" t="s">
        <v>545</v>
      </c>
    </row>
    <row r="351" spans="1:25">
      <c r="A351" t="s">
        <v>688</v>
      </c>
      <c r="B351">
        <v>1185.2953877973</v>
      </c>
      <c r="C351">
        <v>15</v>
      </c>
      <c r="D351" t="s">
        <v>605</v>
      </c>
      <c r="E351">
        <v>2</v>
      </c>
      <c r="Y351" t="s">
        <v>545</v>
      </c>
    </row>
    <row r="352" spans="1:25">
      <c r="A352" t="s">
        <v>688</v>
      </c>
      <c r="B352">
        <v>1194.3168875859999</v>
      </c>
      <c r="C352">
        <v>31.678944123307399</v>
      </c>
      <c r="D352" t="s">
        <v>10</v>
      </c>
      <c r="E352">
        <v>29</v>
      </c>
      <c r="Y352" t="s">
        <v>545</v>
      </c>
    </row>
    <row r="353" spans="1:25">
      <c r="A353" t="s">
        <v>688</v>
      </c>
      <c r="B353">
        <v>1366.54939583333</v>
      </c>
      <c r="C353">
        <v>20</v>
      </c>
      <c r="D353" t="s">
        <v>196</v>
      </c>
      <c r="E353">
        <v>1</v>
      </c>
      <c r="W353" t="s">
        <v>717</v>
      </c>
      <c r="Y353" t="s">
        <v>545</v>
      </c>
    </row>
    <row r="354" spans="1:25">
      <c r="A354" t="s">
        <v>688</v>
      </c>
      <c r="B354">
        <v>1371.99758364434</v>
      </c>
      <c r="C354">
        <v>17</v>
      </c>
      <c r="D354" t="s">
        <v>11</v>
      </c>
      <c r="E354">
        <v>16</v>
      </c>
      <c r="T354" t="s">
        <v>12</v>
      </c>
      <c r="U354" t="s">
        <v>195</v>
      </c>
      <c r="Y354" t="s">
        <v>545</v>
      </c>
    </row>
    <row r="355" spans="1:25">
      <c r="A355" t="s">
        <v>688</v>
      </c>
      <c r="B355">
        <v>1375.6675523609999</v>
      </c>
      <c r="C355">
        <v>20</v>
      </c>
      <c r="D355" t="s">
        <v>41</v>
      </c>
      <c r="E355">
        <v>1</v>
      </c>
      <c r="Y355" t="s">
        <v>545</v>
      </c>
    </row>
    <row r="356" spans="1:25">
      <c r="A356" t="s">
        <v>688</v>
      </c>
      <c r="B356">
        <v>1375.99758364434</v>
      </c>
      <c r="C356">
        <v>13.5512675916559</v>
      </c>
      <c r="D356" t="s">
        <v>9</v>
      </c>
      <c r="E356">
        <v>33</v>
      </c>
      <c r="Y356" t="s">
        <v>545</v>
      </c>
    </row>
    <row r="357" spans="1:25">
      <c r="A357" t="s">
        <v>688</v>
      </c>
      <c r="B357">
        <v>1377.98020833333</v>
      </c>
      <c r="C357">
        <v>20</v>
      </c>
      <c r="D357" t="s">
        <v>632</v>
      </c>
      <c r="E357">
        <v>21</v>
      </c>
      <c r="J357" t="s">
        <v>49</v>
      </c>
      <c r="Y357" t="s">
        <v>545</v>
      </c>
    </row>
    <row r="358" spans="1:25">
      <c r="A358" t="s">
        <v>688</v>
      </c>
      <c r="B358">
        <v>1378.99758364434</v>
      </c>
      <c r="C358">
        <v>30.900261553648502</v>
      </c>
      <c r="D358" t="s">
        <v>19</v>
      </c>
      <c r="E358">
        <v>30</v>
      </c>
      <c r="Y358" t="s">
        <v>545</v>
      </c>
    </row>
    <row r="359" spans="1:25">
      <c r="A359" t="s">
        <v>688</v>
      </c>
      <c r="B359">
        <v>1379.8965157493101</v>
      </c>
      <c r="C359">
        <v>20</v>
      </c>
      <c r="D359" t="s">
        <v>636</v>
      </c>
      <c r="E359">
        <v>9</v>
      </c>
      <c r="I359" t="s">
        <v>440</v>
      </c>
      <c r="M359" t="s">
        <v>438</v>
      </c>
      <c r="Y359" t="s">
        <v>545</v>
      </c>
    </row>
    <row r="360" spans="1:25">
      <c r="A360" t="s">
        <v>688</v>
      </c>
      <c r="B360">
        <v>1382.548851236</v>
      </c>
      <c r="C360">
        <v>17</v>
      </c>
      <c r="D360" t="s">
        <v>27</v>
      </c>
      <c r="E360">
        <v>18</v>
      </c>
      <c r="U360" t="s">
        <v>28</v>
      </c>
      <c r="Y360" t="s">
        <v>545</v>
      </c>
    </row>
    <row r="361" spans="1:25">
      <c r="A361" t="s">
        <v>688</v>
      </c>
      <c r="B361">
        <v>1382.59655245865</v>
      </c>
      <c r="C361">
        <v>20</v>
      </c>
      <c r="D361" t="s">
        <v>649</v>
      </c>
      <c r="E361">
        <v>17</v>
      </c>
      <c r="I361" t="s">
        <v>440</v>
      </c>
      <c r="M361" t="s">
        <v>607</v>
      </c>
      <c r="Y361" t="s">
        <v>545</v>
      </c>
    </row>
    <row r="362" spans="1:25">
      <c r="A362" t="s">
        <v>688</v>
      </c>
      <c r="B362">
        <v>1386.548851236</v>
      </c>
      <c r="C362">
        <v>23.348993961992601</v>
      </c>
      <c r="D362" t="s">
        <v>18</v>
      </c>
      <c r="E362">
        <v>29</v>
      </c>
      <c r="Y362" t="s">
        <v>545</v>
      </c>
    </row>
    <row r="363" spans="1:25">
      <c r="A363" t="s">
        <v>688</v>
      </c>
      <c r="B363">
        <v>1389.1944615206501</v>
      </c>
      <c r="C363">
        <v>20.0017492066717</v>
      </c>
      <c r="D363" t="s">
        <v>121</v>
      </c>
      <c r="E363">
        <v>2</v>
      </c>
      <c r="P363" t="s">
        <v>691</v>
      </c>
      <c r="R363" t="s">
        <v>20</v>
      </c>
      <c r="Y363" t="s">
        <v>545</v>
      </c>
    </row>
    <row r="364" spans="1:25">
      <c r="A364" t="s">
        <v>688</v>
      </c>
      <c r="B364">
        <v>1389.99541390799</v>
      </c>
      <c r="C364">
        <v>20</v>
      </c>
      <c r="D364" t="s">
        <v>642</v>
      </c>
      <c r="E364">
        <v>10</v>
      </c>
      <c r="I364" t="s">
        <v>442</v>
      </c>
      <c r="M364" t="s">
        <v>607</v>
      </c>
      <c r="Y364" t="s">
        <v>545</v>
      </c>
    </row>
    <row r="365" spans="1:25">
      <c r="A365" t="s">
        <v>688</v>
      </c>
      <c r="B365">
        <v>1393.1954526583399</v>
      </c>
      <c r="C365">
        <v>20</v>
      </c>
      <c r="D365" t="s">
        <v>738</v>
      </c>
      <c r="E365">
        <v>17</v>
      </c>
      <c r="I365" t="s">
        <v>646</v>
      </c>
      <c r="M365" t="s">
        <v>610</v>
      </c>
      <c r="Y365" t="s">
        <v>545</v>
      </c>
    </row>
    <row r="366" spans="1:25">
      <c r="A366" t="s">
        <v>688</v>
      </c>
      <c r="B366">
        <v>1394.19621072732</v>
      </c>
      <c r="C366">
        <v>20</v>
      </c>
      <c r="D366" t="s">
        <v>36</v>
      </c>
      <c r="E366">
        <v>6</v>
      </c>
      <c r="N366">
        <v>86</v>
      </c>
      <c r="O366">
        <v>38</v>
      </c>
      <c r="Q366" t="s">
        <v>697</v>
      </c>
      <c r="Y366" t="s">
        <v>545</v>
      </c>
    </row>
    <row r="367" spans="1:25">
      <c r="A367" t="s">
        <v>688</v>
      </c>
      <c r="B367">
        <v>1395.1965130106701</v>
      </c>
      <c r="C367">
        <v>20</v>
      </c>
      <c r="D367" t="s">
        <v>33</v>
      </c>
      <c r="E367">
        <v>6</v>
      </c>
      <c r="Y367" t="s">
        <v>545</v>
      </c>
    </row>
    <row r="368" spans="1:25">
      <c r="A368" t="s">
        <v>688</v>
      </c>
      <c r="B368">
        <v>1396.59580820066</v>
      </c>
      <c r="C368">
        <v>13.397856104344999</v>
      </c>
      <c r="D368" t="s">
        <v>32</v>
      </c>
      <c r="E368">
        <v>14</v>
      </c>
      <c r="R368" t="s">
        <v>20</v>
      </c>
      <c r="Y368" t="s">
        <v>545</v>
      </c>
    </row>
    <row r="369" spans="1:25">
      <c r="A369" t="s">
        <v>688</v>
      </c>
      <c r="B369">
        <v>1397.19594058332</v>
      </c>
      <c r="C369">
        <v>20</v>
      </c>
      <c r="D369" t="s">
        <v>654</v>
      </c>
      <c r="E369">
        <v>11</v>
      </c>
      <c r="H369" t="s">
        <v>461</v>
      </c>
      <c r="L369" t="s">
        <v>51</v>
      </c>
      <c r="M369" t="s">
        <v>544</v>
      </c>
      <c r="Y369" t="s">
        <v>545</v>
      </c>
    </row>
    <row r="370" spans="1:25">
      <c r="A370" t="s">
        <v>688</v>
      </c>
      <c r="B370">
        <v>1397.5643610899999</v>
      </c>
      <c r="C370">
        <v>20</v>
      </c>
      <c r="D370" t="s">
        <v>135</v>
      </c>
      <c r="E370">
        <v>6</v>
      </c>
      <c r="Y370" t="s">
        <v>545</v>
      </c>
    </row>
    <row r="371" spans="1:25">
      <c r="A371" t="s">
        <v>688</v>
      </c>
      <c r="B371">
        <v>1399.19621072732</v>
      </c>
      <c r="C371">
        <v>15</v>
      </c>
      <c r="D371" t="s">
        <v>35</v>
      </c>
      <c r="E371">
        <v>6</v>
      </c>
      <c r="Y371" t="s">
        <v>545</v>
      </c>
    </row>
    <row r="372" spans="1:25">
      <c r="A372" t="s">
        <v>688</v>
      </c>
      <c r="B372">
        <v>1409.993664305</v>
      </c>
      <c r="C372">
        <v>30.319116039990099</v>
      </c>
      <c r="D372" t="s">
        <v>10</v>
      </c>
      <c r="E372">
        <v>30</v>
      </c>
      <c r="Y372" t="s">
        <v>545</v>
      </c>
    </row>
    <row r="373" spans="1:25">
      <c r="A373" t="s">
        <v>688</v>
      </c>
      <c r="B373">
        <v>1430.354738576</v>
      </c>
      <c r="C373">
        <v>20</v>
      </c>
      <c r="D373" t="s">
        <v>645</v>
      </c>
      <c r="E373">
        <v>17</v>
      </c>
      <c r="I373" t="s">
        <v>446</v>
      </c>
      <c r="Y373" t="s">
        <v>545</v>
      </c>
    </row>
    <row r="374" spans="1:25">
      <c r="A374" t="s">
        <v>688</v>
      </c>
      <c r="B374">
        <v>1433.312780345</v>
      </c>
      <c r="C374">
        <v>17</v>
      </c>
      <c r="D374" t="s">
        <v>6</v>
      </c>
      <c r="E374">
        <v>11</v>
      </c>
      <c r="T374" t="s">
        <v>22</v>
      </c>
      <c r="Y374" t="s">
        <v>545</v>
      </c>
    </row>
    <row r="375" spans="1:25">
      <c r="A375" t="s">
        <v>688</v>
      </c>
      <c r="B375">
        <v>1437.312780345</v>
      </c>
      <c r="C375">
        <v>6.7839267019912697</v>
      </c>
      <c r="D375" t="s">
        <v>18</v>
      </c>
      <c r="E375">
        <v>30</v>
      </c>
      <c r="Y375" t="s">
        <v>545</v>
      </c>
    </row>
    <row r="376" spans="1:25">
      <c r="A376" t="s">
        <v>688</v>
      </c>
      <c r="B376">
        <v>1440.312780345</v>
      </c>
      <c r="C376">
        <v>3.7839267019912701</v>
      </c>
      <c r="D376" t="s">
        <v>19</v>
      </c>
      <c r="E376">
        <v>31</v>
      </c>
      <c r="Y376" t="s">
        <v>545</v>
      </c>
    </row>
    <row r="377" spans="1:25">
      <c r="A377" t="s">
        <v>688</v>
      </c>
      <c r="B377">
        <v>1444.0967070469901</v>
      </c>
      <c r="C377">
        <v>11.3404053420088</v>
      </c>
      <c r="D377" t="s">
        <v>10</v>
      </c>
      <c r="E377">
        <v>31</v>
      </c>
      <c r="Y377" t="s">
        <v>545</v>
      </c>
    </row>
    <row r="378" spans="1:25">
      <c r="A378" t="s">
        <v>688</v>
      </c>
      <c r="B378">
        <v>1448.437112389</v>
      </c>
      <c r="C378">
        <v>17</v>
      </c>
      <c r="D378" t="s">
        <v>11</v>
      </c>
      <c r="E378">
        <v>17</v>
      </c>
      <c r="T378" t="s">
        <v>16</v>
      </c>
      <c r="Y378" t="s">
        <v>545</v>
      </c>
    </row>
    <row r="379" spans="1:25">
      <c r="A379" t="s">
        <v>688</v>
      </c>
      <c r="B379">
        <v>1450.8954168133</v>
      </c>
      <c r="C379">
        <v>10.590743269380001</v>
      </c>
      <c r="D379" t="s">
        <v>427</v>
      </c>
      <c r="E379">
        <v>9</v>
      </c>
      <c r="R379" t="s">
        <v>20</v>
      </c>
      <c r="S379" t="s">
        <v>43</v>
      </c>
      <c r="Y379" t="s">
        <v>545</v>
      </c>
    </row>
    <row r="380" spans="1:25">
      <c r="A380" t="s">
        <v>688</v>
      </c>
      <c r="B380">
        <v>1452.3958081256501</v>
      </c>
      <c r="C380">
        <v>20</v>
      </c>
      <c r="D380" t="s">
        <v>632</v>
      </c>
      <c r="E380">
        <v>22</v>
      </c>
      <c r="I380" t="s">
        <v>439</v>
      </c>
      <c r="M380" t="s">
        <v>443</v>
      </c>
      <c r="Y380" t="s">
        <v>545</v>
      </c>
    </row>
    <row r="381" spans="1:25">
      <c r="A381" t="s">
        <v>688</v>
      </c>
      <c r="B381">
        <v>1452.437112389</v>
      </c>
      <c r="C381">
        <v>9.0490476936818105</v>
      </c>
      <c r="D381" t="s">
        <v>9</v>
      </c>
      <c r="E381">
        <v>34</v>
      </c>
      <c r="Y381" t="s">
        <v>545</v>
      </c>
    </row>
    <row r="382" spans="1:25">
      <c r="A382" t="s">
        <v>688</v>
      </c>
      <c r="B382">
        <v>1454.48616008268</v>
      </c>
      <c r="C382">
        <v>17</v>
      </c>
      <c r="D382" t="s">
        <v>27</v>
      </c>
      <c r="E382">
        <v>19</v>
      </c>
      <c r="U382" t="s">
        <v>14</v>
      </c>
      <c r="Y382" t="s">
        <v>545</v>
      </c>
    </row>
    <row r="383" spans="1:25">
      <c r="A383" t="s">
        <v>688</v>
      </c>
      <c r="B383">
        <v>1454.711423645</v>
      </c>
      <c r="C383">
        <v>20</v>
      </c>
      <c r="D383" t="s">
        <v>622</v>
      </c>
      <c r="E383">
        <v>8</v>
      </c>
      <c r="M383" t="s">
        <v>676</v>
      </c>
      <c r="Y383" t="s">
        <v>545</v>
      </c>
    </row>
    <row r="384" spans="1:25">
      <c r="A384" t="s">
        <v>688</v>
      </c>
      <c r="B384">
        <v>1455.437112389</v>
      </c>
      <c r="C384">
        <v>20.652511157680198</v>
      </c>
      <c r="D384" t="s">
        <v>19</v>
      </c>
      <c r="E384">
        <v>32</v>
      </c>
      <c r="Y384" t="s">
        <v>545</v>
      </c>
    </row>
    <row r="385" spans="1:25">
      <c r="A385" t="s">
        <v>688</v>
      </c>
      <c r="B385">
        <v>1457.6960012049699</v>
      </c>
      <c r="C385">
        <v>20</v>
      </c>
      <c r="D385" t="s">
        <v>632</v>
      </c>
      <c r="E385">
        <v>23</v>
      </c>
      <c r="J385" t="s">
        <v>639</v>
      </c>
      <c r="Y385" t="s">
        <v>545</v>
      </c>
    </row>
    <row r="386" spans="1:25">
      <c r="A386" t="s">
        <v>688</v>
      </c>
      <c r="B386">
        <v>1458.48616008268</v>
      </c>
      <c r="C386">
        <v>17.603463463998398</v>
      </c>
      <c r="D386" t="s">
        <v>18</v>
      </c>
      <c r="E386">
        <v>31</v>
      </c>
      <c r="Y386" t="s">
        <v>545</v>
      </c>
    </row>
    <row r="387" spans="1:25">
      <c r="A387" t="s">
        <v>688</v>
      </c>
      <c r="B387">
        <v>1460.8953944033001</v>
      </c>
      <c r="C387">
        <v>20</v>
      </c>
      <c r="D387" t="s">
        <v>636</v>
      </c>
      <c r="E387">
        <v>10</v>
      </c>
      <c r="I387" t="s">
        <v>439</v>
      </c>
      <c r="M387" t="s">
        <v>443</v>
      </c>
      <c r="Y387" t="s">
        <v>545</v>
      </c>
    </row>
    <row r="388" spans="1:25">
      <c r="A388" t="s">
        <v>688</v>
      </c>
      <c r="B388">
        <v>1476.0896235466801</v>
      </c>
      <c r="C388">
        <v>13.2410396283196</v>
      </c>
      <c r="D388" t="s">
        <v>10</v>
      </c>
      <c r="E388">
        <v>32</v>
      </c>
      <c r="Y388" t="s">
        <v>545</v>
      </c>
    </row>
    <row r="389" spans="1:25">
      <c r="A389" t="s">
        <v>688</v>
      </c>
      <c r="B389">
        <v>1480.8950202563101</v>
      </c>
      <c r="C389">
        <v>20</v>
      </c>
      <c r="D389" t="s">
        <v>649</v>
      </c>
      <c r="E389">
        <v>18</v>
      </c>
      <c r="I389" t="s">
        <v>442</v>
      </c>
      <c r="M389" t="s">
        <v>607</v>
      </c>
      <c r="Y389" t="s">
        <v>545</v>
      </c>
    </row>
    <row r="390" spans="1:25">
      <c r="A390" t="s">
        <v>688</v>
      </c>
      <c r="B390">
        <v>1482.3306631749999</v>
      </c>
      <c r="C390">
        <v>17</v>
      </c>
      <c r="D390" t="s">
        <v>6</v>
      </c>
      <c r="E390">
        <v>12</v>
      </c>
      <c r="T390" t="s">
        <v>21</v>
      </c>
      <c r="U390" t="s">
        <v>195</v>
      </c>
      <c r="Y390" t="s">
        <v>545</v>
      </c>
    </row>
    <row r="391" spans="1:25">
      <c r="A391" t="s">
        <v>688</v>
      </c>
      <c r="B391">
        <v>1484.59709753831</v>
      </c>
      <c r="C391">
        <v>20</v>
      </c>
      <c r="D391" t="s">
        <v>738</v>
      </c>
      <c r="E391">
        <v>18</v>
      </c>
      <c r="I391" t="s">
        <v>442</v>
      </c>
      <c r="M391" t="s">
        <v>607</v>
      </c>
      <c r="Y391" t="s">
        <v>545</v>
      </c>
    </row>
    <row r="392" spans="1:25">
      <c r="A392" t="s">
        <v>688</v>
      </c>
      <c r="B392">
        <v>1486.3306631749999</v>
      </c>
      <c r="C392">
        <v>13.760489902650001</v>
      </c>
      <c r="D392" t="s">
        <v>18</v>
      </c>
      <c r="E392">
        <v>32</v>
      </c>
      <c r="Y392" t="s">
        <v>545</v>
      </c>
    </row>
    <row r="393" spans="1:25">
      <c r="A393" t="s">
        <v>688</v>
      </c>
      <c r="B393">
        <v>1488.1960767876501</v>
      </c>
      <c r="C393">
        <v>20</v>
      </c>
      <c r="D393" t="s">
        <v>626</v>
      </c>
      <c r="E393">
        <v>7</v>
      </c>
      <c r="H393" t="s">
        <v>628</v>
      </c>
      <c r="I393" t="s">
        <v>439</v>
      </c>
      <c r="M393" t="s">
        <v>608</v>
      </c>
      <c r="Y393" t="s">
        <v>545</v>
      </c>
    </row>
    <row r="394" spans="1:25">
      <c r="A394" t="s">
        <v>688</v>
      </c>
      <c r="B394">
        <v>1488.59522194332</v>
      </c>
      <c r="C394">
        <v>11.495931134327</v>
      </c>
      <c r="D394" t="s">
        <v>32</v>
      </c>
      <c r="E394">
        <v>15</v>
      </c>
      <c r="R394" t="s">
        <v>23</v>
      </c>
      <c r="Y394" t="s">
        <v>545</v>
      </c>
    </row>
    <row r="395" spans="1:25">
      <c r="A395" t="s">
        <v>688</v>
      </c>
      <c r="B395">
        <v>1489.3306631749999</v>
      </c>
      <c r="C395">
        <v>10.760489902650001</v>
      </c>
      <c r="D395" t="s">
        <v>19</v>
      </c>
      <c r="E395">
        <v>33</v>
      </c>
      <c r="Y395" t="s">
        <v>545</v>
      </c>
    </row>
    <row r="396" spans="1:25">
      <c r="A396" t="s">
        <v>688</v>
      </c>
      <c r="B396">
        <v>1500.09115307765</v>
      </c>
      <c r="C396">
        <v>14.36154539835</v>
      </c>
      <c r="D396" t="s">
        <v>10</v>
      </c>
      <c r="E396">
        <v>33</v>
      </c>
      <c r="Y396" t="s">
        <v>545</v>
      </c>
    </row>
    <row r="397" spans="1:25">
      <c r="A397" t="s">
        <v>688</v>
      </c>
      <c r="B397">
        <v>1507.28531475096</v>
      </c>
      <c r="C397">
        <v>20</v>
      </c>
      <c r="D397" t="s">
        <v>738</v>
      </c>
      <c r="E397">
        <v>19</v>
      </c>
      <c r="H397" t="s">
        <v>336</v>
      </c>
      <c r="I397" t="s">
        <v>439</v>
      </c>
      <c r="M397" t="s">
        <v>648</v>
      </c>
      <c r="Y397" t="s">
        <v>545</v>
      </c>
    </row>
    <row r="398" spans="1:25">
      <c r="A398" t="s">
        <v>688</v>
      </c>
      <c r="B398">
        <v>1507.452698476</v>
      </c>
      <c r="C398">
        <v>17</v>
      </c>
      <c r="D398" t="s">
        <v>11</v>
      </c>
      <c r="E398">
        <v>18</v>
      </c>
      <c r="T398" t="s">
        <v>12</v>
      </c>
      <c r="Y398" t="s">
        <v>545</v>
      </c>
    </row>
    <row r="399" spans="1:25">
      <c r="A399" t="s">
        <v>688</v>
      </c>
      <c r="B399">
        <v>1510.2958246713099</v>
      </c>
      <c r="C399">
        <v>17</v>
      </c>
      <c r="D399" t="s">
        <v>27</v>
      </c>
      <c r="E399">
        <v>20</v>
      </c>
      <c r="U399" t="s">
        <v>195</v>
      </c>
      <c r="Y399" t="s">
        <v>545</v>
      </c>
    </row>
    <row r="400" spans="1:25">
      <c r="A400" t="s">
        <v>688</v>
      </c>
      <c r="B400">
        <v>1510.655769121</v>
      </c>
      <c r="C400">
        <v>20</v>
      </c>
      <c r="D400" t="s">
        <v>632</v>
      </c>
      <c r="E400">
        <v>24</v>
      </c>
      <c r="H400" t="s">
        <v>445</v>
      </c>
      <c r="I400" t="s">
        <v>439</v>
      </c>
      <c r="M400" t="s">
        <v>638</v>
      </c>
      <c r="Y400" t="s">
        <v>545</v>
      </c>
    </row>
    <row r="401" spans="1:25">
      <c r="A401" t="s">
        <v>688</v>
      </c>
      <c r="B401">
        <v>1511.452698476</v>
      </c>
      <c r="C401">
        <v>5.8431261953160103</v>
      </c>
      <c r="D401" t="s">
        <v>9</v>
      </c>
      <c r="E401">
        <v>35</v>
      </c>
      <c r="Y401" t="s">
        <v>545</v>
      </c>
    </row>
    <row r="402" spans="1:25">
      <c r="A402" t="s">
        <v>688</v>
      </c>
      <c r="B402">
        <v>1513.1961195599799</v>
      </c>
      <c r="C402">
        <v>20</v>
      </c>
      <c r="D402" t="s">
        <v>33</v>
      </c>
      <c r="E402">
        <v>7</v>
      </c>
      <c r="Y402" t="s">
        <v>545</v>
      </c>
    </row>
    <row r="403" spans="1:25">
      <c r="A403" t="s">
        <v>688</v>
      </c>
      <c r="B403">
        <v>1513.929707708</v>
      </c>
      <c r="C403">
        <v>20</v>
      </c>
      <c r="D403" t="s">
        <v>647</v>
      </c>
      <c r="E403">
        <v>9</v>
      </c>
      <c r="H403" t="s">
        <v>336</v>
      </c>
      <c r="M403" t="s">
        <v>676</v>
      </c>
      <c r="Y403" t="s">
        <v>545</v>
      </c>
    </row>
    <row r="404" spans="1:25">
      <c r="A404" t="s">
        <v>688</v>
      </c>
      <c r="B404">
        <v>1514.2958246713099</v>
      </c>
      <c r="C404">
        <v>11.102718810331201</v>
      </c>
      <c r="D404" t="s">
        <v>18</v>
      </c>
      <c r="E404">
        <v>33</v>
      </c>
      <c r="Y404" t="s">
        <v>545</v>
      </c>
    </row>
    <row r="405" spans="1:25">
      <c r="A405" t="s">
        <v>688</v>
      </c>
      <c r="B405">
        <v>1514.452698476</v>
      </c>
      <c r="C405">
        <v>32.018542709000002</v>
      </c>
      <c r="D405" t="s">
        <v>19</v>
      </c>
      <c r="E405">
        <v>34</v>
      </c>
      <c r="Y405" t="s">
        <v>545</v>
      </c>
    </row>
    <row r="406" spans="1:25">
      <c r="A406" t="s">
        <v>688</v>
      </c>
      <c r="B406">
        <v>1518.39854348164</v>
      </c>
      <c r="C406">
        <v>17</v>
      </c>
      <c r="D406" t="s">
        <v>40</v>
      </c>
      <c r="E406">
        <v>12</v>
      </c>
      <c r="U406" t="s">
        <v>191</v>
      </c>
      <c r="Y406" t="s">
        <v>545</v>
      </c>
    </row>
    <row r="407" spans="1:25">
      <c r="A407" t="s">
        <v>688</v>
      </c>
      <c r="B407">
        <v>1522.39854348164</v>
      </c>
      <c r="C407">
        <v>16.697563599013101</v>
      </c>
      <c r="D407" t="s">
        <v>9</v>
      </c>
      <c r="E407">
        <v>36</v>
      </c>
      <c r="Y407" t="s">
        <v>545</v>
      </c>
    </row>
    <row r="408" spans="1:25">
      <c r="A408" t="s">
        <v>688</v>
      </c>
      <c r="B408">
        <v>1529.0949477079901</v>
      </c>
      <c r="C408">
        <v>20</v>
      </c>
      <c r="D408" t="s">
        <v>636</v>
      </c>
      <c r="E408">
        <v>11</v>
      </c>
      <c r="J408" t="s">
        <v>223</v>
      </c>
      <c r="Y408" t="s">
        <v>545</v>
      </c>
    </row>
    <row r="409" spans="1:25">
      <c r="A409" t="s">
        <v>688</v>
      </c>
      <c r="B409">
        <v>1536.09610708066</v>
      </c>
      <c r="C409">
        <v>10.375134104339599</v>
      </c>
      <c r="D409" t="s">
        <v>18</v>
      </c>
      <c r="E409">
        <v>34</v>
      </c>
      <c r="Y409" t="s">
        <v>545</v>
      </c>
    </row>
    <row r="410" spans="1:25">
      <c r="A410" t="s">
        <v>688</v>
      </c>
      <c r="B410">
        <v>1546.4712411850001</v>
      </c>
      <c r="C410">
        <v>11.072247809999901</v>
      </c>
      <c r="D410" t="s">
        <v>10</v>
      </c>
      <c r="E410">
        <v>34</v>
      </c>
      <c r="Y410" t="s">
        <v>545</v>
      </c>
    </row>
    <row r="411" spans="1:25">
      <c r="A411" t="s">
        <v>688</v>
      </c>
      <c r="B411">
        <v>1550.543488995</v>
      </c>
      <c r="C411">
        <v>17</v>
      </c>
      <c r="D411" t="s">
        <v>11</v>
      </c>
      <c r="E411">
        <v>19</v>
      </c>
      <c r="T411" t="s">
        <v>13</v>
      </c>
      <c r="Y411" t="s">
        <v>545</v>
      </c>
    </row>
    <row r="412" spans="1:25">
      <c r="A412" t="s">
        <v>688</v>
      </c>
      <c r="B412">
        <v>1554.543488995</v>
      </c>
      <c r="C412">
        <v>13.7793846900001</v>
      </c>
      <c r="D412" t="s">
        <v>9</v>
      </c>
      <c r="E412">
        <v>37</v>
      </c>
      <c r="Y412" t="s">
        <v>545</v>
      </c>
    </row>
    <row r="413" spans="1:25">
      <c r="A413" t="s">
        <v>688</v>
      </c>
      <c r="B413">
        <v>1555.0759834759999</v>
      </c>
      <c r="C413">
        <v>13.2468902090001</v>
      </c>
      <c r="D413" t="s">
        <v>44</v>
      </c>
      <c r="E413">
        <v>1</v>
      </c>
      <c r="R413" t="s">
        <v>20</v>
      </c>
      <c r="Y413" t="s">
        <v>545</v>
      </c>
    </row>
    <row r="414" spans="1:25">
      <c r="A414" t="s">
        <v>688</v>
      </c>
      <c r="B414">
        <v>1557.543488995</v>
      </c>
      <c r="C414">
        <v>21.7531352203216</v>
      </c>
      <c r="D414" t="s">
        <v>19</v>
      </c>
      <c r="E414">
        <v>35</v>
      </c>
      <c r="Y414" t="s">
        <v>545</v>
      </c>
    </row>
    <row r="415" spans="1:25">
      <c r="A415" t="s">
        <v>688</v>
      </c>
      <c r="B415">
        <v>1558.5959886686501</v>
      </c>
      <c r="C415">
        <v>20</v>
      </c>
      <c r="D415" t="s">
        <v>626</v>
      </c>
      <c r="E415">
        <v>8</v>
      </c>
      <c r="I415" t="s">
        <v>447</v>
      </c>
      <c r="J415" t="s">
        <v>627</v>
      </c>
      <c r="M415" t="s">
        <v>443</v>
      </c>
      <c r="Y415" t="s">
        <v>545</v>
      </c>
    </row>
    <row r="416" spans="1:25">
      <c r="A416" t="s">
        <v>688</v>
      </c>
      <c r="B416">
        <v>1561.3228736850001</v>
      </c>
      <c r="C416">
        <v>17</v>
      </c>
      <c r="D416" t="s">
        <v>27</v>
      </c>
      <c r="E416">
        <v>21</v>
      </c>
      <c r="U416" t="s">
        <v>28</v>
      </c>
      <c r="Y416" t="s">
        <v>545</v>
      </c>
    </row>
    <row r="417" spans="1:25">
      <c r="A417" t="s">
        <v>688</v>
      </c>
      <c r="B417">
        <v>1565.3228736850001</v>
      </c>
      <c r="C417">
        <v>13.9737505303214</v>
      </c>
      <c r="D417" t="s">
        <v>18</v>
      </c>
      <c r="E417">
        <v>35</v>
      </c>
      <c r="Y417" t="s">
        <v>545</v>
      </c>
    </row>
    <row r="418" spans="1:25">
      <c r="A418" t="s">
        <v>688</v>
      </c>
      <c r="B418">
        <v>1567.7965650420001</v>
      </c>
      <c r="C418">
        <v>20</v>
      </c>
      <c r="D418" t="s">
        <v>647</v>
      </c>
      <c r="E418">
        <v>10</v>
      </c>
      <c r="J418" t="s">
        <v>687</v>
      </c>
      <c r="M418" t="s">
        <v>617</v>
      </c>
      <c r="Y418" t="s">
        <v>545</v>
      </c>
    </row>
    <row r="419" spans="1:25">
      <c r="A419" t="s">
        <v>688</v>
      </c>
      <c r="B419">
        <v>1579.29662421532</v>
      </c>
      <c r="C419">
        <v>17.6995602423492</v>
      </c>
      <c r="D419" t="s">
        <v>10</v>
      </c>
      <c r="E419">
        <v>35</v>
      </c>
      <c r="Y419" t="s">
        <v>545</v>
      </c>
    </row>
    <row r="420" spans="1:25">
      <c r="A420" t="s">
        <v>688</v>
      </c>
      <c r="B420">
        <v>1589.9961844576701</v>
      </c>
      <c r="C420">
        <v>17</v>
      </c>
      <c r="D420" t="s">
        <v>11</v>
      </c>
      <c r="E420">
        <v>20</v>
      </c>
      <c r="T420" t="s">
        <v>13</v>
      </c>
      <c r="Y420" t="s">
        <v>545</v>
      </c>
    </row>
    <row r="421" spans="1:25">
      <c r="A421" t="s">
        <v>688</v>
      </c>
      <c r="B421">
        <v>1593.9961844576701</v>
      </c>
      <c r="C421">
        <v>24.0402531473291</v>
      </c>
      <c r="D421" t="s">
        <v>9</v>
      </c>
      <c r="E421">
        <v>38</v>
      </c>
      <c r="Y421" t="s">
        <v>545</v>
      </c>
    </row>
    <row r="422" spans="1:25">
      <c r="A422" t="s">
        <v>688</v>
      </c>
      <c r="B422">
        <v>1596.6981460669899</v>
      </c>
      <c r="C422">
        <v>21.338291538004501</v>
      </c>
      <c r="D422" t="s">
        <v>42</v>
      </c>
      <c r="E422">
        <v>4</v>
      </c>
      <c r="R422" t="s">
        <v>20</v>
      </c>
      <c r="Y422" t="s">
        <v>545</v>
      </c>
    </row>
    <row r="423" spans="1:25">
      <c r="A423" t="s">
        <v>688</v>
      </c>
      <c r="B423">
        <v>1596.9961844576701</v>
      </c>
      <c r="C423">
        <v>37.914988840329201</v>
      </c>
      <c r="D423" t="s">
        <v>19</v>
      </c>
      <c r="E423">
        <v>36</v>
      </c>
      <c r="Y423" t="s">
        <v>545</v>
      </c>
    </row>
    <row r="424" spans="1:25">
      <c r="A424" t="s">
        <v>688</v>
      </c>
      <c r="B424">
        <v>1605.99065274599</v>
      </c>
      <c r="C424">
        <v>20</v>
      </c>
      <c r="D424" t="s">
        <v>636</v>
      </c>
      <c r="E424">
        <v>12</v>
      </c>
      <c r="J424" t="s">
        <v>639</v>
      </c>
      <c r="Y424" t="s">
        <v>545</v>
      </c>
    </row>
    <row r="425" spans="1:25">
      <c r="A425" t="s">
        <v>688</v>
      </c>
      <c r="B425">
        <v>1608.6976405343401</v>
      </c>
      <c r="C425">
        <v>20</v>
      </c>
      <c r="D425" t="s">
        <v>738</v>
      </c>
      <c r="E425">
        <v>20</v>
      </c>
      <c r="I425" t="s">
        <v>439</v>
      </c>
      <c r="M425" t="s">
        <v>443</v>
      </c>
      <c r="Y425" t="s">
        <v>545</v>
      </c>
    </row>
    <row r="426" spans="1:25">
      <c r="A426" t="s">
        <v>688</v>
      </c>
      <c r="B426">
        <v>1611.0364376049999</v>
      </c>
      <c r="C426">
        <v>17</v>
      </c>
      <c r="D426" t="s">
        <v>27</v>
      </c>
      <c r="E426">
        <v>22</v>
      </c>
      <c r="U426" t="s">
        <v>28</v>
      </c>
      <c r="Y426" t="s">
        <v>545</v>
      </c>
    </row>
    <row r="427" spans="1:25">
      <c r="A427" t="s">
        <v>688</v>
      </c>
      <c r="B427">
        <v>1611.5919454140001</v>
      </c>
      <c r="C427">
        <v>20</v>
      </c>
      <c r="D427" t="s">
        <v>632</v>
      </c>
      <c r="E427">
        <v>25</v>
      </c>
      <c r="K427" t="s">
        <v>444</v>
      </c>
      <c r="M427" t="s">
        <v>617</v>
      </c>
      <c r="Y427" t="s">
        <v>545</v>
      </c>
    </row>
    <row r="428" spans="1:25">
      <c r="A428" t="s">
        <v>688</v>
      </c>
      <c r="B428">
        <v>1614.59737692864</v>
      </c>
      <c r="C428">
        <v>17</v>
      </c>
      <c r="D428" t="s">
        <v>40</v>
      </c>
      <c r="E428">
        <v>13</v>
      </c>
      <c r="U428" t="s">
        <v>195</v>
      </c>
      <c r="Y428" t="s">
        <v>545</v>
      </c>
    </row>
    <row r="429" spans="1:25">
      <c r="A429" t="s">
        <v>688</v>
      </c>
      <c r="B429">
        <v>1615.0364376049999</v>
      </c>
      <c r="C429">
        <v>6.5609393236481903</v>
      </c>
      <c r="D429" t="s">
        <v>18</v>
      </c>
      <c r="E429">
        <v>36</v>
      </c>
      <c r="Y429" t="s">
        <v>545</v>
      </c>
    </row>
    <row r="430" spans="1:25">
      <c r="A430" t="s">
        <v>688</v>
      </c>
      <c r="B430">
        <v>1616.2816496620001</v>
      </c>
      <c r="C430">
        <v>20</v>
      </c>
      <c r="D430" t="s">
        <v>626</v>
      </c>
      <c r="E430">
        <v>9</v>
      </c>
      <c r="K430" t="s">
        <v>48</v>
      </c>
      <c r="M430" t="s">
        <v>617</v>
      </c>
      <c r="Y430" t="s">
        <v>545</v>
      </c>
    </row>
    <row r="431" spans="1:25">
      <c r="A431" t="s">
        <v>688</v>
      </c>
      <c r="B431">
        <v>1617.695283946</v>
      </c>
      <c r="C431">
        <v>20</v>
      </c>
      <c r="D431" t="s">
        <v>41</v>
      </c>
      <c r="E431">
        <v>2</v>
      </c>
      <c r="Y431" t="s">
        <v>545</v>
      </c>
    </row>
    <row r="432" spans="1:25">
      <c r="A432" t="s">
        <v>688</v>
      </c>
      <c r="B432">
        <v>1617.79767882896</v>
      </c>
      <c r="C432">
        <v>20</v>
      </c>
      <c r="D432" t="s">
        <v>626</v>
      </c>
      <c r="E432">
        <v>10</v>
      </c>
      <c r="K432" t="s">
        <v>441</v>
      </c>
      <c r="M432" t="s">
        <v>620</v>
      </c>
      <c r="Y432" t="s">
        <v>545</v>
      </c>
    </row>
    <row r="433" spans="1:25">
      <c r="A433" t="s">
        <v>688</v>
      </c>
      <c r="B433">
        <v>1618.59737692864</v>
      </c>
      <c r="C433">
        <v>13.899982807999001</v>
      </c>
      <c r="D433" t="s">
        <v>9</v>
      </c>
      <c r="E433">
        <v>39</v>
      </c>
      <c r="Y433" t="s">
        <v>545</v>
      </c>
    </row>
    <row r="434" spans="1:25">
      <c r="A434" t="s">
        <v>688</v>
      </c>
      <c r="B434">
        <v>1625.49735973664</v>
      </c>
      <c r="C434">
        <v>17</v>
      </c>
      <c r="D434" t="s">
        <v>27</v>
      </c>
      <c r="E434">
        <v>23</v>
      </c>
      <c r="U434" t="s">
        <v>28</v>
      </c>
      <c r="Y434" t="s">
        <v>545</v>
      </c>
    </row>
    <row r="435" spans="1:25">
      <c r="A435" t="s">
        <v>688</v>
      </c>
      <c r="B435">
        <v>1629.49735973664</v>
      </c>
      <c r="C435">
        <v>5.4138135613527503</v>
      </c>
      <c r="D435" t="s">
        <v>18</v>
      </c>
      <c r="E435">
        <v>37</v>
      </c>
      <c r="Y435" t="s">
        <v>545</v>
      </c>
    </row>
    <row r="436" spans="1:25">
      <c r="A436" t="s">
        <v>688</v>
      </c>
      <c r="B436">
        <v>1634.911173298</v>
      </c>
      <c r="C436">
        <v>9.7777393336641492</v>
      </c>
      <c r="D436" t="s">
        <v>10</v>
      </c>
      <c r="E436">
        <v>36</v>
      </c>
      <c r="Y436" t="s">
        <v>545</v>
      </c>
    </row>
    <row r="437" spans="1:25">
      <c r="A437" t="s">
        <v>688</v>
      </c>
      <c r="B437">
        <v>1636.7142147869999</v>
      </c>
      <c r="C437">
        <v>20</v>
      </c>
      <c r="D437" t="s">
        <v>738</v>
      </c>
      <c r="E437">
        <v>21</v>
      </c>
      <c r="I437" t="s">
        <v>442</v>
      </c>
      <c r="M437" t="s">
        <v>438</v>
      </c>
      <c r="Y437" t="s">
        <v>545</v>
      </c>
    </row>
    <row r="438" spans="1:25">
      <c r="A438" t="s">
        <v>688</v>
      </c>
      <c r="B438">
        <v>1637.6889126316601</v>
      </c>
      <c r="C438">
        <v>17</v>
      </c>
      <c r="D438" t="s">
        <v>6</v>
      </c>
      <c r="E438">
        <v>13</v>
      </c>
      <c r="T438" t="s">
        <v>25</v>
      </c>
      <c r="Y438" t="s">
        <v>545</v>
      </c>
    </row>
    <row r="439" spans="1:25">
      <c r="A439" t="s">
        <v>688</v>
      </c>
      <c r="B439">
        <v>1641.6889126316601</v>
      </c>
      <c r="C439">
        <v>47.446200681335696</v>
      </c>
      <c r="D439" t="s">
        <v>18</v>
      </c>
      <c r="E439">
        <v>38</v>
      </c>
      <c r="Y439" t="s">
        <v>545</v>
      </c>
    </row>
    <row r="440" spans="1:25">
      <c r="A440" t="s">
        <v>688</v>
      </c>
      <c r="B440">
        <v>1641.8946148176401</v>
      </c>
      <c r="C440">
        <v>47.240498495355197</v>
      </c>
      <c r="D440" t="s">
        <v>121</v>
      </c>
      <c r="E440">
        <v>3</v>
      </c>
      <c r="P440" t="s">
        <v>691</v>
      </c>
      <c r="R440" t="s">
        <v>20</v>
      </c>
      <c r="Y440" t="s">
        <v>545</v>
      </c>
    </row>
    <row r="441" spans="1:25">
      <c r="A441" t="s">
        <v>688</v>
      </c>
      <c r="B441">
        <v>1643.2958196649799</v>
      </c>
      <c r="C441">
        <v>20</v>
      </c>
      <c r="D441" t="s">
        <v>642</v>
      </c>
      <c r="E441">
        <v>11</v>
      </c>
      <c r="I441" t="s">
        <v>442</v>
      </c>
      <c r="M441" t="s">
        <v>607</v>
      </c>
      <c r="Y441" t="s">
        <v>545</v>
      </c>
    </row>
    <row r="442" spans="1:25">
      <c r="A442" t="s">
        <v>688</v>
      </c>
      <c r="B442">
        <v>1644.6889126316601</v>
      </c>
      <c r="C442">
        <v>44.446200681335696</v>
      </c>
      <c r="D442" t="s">
        <v>19</v>
      </c>
      <c r="E442">
        <v>37</v>
      </c>
      <c r="Y442" t="s">
        <v>545</v>
      </c>
    </row>
    <row r="443" spans="1:25">
      <c r="A443" t="s">
        <v>688</v>
      </c>
      <c r="B443">
        <v>1654.4904186039801</v>
      </c>
      <c r="C443">
        <v>20</v>
      </c>
      <c r="D443" t="s">
        <v>738</v>
      </c>
      <c r="E443">
        <v>22</v>
      </c>
      <c r="I443" t="s">
        <v>442</v>
      </c>
      <c r="M443" t="s">
        <v>607</v>
      </c>
      <c r="Y443" t="s">
        <v>545</v>
      </c>
    </row>
    <row r="444" spans="1:25">
      <c r="A444" t="s">
        <v>688</v>
      </c>
      <c r="B444">
        <v>1660.3969071629699</v>
      </c>
      <c r="C444">
        <v>20</v>
      </c>
      <c r="D444" t="s">
        <v>649</v>
      </c>
      <c r="E444">
        <v>19</v>
      </c>
      <c r="I444" t="s">
        <v>440</v>
      </c>
      <c r="M444" t="s">
        <v>607</v>
      </c>
      <c r="Y444" t="s">
        <v>545</v>
      </c>
    </row>
    <row r="445" spans="1:25">
      <c r="A445" t="s">
        <v>688</v>
      </c>
      <c r="B445">
        <v>1664.7980785386601</v>
      </c>
      <c r="C445">
        <v>20</v>
      </c>
      <c r="D445" t="s">
        <v>642</v>
      </c>
      <c r="E445">
        <v>12</v>
      </c>
      <c r="I445" t="s">
        <v>442</v>
      </c>
      <c r="M445" t="s">
        <v>638</v>
      </c>
      <c r="Y445" t="s">
        <v>545</v>
      </c>
    </row>
    <row r="446" spans="1:25">
      <c r="A446" t="s">
        <v>688</v>
      </c>
      <c r="B446">
        <v>1666.8973314173199</v>
      </c>
      <c r="C446">
        <v>20</v>
      </c>
      <c r="D446" t="s">
        <v>738</v>
      </c>
      <c r="E446">
        <v>23</v>
      </c>
      <c r="I446" t="s">
        <v>455</v>
      </c>
      <c r="M446" t="s">
        <v>610</v>
      </c>
      <c r="Y446" t="s">
        <v>545</v>
      </c>
    </row>
    <row r="447" spans="1:25">
      <c r="A447" t="s">
        <v>688</v>
      </c>
      <c r="B447">
        <v>1671.29280062664</v>
      </c>
      <c r="C447">
        <v>20</v>
      </c>
      <c r="D447" t="s">
        <v>33</v>
      </c>
      <c r="E447">
        <v>8</v>
      </c>
      <c r="Y447" t="s">
        <v>545</v>
      </c>
    </row>
    <row r="448" spans="1:25">
      <c r="A448" t="s">
        <v>688</v>
      </c>
      <c r="B448">
        <v>1671.4956924243099</v>
      </c>
      <c r="C448">
        <v>20</v>
      </c>
      <c r="D448" t="s">
        <v>654</v>
      </c>
      <c r="E448">
        <v>12</v>
      </c>
      <c r="H448" t="s">
        <v>461</v>
      </c>
      <c r="I448" t="s">
        <v>440</v>
      </c>
      <c r="M448" t="s">
        <v>607</v>
      </c>
      <c r="Y448" t="s">
        <v>545</v>
      </c>
    </row>
    <row r="449" spans="1:25">
      <c r="A449" t="s">
        <v>688</v>
      </c>
      <c r="B449">
        <v>1675.59591816698</v>
      </c>
      <c r="C449">
        <v>20</v>
      </c>
      <c r="D449" t="s">
        <v>626</v>
      </c>
      <c r="E449">
        <v>11</v>
      </c>
      <c r="H449" t="s">
        <v>628</v>
      </c>
      <c r="I449" t="s">
        <v>439</v>
      </c>
      <c r="M449" t="s">
        <v>608</v>
      </c>
      <c r="Y449" t="s">
        <v>545</v>
      </c>
    </row>
    <row r="450" spans="1:25">
      <c r="A450" t="s">
        <v>688</v>
      </c>
      <c r="B450">
        <v>1689.1351133129999</v>
      </c>
      <c r="C450">
        <v>21.956093241339399</v>
      </c>
      <c r="D450" t="s">
        <v>10</v>
      </c>
      <c r="E450">
        <v>37</v>
      </c>
      <c r="Y450" t="s">
        <v>545</v>
      </c>
    </row>
    <row r="451" spans="1:25">
      <c r="A451" t="s">
        <v>688</v>
      </c>
      <c r="B451">
        <v>1704.09120655433</v>
      </c>
      <c r="C451">
        <v>17</v>
      </c>
      <c r="D451" t="s">
        <v>6</v>
      </c>
      <c r="E451">
        <v>14</v>
      </c>
      <c r="T451" t="s">
        <v>21</v>
      </c>
      <c r="Y451" t="s">
        <v>545</v>
      </c>
    </row>
    <row r="452" spans="1:25">
      <c r="A452" t="s">
        <v>688</v>
      </c>
      <c r="B452">
        <v>1708.09120655433</v>
      </c>
      <c r="C452">
        <v>13.1052247909954</v>
      </c>
      <c r="D452" t="s">
        <v>18</v>
      </c>
      <c r="E452">
        <v>39</v>
      </c>
      <c r="Y452" t="s">
        <v>545</v>
      </c>
    </row>
    <row r="453" spans="1:25">
      <c r="A453" t="s">
        <v>688</v>
      </c>
      <c r="B453">
        <v>1708.6955556390101</v>
      </c>
      <c r="C453">
        <v>20</v>
      </c>
      <c r="D453" t="s">
        <v>645</v>
      </c>
      <c r="E453">
        <v>18</v>
      </c>
      <c r="H453" t="s">
        <v>5</v>
      </c>
      <c r="M453" t="s">
        <v>434</v>
      </c>
      <c r="Y453" t="s">
        <v>545</v>
      </c>
    </row>
    <row r="454" spans="1:25">
      <c r="A454" t="s">
        <v>688</v>
      </c>
      <c r="B454">
        <v>1709.789833567</v>
      </c>
      <c r="C454">
        <v>20</v>
      </c>
      <c r="D454" t="s">
        <v>135</v>
      </c>
      <c r="E454">
        <v>7</v>
      </c>
      <c r="Y454" t="s">
        <v>545</v>
      </c>
    </row>
    <row r="455" spans="1:25">
      <c r="A455" t="s">
        <v>688</v>
      </c>
      <c r="B455">
        <v>1711.09120655433</v>
      </c>
      <c r="C455">
        <v>10.1052247909954</v>
      </c>
      <c r="D455" t="s">
        <v>19</v>
      </c>
      <c r="E455">
        <v>38</v>
      </c>
      <c r="Y455" t="s">
        <v>545</v>
      </c>
    </row>
    <row r="456" spans="1:25">
      <c r="A456" t="s">
        <v>688</v>
      </c>
      <c r="B456">
        <v>1721.19643134533</v>
      </c>
      <c r="C456">
        <v>11.0996798439744</v>
      </c>
      <c r="D456" t="s">
        <v>10</v>
      </c>
      <c r="E456">
        <v>38</v>
      </c>
      <c r="Y456" t="s">
        <v>545</v>
      </c>
    </row>
    <row r="457" spans="1:25">
      <c r="A457" t="s">
        <v>688</v>
      </c>
      <c r="B457">
        <v>1725.2961111893001</v>
      </c>
      <c r="C457">
        <v>17</v>
      </c>
      <c r="D457" t="s">
        <v>11</v>
      </c>
      <c r="E457">
        <v>21</v>
      </c>
      <c r="T457" t="s">
        <v>16</v>
      </c>
      <c r="Y457" t="s">
        <v>545</v>
      </c>
    </row>
    <row r="458" spans="1:25">
      <c r="A458" t="s">
        <v>688</v>
      </c>
      <c r="B458">
        <v>1726.49728825132</v>
      </c>
      <c r="C458">
        <v>20</v>
      </c>
      <c r="D458" t="s">
        <v>622</v>
      </c>
      <c r="E458">
        <v>9</v>
      </c>
      <c r="I458" t="s">
        <v>442</v>
      </c>
      <c r="J458" t="s">
        <v>639</v>
      </c>
      <c r="M458" t="s">
        <v>438</v>
      </c>
      <c r="Y458" t="s">
        <v>545</v>
      </c>
    </row>
    <row r="459" spans="1:25">
      <c r="A459" t="s">
        <v>688</v>
      </c>
      <c r="B459">
        <v>1728.5208736889999</v>
      </c>
      <c r="C459">
        <v>8.6631142920000404</v>
      </c>
      <c r="D459" t="s">
        <v>427</v>
      </c>
      <c r="E459">
        <v>10</v>
      </c>
      <c r="R459" t="s">
        <v>20</v>
      </c>
      <c r="S459" t="s">
        <v>43</v>
      </c>
      <c r="Y459" t="s">
        <v>545</v>
      </c>
    </row>
    <row r="460" spans="1:25">
      <c r="A460" t="s">
        <v>688</v>
      </c>
      <c r="B460">
        <v>1729.2961111893001</v>
      </c>
      <c r="C460">
        <v>7.8878767916908101</v>
      </c>
      <c r="D460" t="s">
        <v>9</v>
      </c>
      <c r="E460">
        <v>40</v>
      </c>
      <c r="Y460" t="s">
        <v>545</v>
      </c>
    </row>
    <row r="461" spans="1:25">
      <c r="A461" t="s">
        <v>688</v>
      </c>
      <c r="B461">
        <v>1730.183987981</v>
      </c>
      <c r="C461">
        <v>17</v>
      </c>
      <c r="D461" t="s">
        <v>27</v>
      </c>
      <c r="E461">
        <v>24</v>
      </c>
      <c r="U461" t="s">
        <v>14</v>
      </c>
      <c r="Y461" t="s">
        <v>545</v>
      </c>
    </row>
    <row r="462" spans="1:25">
      <c r="A462" t="s">
        <v>688</v>
      </c>
      <c r="B462">
        <v>1730.823193214</v>
      </c>
      <c r="C462">
        <v>20</v>
      </c>
      <c r="D462" t="s">
        <v>632</v>
      </c>
      <c r="E462">
        <v>26</v>
      </c>
      <c r="I462" t="s">
        <v>439</v>
      </c>
      <c r="M462" t="s">
        <v>608</v>
      </c>
      <c r="Y462" t="s">
        <v>545</v>
      </c>
    </row>
    <row r="463" spans="1:25">
      <c r="A463" t="s">
        <v>688</v>
      </c>
      <c r="B463">
        <v>1732.2961111893001</v>
      </c>
      <c r="C463">
        <v>58.500523850708298</v>
      </c>
      <c r="D463" t="s">
        <v>19</v>
      </c>
      <c r="E463">
        <v>39</v>
      </c>
      <c r="Y463" t="s">
        <v>545</v>
      </c>
    </row>
    <row r="464" spans="1:25">
      <c r="A464" t="s">
        <v>688</v>
      </c>
      <c r="B464">
        <v>1734.183987981</v>
      </c>
      <c r="C464">
        <v>38.206239693660102</v>
      </c>
      <c r="D464" t="s">
        <v>18</v>
      </c>
      <c r="E464">
        <v>40</v>
      </c>
      <c r="Y464" t="s">
        <v>545</v>
      </c>
    </row>
    <row r="465" spans="1:25">
      <c r="A465" t="s">
        <v>688</v>
      </c>
      <c r="B465">
        <v>1736.5811236730001</v>
      </c>
      <c r="C465">
        <v>20</v>
      </c>
      <c r="D465" t="s">
        <v>649</v>
      </c>
      <c r="E465">
        <v>20</v>
      </c>
      <c r="I465" t="s">
        <v>439</v>
      </c>
      <c r="M465" t="s">
        <v>438</v>
      </c>
      <c r="Y465" t="s">
        <v>545</v>
      </c>
    </row>
    <row r="466" spans="1:25">
      <c r="A466" t="s">
        <v>688</v>
      </c>
      <c r="B466">
        <v>1737.660868941</v>
      </c>
      <c r="C466">
        <v>20</v>
      </c>
      <c r="D466" t="s">
        <v>761</v>
      </c>
      <c r="E466">
        <v>1</v>
      </c>
      <c r="H466" t="s">
        <v>445</v>
      </c>
      <c r="I466" t="s">
        <v>442</v>
      </c>
      <c r="M466" t="s">
        <v>607</v>
      </c>
      <c r="Y466" t="s">
        <v>545</v>
      </c>
    </row>
    <row r="467" spans="1:25">
      <c r="A467" t="s">
        <v>688</v>
      </c>
      <c r="B467">
        <v>1739.2979402993101</v>
      </c>
      <c r="C467">
        <v>20</v>
      </c>
      <c r="D467" t="s">
        <v>636</v>
      </c>
      <c r="E467">
        <v>13</v>
      </c>
      <c r="H467" t="s">
        <v>628</v>
      </c>
      <c r="I467" t="s">
        <v>440</v>
      </c>
      <c r="M467" t="s">
        <v>607</v>
      </c>
      <c r="Y467" t="s">
        <v>545</v>
      </c>
    </row>
    <row r="468" spans="1:25">
      <c r="A468" t="s">
        <v>688</v>
      </c>
      <c r="B468">
        <v>1740.2910242729799</v>
      </c>
      <c r="C468">
        <v>32.099203401674004</v>
      </c>
      <c r="D468" t="s">
        <v>32</v>
      </c>
      <c r="E468">
        <v>16</v>
      </c>
      <c r="R468" t="s">
        <v>23</v>
      </c>
      <c r="Y468" t="s">
        <v>545</v>
      </c>
    </row>
    <row r="469" spans="1:25">
      <c r="A469" t="s">
        <v>688</v>
      </c>
      <c r="B469">
        <v>1741.7948662076501</v>
      </c>
      <c r="C469">
        <v>20</v>
      </c>
      <c r="D469" t="s">
        <v>649</v>
      </c>
      <c r="E469">
        <v>21</v>
      </c>
      <c r="I469" t="s">
        <v>442</v>
      </c>
      <c r="M469" t="s">
        <v>607</v>
      </c>
      <c r="Y469" t="s">
        <v>545</v>
      </c>
    </row>
    <row r="470" spans="1:25">
      <c r="A470" t="s">
        <v>688</v>
      </c>
      <c r="B470">
        <v>1747.7391136240001</v>
      </c>
      <c r="C470">
        <v>20</v>
      </c>
      <c r="D470" t="s">
        <v>738</v>
      </c>
      <c r="E470">
        <v>24</v>
      </c>
      <c r="I470" t="s">
        <v>439</v>
      </c>
      <c r="M470" t="s">
        <v>607</v>
      </c>
      <c r="Y470" t="s">
        <v>545</v>
      </c>
    </row>
    <row r="471" spans="1:25">
      <c r="A471" t="s">
        <v>688</v>
      </c>
      <c r="B471">
        <v>1748.48353578264</v>
      </c>
      <c r="C471">
        <v>20</v>
      </c>
      <c r="D471" t="s">
        <v>626</v>
      </c>
      <c r="E471">
        <v>12</v>
      </c>
      <c r="H471" t="s">
        <v>628</v>
      </c>
      <c r="I471" t="s">
        <v>440</v>
      </c>
      <c r="M471" t="s">
        <v>607</v>
      </c>
      <c r="Y471" t="s">
        <v>545</v>
      </c>
    </row>
    <row r="472" spans="1:25">
      <c r="A472" t="s">
        <v>688</v>
      </c>
      <c r="B472">
        <v>1752.69524422567</v>
      </c>
      <c r="C472">
        <v>20</v>
      </c>
      <c r="D472" t="s">
        <v>738</v>
      </c>
      <c r="E472">
        <v>25</v>
      </c>
      <c r="I472" t="s">
        <v>442</v>
      </c>
      <c r="M472" t="s">
        <v>607</v>
      </c>
      <c r="Y472" t="s">
        <v>545</v>
      </c>
    </row>
    <row r="473" spans="1:25">
      <c r="A473" t="s">
        <v>688</v>
      </c>
      <c r="B473">
        <v>1755.49644164197</v>
      </c>
      <c r="C473">
        <v>20</v>
      </c>
      <c r="D473" t="s">
        <v>649</v>
      </c>
      <c r="E473">
        <v>22</v>
      </c>
      <c r="I473" t="s">
        <v>447</v>
      </c>
      <c r="M473" t="s">
        <v>607</v>
      </c>
      <c r="Y473" t="s">
        <v>545</v>
      </c>
    </row>
    <row r="474" spans="1:25">
      <c r="A474" t="s">
        <v>688</v>
      </c>
      <c r="B474">
        <v>1756.5911022933301</v>
      </c>
      <c r="C474">
        <v>20</v>
      </c>
      <c r="D474" t="s">
        <v>33</v>
      </c>
      <c r="E474">
        <v>9</v>
      </c>
      <c r="Y474" t="s">
        <v>545</v>
      </c>
    </row>
    <row r="475" spans="1:25">
      <c r="A475" t="s">
        <v>688</v>
      </c>
      <c r="B475">
        <v>1756.6902089610101</v>
      </c>
      <c r="C475">
        <v>20</v>
      </c>
      <c r="D475" t="s">
        <v>654</v>
      </c>
      <c r="E475">
        <v>13</v>
      </c>
      <c r="H475" t="s">
        <v>461</v>
      </c>
      <c r="M475" t="s">
        <v>729</v>
      </c>
      <c r="Y475" t="s">
        <v>545</v>
      </c>
    </row>
    <row r="476" spans="1:25">
      <c r="A476" t="s">
        <v>688</v>
      </c>
      <c r="B476">
        <v>1760.29171867798</v>
      </c>
      <c r="C476">
        <v>20</v>
      </c>
      <c r="D476" t="s">
        <v>622</v>
      </c>
      <c r="E476">
        <v>10</v>
      </c>
      <c r="M476" t="s">
        <v>433</v>
      </c>
      <c r="Y476" t="s">
        <v>545</v>
      </c>
    </row>
    <row r="477" spans="1:25">
      <c r="A477" t="s">
        <v>688</v>
      </c>
      <c r="B477">
        <v>1765.3902276746601</v>
      </c>
      <c r="C477">
        <v>17</v>
      </c>
      <c r="D477" t="s">
        <v>40</v>
      </c>
      <c r="E477">
        <v>14</v>
      </c>
      <c r="U477" t="s">
        <v>14</v>
      </c>
      <c r="Y477" t="s">
        <v>545</v>
      </c>
    </row>
    <row r="478" spans="1:25">
      <c r="A478" t="s">
        <v>688</v>
      </c>
      <c r="B478">
        <v>1769.3902276746601</v>
      </c>
      <c r="C478">
        <v>21.4064073653573</v>
      </c>
      <c r="D478" t="s">
        <v>9</v>
      </c>
      <c r="E478">
        <v>41</v>
      </c>
      <c r="Y478" t="s">
        <v>545</v>
      </c>
    </row>
    <row r="479" spans="1:25">
      <c r="A479" t="s">
        <v>688</v>
      </c>
      <c r="B479">
        <v>1772.1954589616701</v>
      </c>
      <c r="C479">
        <v>20</v>
      </c>
      <c r="D479" t="s">
        <v>636</v>
      </c>
      <c r="E479">
        <v>14</v>
      </c>
      <c r="K479" t="s">
        <v>441</v>
      </c>
      <c r="M479" t="s">
        <v>617</v>
      </c>
      <c r="Y479" t="s">
        <v>545</v>
      </c>
    </row>
    <row r="480" spans="1:25">
      <c r="A480" t="s">
        <v>688</v>
      </c>
      <c r="B480">
        <v>1773.5910378056501</v>
      </c>
      <c r="C480">
        <v>20</v>
      </c>
      <c r="D480" t="s">
        <v>761</v>
      </c>
      <c r="E480">
        <v>2</v>
      </c>
      <c r="K480" t="s">
        <v>441</v>
      </c>
      <c r="M480" t="s">
        <v>617</v>
      </c>
      <c r="Y480" t="s">
        <v>545</v>
      </c>
    </row>
    <row r="481" spans="1:25">
      <c r="A481" t="s">
        <v>688</v>
      </c>
      <c r="B481">
        <v>1780.6923778386499</v>
      </c>
      <c r="C481">
        <v>20</v>
      </c>
      <c r="D481" t="s">
        <v>622</v>
      </c>
      <c r="E481">
        <v>11</v>
      </c>
      <c r="J481" t="s">
        <v>49</v>
      </c>
      <c r="Y481" t="s">
        <v>545</v>
      </c>
    </row>
    <row r="482" spans="1:25">
      <c r="A482" t="s">
        <v>688</v>
      </c>
      <c r="B482">
        <v>1790.79663504001</v>
      </c>
      <c r="C482">
        <v>10.1996445612924</v>
      </c>
      <c r="D482" t="s">
        <v>10</v>
      </c>
      <c r="E482">
        <v>39</v>
      </c>
      <c r="Y482" t="s">
        <v>545</v>
      </c>
    </row>
    <row r="483" spans="1:25">
      <c r="A483" t="s">
        <v>688</v>
      </c>
      <c r="B483">
        <v>1793.9962796013001</v>
      </c>
      <c r="C483">
        <v>17</v>
      </c>
      <c r="D483" t="s">
        <v>11</v>
      </c>
      <c r="E483">
        <v>22</v>
      </c>
      <c r="T483" t="s">
        <v>12</v>
      </c>
      <c r="U483" t="s">
        <v>195</v>
      </c>
      <c r="Y483" t="s">
        <v>545</v>
      </c>
    </row>
    <row r="484" spans="1:25">
      <c r="A484" t="s">
        <v>688</v>
      </c>
      <c r="B484">
        <v>1794.7015982949999</v>
      </c>
      <c r="C484">
        <v>20</v>
      </c>
      <c r="D484" t="s">
        <v>761</v>
      </c>
      <c r="E484">
        <v>3</v>
      </c>
      <c r="J484" t="s">
        <v>639</v>
      </c>
      <c r="Y484" t="s">
        <v>545</v>
      </c>
    </row>
    <row r="485" spans="1:25">
      <c r="A485" t="s">
        <v>688</v>
      </c>
      <c r="B485">
        <v>1797.9962796013001</v>
      </c>
      <c r="C485">
        <v>7.5842666076900898</v>
      </c>
      <c r="D485" t="s">
        <v>9</v>
      </c>
      <c r="E485">
        <v>42</v>
      </c>
      <c r="Y485" t="s">
        <v>545</v>
      </c>
    </row>
    <row r="486" spans="1:25">
      <c r="A486" t="s">
        <v>688</v>
      </c>
      <c r="B486">
        <v>1800.9962796013001</v>
      </c>
      <c r="C486">
        <v>4.5842666076900898</v>
      </c>
      <c r="D486" t="s">
        <v>19</v>
      </c>
      <c r="E486">
        <v>40</v>
      </c>
      <c r="Y486" t="s">
        <v>545</v>
      </c>
    </row>
    <row r="487" spans="1:25">
      <c r="A487" t="s">
        <v>688</v>
      </c>
      <c r="B487">
        <v>1805.580546209</v>
      </c>
      <c r="C487">
        <v>14.286617378000001</v>
      </c>
      <c r="D487" t="s">
        <v>10</v>
      </c>
      <c r="E487">
        <v>40</v>
      </c>
      <c r="Y487" t="s">
        <v>545</v>
      </c>
    </row>
    <row r="488" spans="1:25">
      <c r="A488" t="s">
        <v>688</v>
      </c>
      <c r="B488">
        <v>1812.8671635870001</v>
      </c>
      <c r="C488">
        <v>17</v>
      </c>
      <c r="D488" t="s">
        <v>11</v>
      </c>
      <c r="E488">
        <v>23</v>
      </c>
      <c r="T488" t="s">
        <v>12</v>
      </c>
      <c r="U488" t="s">
        <v>195</v>
      </c>
      <c r="Y488" t="s">
        <v>545</v>
      </c>
    </row>
    <row r="489" spans="1:25">
      <c r="A489" t="s">
        <v>688</v>
      </c>
      <c r="B489">
        <v>1815.357388936</v>
      </c>
      <c r="C489">
        <v>20</v>
      </c>
      <c r="D489" t="s">
        <v>647</v>
      </c>
      <c r="E489">
        <v>11</v>
      </c>
      <c r="H489" t="s">
        <v>336</v>
      </c>
      <c r="J489" t="s">
        <v>49</v>
      </c>
      <c r="M489" t="s">
        <v>434</v>
      </c>
      <c r="Y489" t="s">
        <v>545</v>
      </c>
    </row>
    <row r="490" spans="1:25">
      <c r="A490" t="s">
        <v>688</v>
      </c>
      <c r="B490">
        <v>1816.8671635870001</v>
      </c>
      <c r="C490">
        <v>8.4267409206602206</v>
      </c>
      <c r="D490" t="s">
        <v>9</v>
      </c>
      <c r="E490">
        <v>43</v>
      </c>
      <c r="Y490" t="s">
        <v>545</v>
      </c>
    </row>
    <row r="491" spans="1:25">
      <c r="A491" t="s">
        <v>688</v>
      </c>
      <c r="B491">
        <v>1818.29390450766</v>
      </c>
      <c r="C491">
        <v>17</v>
      </c>
      <c r="D491" t="s">
        <v>27</v>
      </c>
      <c r="E491">
        <v>25</v>
      </c>
      <c r="U491" t="s">
        <v>14</v>
      </c>
      <c r="Y491" t="s">
        <v>545</v>
      </c>
    </row>
    <row r="492" spans="1:25">
      <c r="A492" t="s">
        <v>688</v>
      </c>
      <c r="B492">
        <v>1819.8671635870001</v>
      </c>
      <c r="C492">
        <v>9.6067345930000503</v>
      </c>
      <c r="D492" t="s">
        <v>19</v>
      </c>
      <c r="E492">
        <v>41</v>
      </c>
      <c r="Y492" t="s">
        <v>545</v>
      </c>
    </row>
    <row r="493" spans="1:25">
      <c r="A493" t="s">
        <v>688</v>
      </c>
      <c r="B493">
        <v>1822.29390450766</v>
      </c>
      <c r="C493">
        <v>7.1799936723398297</v>
      </c>
      <c r="D493" t="s">
        <v>18</v>
      </c>
      <c r="E493">
        <v>41</v>
      </c>
      <c r="Y493" t="s">
        <v>545</v>
      </c>
    </row>
    <row r="494" spans="1:25">
      <c r="A494" t="s">
        <v>688</v>
      </c>
      <c r="B494">
        <v>1829.4738981800001</v>
      </c>
      <c r="C494">
        <v>13.497306237999901</v>
      </c>
      <c r="D494" t="s">
        <v>10</v>
      </c>
      <c r="E494">
        <v>41</v>
      </c>
      <c r="Y494" t="s">
        <v>545</v>
      </c>
    </row>
    <row r="495" spans="1:25">
      <c r="A495" t="s">
        <v>688</v>
      </c>
      <c r="B495">
        <v>1835.9712044180001</v>
      </c>
      <c r="C495">
        <v>17</v>
      </c>
      <c r="D495" t="s">
        <v>11</v>
      </c>
      <c r="E495">
        <v>24</v>
      </c>
      <c r="T495" t="s">
        <v>12</v>
      </c>
      <c r="U495" t="s">
        <v>195</v>
      </c>
      <c r="Y495" t="s">
        <v>545</v>
      </c>
    </row>
    <row r="496" spans="1:25">
      <c r="A496" t="s">
        <v>688</v>
      </c>
      <c r="B496">
        <v>1839.4278587589999</v>
      </c>
      <c r="C496">
        <v>20</v>
      </c>
      <c r="D496" t="s">
        <v>645</v>
      </c>
      <c r="E496">
        <v>19</v>
      </c>
      <c r="K496" t="s">
        <v>441</v>
      </c>
      <c r="M496" t="s">
        <v>617</v>
      </c>
      <c r="Y496" t="s">
        <v>545</v>
      </c>
    </row>
    <row r="497" spans="1:25">
      <c r="A497" t="s">
        <v>688</v>
      </c>
      <c r="B497">
        <v>1839.9712044180001</v>
      </c>
      <c r="C497">
        <v>15.323374073307599</v>
      </c>
      <c r="D497" t="s">
        <v>9</v>
      </c>
      <c r="E497">
        <v>44</v>
      </c>
      <c r="Y497" t="s">
        <v>545</v>
      </c>
    </row>
    <row r="498" spans="1:25">
      <c r="A498" t="s">
        <v>688</v>
      </c>
      <c r="B498">
        <v>1842.9712044180001</v>
      </c>
      <c r="C498">
        <v>27.725591848991801</v>
      </c>
      <c r="D498" t="s">
        <v>19</v>
      </c>
      <c r="E498">
        <v>42</v>
      </c>
      <c r="Y498" t="s">
        <v>545</v>
      </c>
    </row>
    <row r="499" spans="1:25">
      <c r="A499" t="s">
        <v>688</v>
      </c>
      <c r="B499">
        <v>1844.29563776132</v>
      </c>
      <c r="C499">
        <v>20</v>
      </c>
      <c r="D499" t="s">
        <v>642</v>
      </c>
      <c r="E499">
        <v>13</v>
      </c>
      <c r="G499" t="s">
        <v>449</v>
      </c>
      <c r="I499" t="s">
        <v>439</v>
      </c>
      <c r="M499" t="s">
        <v>438</v>
      </c>
      <c r="Y499" t="s">
        <v>545</v>
      </c>
    </row>
    <row r="500" spans="1:25">
      <c r="A500" t="s">
        <v>688</v>
      </c>
      <c r="B500">
        <v>1848.2945784912999</v>
      </c>
      <c r="C500">
        <v>17</v>
      </c>
      <c r="D500" t="s">
        <v>27</v>
      </c>
      <c r="E500">
        <v>26</v>
      </c>
      <c r="U500" t="s">
        <v>28</v>
      </c>
      <c r="Y500" t="s">
        <v>545</v>
      </c>
    </row>
    <row r="501" spans="1:25">
      <c r="A501" t="s">
        <v>688</v>
      </c>
      <c r="B501">
        <v>1848.88855755031</v>
      </c>
      <c r="C501">
        <v>20</v>
      </c>
      <c r="D501" t="s">
        <v>626</v>
      </c>
      <c r="E501">
        <v>13</v>
      </c>
      <c r="H501" t="s">
        <v>628</v>
      </c>
      <c r="I501" t="s">
        <v>543</v>
      </c>
      <c r="M501" t="s">
        <v>607</v>
      </c>
      <c r="Y501" t="s">
        <v>545</v>
      </c>
    </row>
    <row r="502" spans="1:25">
      <c r="A502" t="s">
        <v>688</v>
      </c>
      <c r="B502">
        <v>1852.29440626</v>
      </c>
      <c r="C502">
        <v>20</v>
      </c>
      <c r="D502" t="s">
        <v>654</v>
      </c>
      <c r="E502">
        <v>14</v>
      </c>
      <c r="H502" t="s">
        <v>461</v>
      </c>
      <c r="I502" t="s">
        <v>53</v>
      </c>
      <c r="M502" t="s">
        <v>610</v>
      </c>
      <c r="Y502" t="s">
        <v>545</v>
      </c>
    </row>
    <row r="503" spans="1:25">
      <c r="A503" t="s">
        <v>688</v>
      </c>
      <c r="B503">
        <v>1852.2945784912999</v>
      </c>
      <c r="C503">
        <v>18.4022177756842</v>
      </c>
      <c r="D503" t="s">
        <v>18</v>
      </c>
      <c r="E503">
        <v>42</v>
      </c>
      <c r="Y503" t="s">
        <v>545</v>
      </c>
    </row>
    <row r="504" spans="1:25">
      <c r="A504" t="s">
        <v>688</v>
      </c>
      <c r="B504">
        <v>1852.5959609276499</v>
      </c>
      <c r="C504">
        <v>17.299468719655302</v>
      </c>
      <c r="D504" t="s">
        <v>32</v>
      </c>
      <c r="E504">
        <v>17</v>
      </c>
      <c r="R504" t="s">
        <v>20</v>
      </c>
      <c r="Y504" t="s">
        <v>545</v>
      </c>
    </row>
    <row r="505" spans="1:25">
      <c r="A505" t="s">
        <v>688</v>
      </c>
      <c r="B505">
        <v>1854.89542964731</v>
      </c>
      <c r="C505">
        <v>20</v>
      </c>
      <c r="D505" t="s">
        <v>36</v>
      </c>
      <c r="E505">
        <v>7</v>
      </c>
      <c r="N505">
        <v>91</v>
      </c>
      <c r="O505">
        <v>42</v>
      </c>
      <c r="Q505" t="s">
        <v>698</v>
      </c>
      <c r="Y505" t="s">
        <v>545</v>
      </c>
    </row>
    <row r="506" spans="1:25">
      <c r="A506" t="s">
        <v>688</v>
      </c>
      <c r="B506">
        <v>1854.99639281196</v>
      </c>
      <c r="C506">
        <v>20</v>
      </c>
      <c r="D506" t="s">
        <v>33</v>
      </c>
      <c r="E506">
        <v>10</v>
      </c>
      <c r="Y506" t="s">
        <v>545</v>
      </c>
    </row>
    <row r="507" spans="1:25">
      <c r="A507" t="s">
        <v>688</v>
      </c>
      <c r="B507">
        <v>1857.6964909743299</v>
      </c>
      <c r="C507">
        <v>20</v>
      </c>
      <c r="D507" t="s">
        <v>34</v>
      </c>
      <c r="E507">
        <v>4</v>
      </c>
      <c r="R507" t="s">
        <v>20</v>
      </c>
      <c r="Y507" t="s">
        <v>545</v>
      </c>
    </row>
    <row r="508" spans="1:25">
      <c r="A508" t="s">
        <v>688</v>
      </c>
      <c r="B508">
        <v>1859.79526276264</v>
      </c>
      <c r="C508">
        <v>20</v>
      </c>
      <c r="D508" t="s">
        <v>761</v>
      </c>
      <c r="E508">
        <v>4</v>
      </c>
      <c r="L508" t="s">
        <v>448</v>
      </c>
      <c r="M508" t="s">
        <v>544</v>
      </c>
      <c r="Y508" t="s">
        <v>545</v>
      </c>
    </row>
    <row r="509" spans="1:25">
      <c r="A509" t="s">
        <v>688</v>
      </c>
      <c r="B509">
        <v>1859.89542964731</v>
      </c>
      <c r="C509">
        <v>15</v>
      </c>
      <c r="D509" t="s">
        <v>35</v>
      </c>
      <c r="E509">
        <v>7</v>
      </c>
      <c r="Y509" t="s">
        <v>545</v>
      </c>
    </row>
    <row r="510" spans="1:25">
      <c r="A510" t="s">
        <v>688</v>
      </c>
      <c r="B510">
        <v>1870.6967962669901</v>
      </c>
      <c r="C510">
        <v>11.7314989340081</v>
      </c>
      <c r="D510" t="s">
        <v>10</v>
      </c>
      <c r="E510">
        <v>42</v>
      </c>
      <c r="Y510" t="s">
        <v>545</v>
      </c>
    </row>
    <row r="511" spans="1:25">
      <c r="A511" t="s">
        <v>688</v>
      </c>
      <c r="B511">
        <v>1875.4282952010001</v>
      </c>
      <c r="C511">
        <v>17</v>
      </c>
      <c r="D511" t="s">
        <v>11</v>
      </c>
      <c r="E511">
        <v>25</v>
      </c>
      <c r="T511" t="s">
        <v>16</v>
      </c>
      <c r="Y511" t="s">
        <v>545</v>
      </c>
    </row>
    <row r="512" spans="1:25">
      <c r="A512" t="s">
        <v>688</v>
      </c>
      <c r="B512">
        <v>1877.411153472</v>
      </c>
      <c r="C512">
        <v>20</v>
      </c>
      <c r="D512" t="s">
        <v>622</v>
      </c>
      <c r="E512">
        <v>12</v>
      </c>
      <c r="K512" t="s">
        <v>432</v>
      </c>
      <c r="M512" t="s">
        <v>617</v>
      </c>
      <c r="Y512" t="s">
        <v>545</v>
      </c>
    </row>
    <row r="513" spans="1:25">
      <c r="A513" t="s">
        <v>688</v>
      </c>
      <c r="B513">
        <v>1878.3950253016301</v>
      </c>
      <c r="C513">
        <v>18.6016493370254</v>
      </c>
      <c r="D513" t="s">
        <v>427</v>
      </c>
      <c r="E513">
        <v>11</v>
      </c>
      <c r="R513" t="s">
        <v>23</v>
      </c>
      <c r="Y513" t="s">
        <v>545</v>
      </c>
    </row>
    <row r="514" spans="1:25">
      <c r="A514" t="s">
        <v>688</v>
      </c>
      <c r="B514">
        <v>1879.4282952010001</v>
      </c>
      <c r="C514">
        <v>17.568379437664799</v>
      </c>
      <c r="D514" t="s">
        <v>9</v>
      </c>
      <c r="E514">
        <v>45</v>
      </c>
      <c r="Y514" t="s">
        <v>545</v>
      </c>
    </row>
    <row r="515" spans="1:25">
      <c r="A515" t="s">
        <v>688</v>
      </c>
      <c r="B515">
        <v>1882.4282952010001</v>
      </c>
      <c r="C515">
        <v>36.768663262665697</v>
      </c>
      <c r="D515" t="s">
        <v>19</v>
      </c>
      <c r="E515">
        <v>43</v>
      </c>
      <c r="Y515" t="s">
        <v>545</v>
      </c>
    </row>
    <row r="516" spans="1:25">
      <c r="A516" t="s">
        <v>688</v>
      </c>
      <c r="B516">
        <v>1885.99562213833</v>
      </c>
      <c r="C516">
        <v>20</v>
      </c>
      <c r="D516" t="s">
        <v>636</v>
      </c>
      <c r="E516">
        <v>15</v>
      </c>
      <c r="I516" t="s">
        <v>621</v>
      </c>
      <c r="J516" t="s">
        <v>611</v>
      </c>
      <c r="M516" t="s">
        <v>443</v>
      </c>
      <c r="Y516" t="s">
        <v>545</v>
      </c>
    </row>
    <row r="517" spans="1:25">
      <c r="A517" t="s">
        <v>688</v>
      </c>
      <c r="B517">
        <v>1889.9966746386599</v>
      </c>
      <c r="C517">
        <v>17</v>
      </c>
      <c r="D517" t="s">
        <v>27</v>
      </c>
      <c r="E517">
        <v>27</v>
      </c>
      <c r="U517" t="s">
        <v>674</v>
      </c>
      <c r="Y517" t="s">
        <v>545</v>
      </c>
    </row>
    <row r="518" spans="1:25">
      <c r="A518" t="s">
        <v>688</v>
      </c>
      <c r="B518">
        <v>1893.9966746386599</v>
      </c>
      <c r="C518">
        <v>8.5000698760033995</v>
      </c>
      <c r="D518" t="s">
        <v>18</v>
      </c>
      <c r="E518">
        <v>43</v>
      </c>
      <c r="Y518" t="s">
        <v>545</v>
      </c>
    </row>
    <row r="519" spans="1:25">
      <c r="A519" t="s">
        <v>688</v>
      </c>
      <c r="B519">
        <v>1895.4967445146599</v>
      </c>
      <c r="C519">
        <v>17</v>
      </c>
      <c r="D519" t="s">
        <v>40</v>
      </c>
      <c r="E519">
        <v>15</v>
      </c>
      <c r="U519" t="s">
        <v>14</v>
      </c>
      <c r="Y519" t="s">
        <v>545</v>
      </c>
    </row>
    <row r="520" spans="1:25">
      <c r="A520" t="s">
        <v>688</v>
      </c>
      <c r="B520">
        <v>1899.4967445146599</v>
      </c>
      <c r="C520">
        <v>19.700213948997501</v>
      </c>
      <c r="D520" t="s">
        <v>9</v>
      </c>
      <c r="E520">
        <v>46</v>
      </c>
      <c r="Y520" t="s">
        <v>545</v>
      </c>
    </row>
    <row r="521" spans="1:25">
      <c r="A521" t="s">
        <v>688</v>
      </c>
      <c r="B521">
        <v>1902.3948458499799</v>
      </c>
      <c r="C521">
        <v>16.802112613679999</v>
      </c>
      <c r="D521" t="s">
        <v>427</v>
      </c>
      <c r="E521">
        <v>12</v>
      </c>
      <c r="R521" t="s">
        <v>20</v>
      </c>
      <c r="S521" t="s">
        <v>454</v>
      </c>
      <c r="Y521" t="s">
        <v>545</v>
      </c>
    </row>
    <row r="522" spans="1:25">
      <c r="A522" t="s">
        <v>688</v>
      </c>
      <c r="B522">
        <v>1908.9956538056399</v>
      </c>
      <c r="C522">
        <v>20</v>
      </c>
      <c r="D522" t="s">
        <v>636</v>
      </c>
      <c r="E522">
        <v>16</v>
      </c>
      <c r="K522" t="s">
        <v>441</v>
      </c>
      <c r="M522" t="s">
        <v>620</v>
      </c>
      <c r="Y522" t="s">
        <v>545</v>
      </c>
    </row>
    <row r="523" spans="1:25">
      <c r="A523" t="s">
        <v>688</v>
      </c>
      <c r="B523">
        <v>1917.324270778</v>
      </c>
      <c r="C523">
        <v>17</v>
      </c>
      <c r="D523" t="s">
        <v>11</v>
      </c>
      <c r="E523">
        <v>26</v>
      </c>
      <c r="T523" t="s">
        <v>12</v>
      </c>
      <c r="U523" t="s">
        <v>195</v>
      </c>
      <c r="Y523" t="s">
        <v>545</v>
      </c>
    </row>
    <row r="524" spans="1:25">
      <c r="A524" t="s">
        <v>688</v>
      </c>
      <c r="B524">
        <v>1918.30966172332</v>
      </c>
      <c r="C524">
        <v>20</v>
      </c>
      <c r="D524" t="s">
        <v>636</v>
      </c>
      <c r="E524">
        <v>17</v>
      </c>
      <c r="I524" t="s">
        <v>439</v>
      </c>
      <c r="M524" t="s">
        <v>443</v>
      </c>
      <c r="Y524" t="s">
        <v>545</v>
      </c>
    </row>
    <row r="525" spans="1:25">
      <c r="A525" t="s">
        <v>688</v>
      </c>
      <c r="B525">
        <v>1919.1969584636599</v>
      </c>
      <c r="C525">
        <v>5.1273123143341701</v>
      </c>
      <c r="D525" t="s">
        <v>10</v>
      </c>
      <c r="E525">
        <v>43</v>
      </c>
      <c r="Y525" t="s">
        <v>545</v>
      </c>
    </row>
    <row r="526" spans="1:25">
      <c r="A526" t="s">
        <v>688</v>
      </c>
      <c r="B526">
        <v>1921.324270778</v>
      </c>
      <c r="C526">
        <v>20.548060883000002</v>
      </c>
      <c r="D526" t="s">
        <v>9</v>
      </c>
      <c r="E526">
        <v>47</v>
      </c>
      <c r="Y526" t="s">
        <v>545</v>
      </c>
    </row>
    <row r="527" spans="1:25">
      <c r="A527" t="s">
        <v>688</v>
      </c>
      <c r="B527">
        <v>1924.324270778</v>
      </c>
      <c r="C527">
        <v>17.548060883000002</v>
      </c>
      <c r="D527" t="s">
        <v>19</v>
      </c>
      <c r="E527">
        <v>44</v>
      </c>
      <c r="Y527" t="s">
        <v>545</v>
      </c>
    </row>
    <row r="528" spans="1:25">
      <c r="A528" t="s">
        <v>688</v>
      </c>
      <c r="B528">
        <v>1926.99818101698</v>
      </c>
      <c r="C528">
        <v>20</v>
      </c>
      <c r="D528" t="s">
        <v>761</v>
      </c>
      <c r="E528">
        <v>5</v>
      </c>
      <c r="K528" t="s">
        <v>441</v>
      </c>
      <c r="M528" t="s">
        <v>617</v>
      </c>
      <c r="Y528" t="s">
        <v>545</v>
      </c>
    </row>
    <row r="529" spans="1:25">
      <c r="A529" t="s">
        <v>688</v>
      </c>
      <c r="B529">
        <v>1929.2957579326401</v>
      </c>
      <c r="C529">
        <v>20</v>
      </c>
      <c r="D529" t="s">
        <v>622</v>
      </c>
      <c r="E529">
        <v>13</v>
      </c>
      <c r="J529" t="s">
        <v>49</v>
      </c>
      <c r="Y529" t="s">
        <v>545</v>
      </c>
    </row>
    <row r="530" spans="1:25">
      <c r="A530" t="s">
        <v>688</v>
      </c>
      <c r="B530">
        <v>1941.8723316610001</v>
      </c>
      <c r="C530">
        <v>23.022702885998299</v>
      </c>
      <c r="D530" t="s">
        <v>10</v>
      </c>
      <c r="E530">
        <v>44</v>
      </c>
      <c r="Y530" t="s">
        <v>545</v>
      </c>
    </row>
    <row r="531" spans="1:25">
      <c r="A531" t="s">
        <v>688</v>
      </c>
      <c r="B531">
        <v>1957.89503454699</v>
      </c>
      <c r="C531">
        <v>17</v>
      </c>
      <c r="D531" t="s">
        <v>11</v>
      </c>
      <c r="E531">
        <v>27</v>
      </c>
      <c r="T531" t="s">
        <v>16</v>
      </c>
      <c r="Y531" t="s">
        <v>545</v>
      </c>
    </row>
    <row r="532" spans="1:25">
      <c r="A532" t="s">
        <v>688</v>
      </c>
      <c r="B532">
        <v>1961.19746808731</v>
      </c>
      <c r="C532">
        <v>13.595499913686099</v>
      </c>
      <c r="D532" t="s">
        <v>427</v>
      </c>
      <c r="E532">
        <v>13</v>
      </c>
      <c r="R532" t="s">
        <v>20</v>
      </c>
      <c r="S532" t="s">
        <v>43</v>
      </c>
      <c r="Y532" t="s">
        <v>545</v>
      </c>
    </row>
    <row r="533" spans="1:25">
      <c r="A533" t="s">
        <v>688</v>
      </c>
      <c r="B533">
        <v>1961.89503454699</v>
      </c>
      <c r="C533">
        <v>12.8979334540015</v>
      </c>
      <c r="D533" t="s">
        <v>9</v>
      </c>
      <c r="E533">
        <v>48</v>
      </c>
      <c r="Y533" t="s">
        <v>545</v>
      </c>
    </row>
    <row r="534" spans="1:25">
      <c r="A534" t="s">
        <v>688</v>
      </c>
      <c r="B534">
        <v>1963.3352866</v>
      </c>
      <c r="C534">
        <v>20</v>
      </c>
      <c r="D534" t="s">
        <v>622</v>
      </c>
      <c r="E534">
        <v>14</v>
      </c>
      <c r="I534" t="s">
        <v>53</v>
      </c>
      <c r="J534" t="s">
        <v>639</v>
      </c>
      <c r="M534" t="s">
        <v>643</v>
      </c>
      <c r="Y534" t="s">
        <v>545</v>
      </c>
    </row>
    <row r="535" spans="1:25">
      <c r="A535" t="s">
        <v>688</v>
      </c>
      <c r="B535">
        <v>1964.1923950190001</v>
      </c>
      <c r="C535">
        <v>20</v>
      </c>
      <c r="D535" t="s">
        <v>36</v>
      </c>
      <c r="E535">
        <v>8</v>
      </c>
      <c r="N535">
        <v>88</v>
      </c>
      <c r="O535">
        <v>60</v>
      </c>
      <c r="Q535" t="s">
        <v>699</v>
      </c>
      <c r="Y535" t="s">
        <v>545</v>
      </c>
    </row>
    <row r="536" spans="1:25">
      <c r="A536" t="s">
        <v>688</v>
      </c>
      <c r="B536">
        <v>1964.1923950190001</v>
      </c>
      <c r="C536">
        <v>20</v>
      </c>
      <c r="D536" t="s">
        <v>453</v>
      </c>
      <c r="E536">
        <v>3</v>
      </c>
      <c r="Y536" t="s">
        <v>545</v>
      </c>
    </row>
    <row r="537" spans="1:25">
      <c r="A537" t="s">
        <v>688</v>
      </c>
      <c r="B537">
        <v>1964.89503454699</v>
      </c>
      <c r="C537">
        <v>14.2973604720023</v>
      </c>
      <c r="D537" t="s">
        <v>19</v>
      </c>
      <c r="E537">
        <v>45</v>
      </c>
      <c r="Y537" t="s">
        <v>545</v>
      </c>
    </row>
    <row r="538" spans="1:25">
      <c r="A538" t="s">
        <v>688</v>
      </c>
      <c r="B538">
        <v>1965.3950931429699</v>
      </c>
      <c r="C538">
        <v>20</v>
      </c>
      <c r="D538" t="s">
        <v>34</v>
      </c>
      <c r="E538">
        <v>5</v>
      </c>
      <c r="R538" t="s">
        <v>20</v>
      </c>
      <c r="Y538" t="s">
        <v>545</v>
      </c>
    </row>
    <row r="539" spans="1:25">
      <c r="A539" t="s">
        <v>688</v>
      </c>
      <c r="B539">
        <v>1967.0364444740001</v>
      </c>
      <c r="C539">
        <v>20</v>
      </c>
      <c r="D539" t="s">
        <v>135</v>
      </c>
      <c r="E539">
        <v>8</v>
      </c>
      <c r="Y539" t="s">
        <v>545</v>
      </c>
    </row>
    <row r="540" spans="1:25">
      <c r="A540" t="s">
        <v>688</v>
      </c>
      <c r="B540">
        <v>1967.1397244780001</v>
      </c>
      <c r="C540">
        <v>20</v>
      </c>
      <c r="D540" t="s">
        <v>647</v>
      </c>
      <c r="E540">
        <v>12</v>
      </c>
      <c r="H540" t="s">
        <v>435</v>
      </c>
      <c r="I540" t="s">
        <v>440</v>
      </c>
      <c r="M540" t="s">
        <v>685</v>
      </c>
      <c r="Y540" t="s">
        <v>545</v>
      </c>
    </row>
    <row r="541" spans="1:25">
      <c r="A541" t="s">
        <v>688</v>
      </c>
      <c r="B541">
        <v>1967.792968001</v>
      </c>
      <c r="C541">
        <v>17</v>
      </c>
      <c r="D541" t="s">
        <v>27</v>
      </c>
      <c r="E541">
        <v>28</v>
      </c>
      <c r="U541" t="s">
        <v>14</v>
      </c>
      <c r="Y541" t="s">
        <v>545</v>
      </c>
    </row>
    <row r="542" spans="1:25">
      <c r="A542" t="s">
        <v>688</v>
      </c>
      <c r="B542">
        <v>1969.1923950190001</v>
      </c>
      <c r="C542">
        <v>15</v>
      </c>
      <c r="D542" t="s">
        <v>35</v>
      </c>
      <c r="E542">
        <v>8</v>
      </c>
      <c r="Y542" t="s">
        <v>545</v>
      </c>
    </row>
    <row r="543" spans="1:25">
      <c r="A543" t="s">
        <v>688</v>
      </c>
      <c r="B543">
        <v>1970.09523883164</v>
      </c>
      <c r="C543">
        <v>20</v>
      </c>
      <c r="D543" t="s">
        <v>761</v>
      </c>
      <c r="E543">
        <v>6</v>
      </c>
      <c r="L543" t="s">
        <v>51</v>
      </c>
      <c r="M543" t="s">
        <v>739</v>
      </c>
      <c r="Y543" t="s">
        <v>545</v>
      </c>
    </row>
    <row r="544" spans="1:25">
      <c r="A544" t="s">
        <v>688</v>
      </c>
      <c r="B544">
        <v>1971.792968001</v>
      </c>
      <c r="C544">
        <v>7.39942701800077</v>
      </c>
      <c r="D544" t="s">
        <v>18</v>
      </c>
      <c r="E544">
        <v>44</v>
      </c>
      <c r="Y544" t="s">
        <v>545</v>
      </c>
    </row>
    <row r="545" spans="1:25">
      <c r="A545" t="s">
        <v>688</v>
      </c>
      <c r="B545">
        <v>1979.1923950190001</v>
      </c>
      <c r="C545">
        <v>47.204367360310201</v>
      </c>
      <c r="D545" t="s">
        <v>10</v>
      </c>
      <c r="E545">
        <v>45</v>
      </c>
      <c r="Y545" t="s">
        <v>545</v>
      </c>
    </row>
    <row r="546" spans="1:25">
      <c r="A546" t="s">
        <v>688</v>
      </c>
      <c r="B546">
        <v>2023.3967623793101</v>
      </c>
      <c r="C546">
        <v>20.836681420689001</v>
      </c>
      <c r="D546" t="s">
        <v>9</v>
      </c>
      <c r="E546">
        <v>49</v>
      </c>
      <c r="Y546" t="s">
        <v>545</v>
      </c>
    </row>
    <row r="547" spans="1:25">
      <c r="A547" t="s">
        <v>688</v>
      </c>
      <c r="B547">
        <v>2024.1290477509999</v>
      </c>
      <c r="C547">
        <v>20.104396049000101</v>
      </c>
      <c r="D547" t="s">
        <v>42</v>
      </c>
      <c r="E547">
        <v>5</v>
      </c>
      <c r="R547" t="s">
        <v>20</v>
      </c>
      <c r="Y547" t="s">
        <v>545</v>
      </c>
    </row>
    <row r="548" spans="1:25">
      <c r="A548" t="s">
        <v>688</v>
      </c>
      <c r="B548">
        <v>2026.3967623793101</v>
      </c>
      <c r="C548">
        <v>1</v>
      </c>
      <c r="D548" t="s">
        <v>17</v>
      </c>
      <c r="E548">
        <v>4</v>
      </c>
      <c r="Y548" t="s">
        <v>545</v>
      </c>
    </row>
    <row r="549" spans="1:25">
      <c r="A549" t="s">
        <v>688</v>
      </c>
      <c r="B549">
        <v>2026.3967623793101</v>
      </c>
      <c r="C549">
        <v>72.537337661688895</v>
      </c>
      <c r="D549" t="s">
        <v>19</v>
      </c>
      <c r="E549">
        <v>46</v>
      </c>
      <c r="Y549" t="s">
        <v>545</v>
      </c>
    </row>
    <row r="550" spans="1:25">
      <c r="A550" t="s">
        <v>688</v>
      </c>
      <c r="B550">
        <v>2035.39651310764</v>
      </c>
      <c r="C550">
        <v>20</v>
      </c>
      <c r="D550" t="s">
        <v>626</v>
      </c>
      <c r="E550">
        <v>14</v>
      </c>
      <c r="I550" t="s">
        <v>440</v>
      </c>
      <c r="J550" t="s">
        <v>611</v>
      </c>
      <c r="M550" t="s">
        <v>438</v>
      </c>
      <c r="Y550" t="s">
        <v>545</v>
      </c>
    </row>
    <row r="551" spans="1:25">
      <c r="A551" t="s">
        <v>688</v>
      </c>
      <c r="B551">
        <v>2037.2334438</v>
      </c>
      <c r="C551">
        <v>16.999999999999702</v>
      </c>
      <c r="D551" t="s">
        <v>27</v>
      </c>
      <c r="E551">
        <v>29</v>
      </c>
      <c r="U551" t="s">
        <v>28</v>
      </c>
      <c r="Y551" t="s">
        <v>545</v>
      </c>
    </row>
    <row r="552" spans="1:25">
      <c r="A552" t="s">
        <v>688</v>
      </c>
      <c r="B552">
        <v>2039.7958176899799</v>
      </c>
      <c r="C552">
        <v>20</v>
      </c>
      <c r="D552" t="s">
        <v>642</v>
      </c>
      <c r="E552">
        <v>14</v>
      </c>
      <c r="I552" t="s">
        <v>442</v>
      </c>
      <c r="M552" t="s">
        <v>607</v>
      </c>
      <c r="Y552" t="s">
        <v>545</v>
      </c>
    </row>
    <row r="553" spans="1:25">
      <c r="A553" t="s">
        <v>688</v>
      </c>
      <c r="B553">
        <v>2041.2334438</v>
      </c>
      <c r="C553">
        <v>32.687450366999798</v>
      </c>
      <c r="D553" t="s">
        <v>18</v>
      </c>
      <c r="E553">
        <v>45</v>
      </c>
      <c r="Y553" t="s">
        <v>545</v>
      </c>
    </row>
    <row r="554" spans="1:25">
      <c r="A554" t="s">
        <v>688</v>
      </c>
      <c r="B554">
        <v>2044.29557919331</v>
      </c>
      <c r="C554">
        <v>20</v>
      </c>
      <c r="D554" t="s">
        <v>649</v>
      </c>
      <c r="E554">
        <v>23</v>
      </c>
      <c r="I554" t="s">
        <v>442</v>
      </c>
      <c r="M554" t="s">
        <v>607</v>
      </c>
      <c r="Y554" t="s">
        <v>545</v>
      </c>
    </row>
    <row r="555" spans="1:25">
      <c r="A555" t="s">
        <v>688</v>
      </c>
      <c r="B555">
        <v>2054.1961236089901</v>
      </c>
      <c r="C555">
        <v>20</v>
      </c>
      <c r="D555" t="s">
        <v>642</v>
      </c>
      <c r="E555">
        <v>15</v>
      </c>
      <c r="I555" t="s">
        <v>439</v>
      </c>
      <c r="M555" t="s">
        <v>748</v>
      </c>
      <c r="Y555" t="s">
        <v>545</v>
      </c>
    </row>
    <row r="556" spans="1:25">
      <c r="A556" t="s">
        <v>688</v>
      </c>
      <c r="B556">
        <v>2056.90544519166</v>
      </c>
      <c r="C556">
        <v>20</v>
      </c>
      <c r="D556" t="s">
        <v>649</v>
      </c>
      <c r="E556">
        <v>24</v>
      </c>
      <c r="I556" t="s">
        <v>646</v>
      </c>
      <c r="M556" t="s">
        <v>608</v>
      </c>
      <c r="Y556" t="s">
        <v>545</v>
      </c>
    </row>
    <row r="557" spans="1:25">
      <c r="A557" t="s">
        <v>688</v>
      </c>
      <c r="B557">
        <v>2060.8955488343299</v>
      </c>
      <c r="C557">
        <v>13.0253453326663</v>
      </c>
      <c r="D557" t="s">
        <v>32</v>
      </c>
      <c r="E557">
        <v>18</v>
      </c>
      <c r="R557" t="s">
        <v>23</v>
      </c>
      <c r="Y557" t="s">
        <v>545</v>
      </c>
    </row>
    <row r="558" spans="1:25">
      <c r="A558" t="s">
        <v>688</v>
      </c>
      <c r="B558">
        <v>2063.3899358773201</v>
      </c>
      <c r="C558">
        <v>20</v>
      </c>
      <c r="D558" t="s">
        <v>36</v>
      </c>
      <c r="E558">
        <v>9</v>
      </c>
      <c r="N558">
        <v>90</v>
      </c>
      <c r="O558">
        <v>61</v>
      </c>
      <c r="Q558" t="s">
        <v>700</v>
      </c>
      <c r="Y558" t="s">
        <v>545</v>
      </c>
    </row>
    <row r="559" spans="1:25">
      <c r="A559" t="s">
        <v>688</v>
      </c>
      <c r="B559">
        <v>2064.2963399443202</v>
      </c>
      <c r="C559">
        <v>20</v>
      </c>
      <c r="D559" t="s">
        <v>636</v>
      </c>
      <c r="E559">
        <v>18</v>
      </c>
      <c r="J559" t="s">
        <v>684</v>
      </c>
      <c r="K559" t="s">
        <v>441</v>
      </c>
      <c r="M559" t="s">
        <v>620</v>
      </c>
      <c r="Y559" t="s">
        <v>545</v>
      </c>
    </row>
    <row r="560" spans="1:25">
      <c r="A560" t="s">
        <v>688</v>
      </c>
      <c r="B560">
        <v>2064.3918936063201</v>
      </c>
      <c r="C560">
        <v>20</v>
      </c>
      <c r="D560" t="s">
        <v>36</v>
      </c>
      <c r="E560">
        <v>10</v>
      </c>
      <c r="N560">
        <v>91</v>
      </c>
      <c r="O560">
        <v>48</v>
      </c>
      <c r="Q560" t="s">
        <v>701</v>
      </c>
      <c r="Y560" t="s">
        <v>545</v>
      </c>
    </row>
    <row r="561" spans="1:25">
      <c r="A561" t="s">
        <v>688</v>
      </c>
      <c r="B561">
        <v>2066.9208941669999</v>
      </c>
      <c r="C561">
        <v>17</v>
      </c>
      <c r="D561" t="s">
        <v>40</v>
      </c>
      <c r="E561">
        <v>16</v>
      </c>
      <c r="U561" t="s">
        <v>14</v>
      </c>
      <c r="Y561" t="s">
        <v>545</v>
      </c>
    </row>
    <row r="562" spans="1:25">
      <c r="A562" t="s">
        <v>688</v>
      </c>
      <c r="B562">
        <v>2066.9945849989899</v>
      </c>
      <c r="C562">
        <v>20</v>
      </c>
      <c r="D562" t="s">
        <v>135</v>
      </c>
      <c r="E562">
        <v>9</v>
      </c>
      <c r="Y562" t="s">
        <v>545</v>
      </c>
    </row>
    <row r="563" spans="1:25">
      <c r="A563" t="s">
        <v>688</v>
      </c>
      <c r="B563">
        <v>2068.3899358773201</v>
      </c>
      <c r="C563">
        <v>15</v>
      </c>
      <c r="D563" t="s">
        <v>35</v>
      </c>
      <c r="E563">
        <v>9</v>
      </c>
      <c r="Y563" t="s">
        <v>545</v>
      </c>
    </row>
    <row r="564" spans="1:25">
      <c r="A564" t="s">
        <v>688</v>
      </c>
      <c r="B564">
        <v>2068.6950955116599</v>
      </c>
      <c r="C564">
        <v>20</v>
      </c>
      <c r="D564" t="s">
        <v>622</v>
      </c>
      <c r="E564">
        <v>15</v>
      </c>
      <c r="H564" t="s">
        <v>435</v>
      </c>
      <c r="L564" t="s">
        <v>37</v>
      </c>
      <c r="Y564" t="s">
        <v>545</v>
      </c>
    </row>
    <row r="565" spans="1:25">
      <c r="A565" t="s">
        <v>688</v>
      </c>
      <c r="B565">
        <v>2069.3918936063201</v>
      </c>
      <c r="C565">
        <v>15</v>
      </c>
      <c r="D565" t="s">
        <v>35</v>
      </c>
      <c r="E565">
        <v>10</v>
      </c>
      <c r="Y565" t="s">
        <v>545</v>
      </c>
    </row>
    <row r="566" spans="1:25">
      <c r="A566" t="s">
        <v>688</v>
      </c>
      <c r="B566">
        <v>2069.716810938</v>
      </c>
      <c r="C566">
        <v>17</v>
      </c>
      <c r="D566" t="s">
        <v>27</v>
      </c>
      <c r="E566">
        <v>30</v>
      </c>
      <c r="U566" t="s">
        <v>602</v>
      </c>
      <c r="Y566" t="s">
        <v>545</v>
      </c>
    </row>
    <row r="567" spans="1:25">
      <c r="A567" t="s">
        <v>688</v>
      </c>
      <c r="B567">
        <v>2070.59544860697</v>
      </c>
      <c r="C567">
        <v>20</v>
      </c>
      <c r="D567" t="s">
        <v>761</v>
      </c>
      <c r="E567">
        <v>7</v>
      </c>
      <c r="L567" t="s">
        <v>37</v>
      </c>
      <c r="Y567" t="s">
        <v>545</v>
      </c>
    </row>
    <row r="568" spans="1:25">
      <c r="A568" t="s">
        <v>688</v>
      </c>
      <c r="B568">
        <v>2070.9208941669999</v>
      </c>
      <c r="C568">
        <v>5.7959167710000603</v>
      </c>
      <c r="D568" t="s">
        <v>9</v>
      </c>
      <c r="E568">
        <v>50</v>
      </c>
      <c r="Y568" t="s">
        <v>545</v>
      </c>
    </row>
    <row r="569" spans="1:25">
      <c r="A569" t="s">
        <v>688</v>
      </c>
      <c r="B569">
        <v>2073.716810938</v>
      </c>
      <c r="C569">
        <v>7.7797929559815202</v>
      </c>
      <c r="D569" t="s">
        <v>18</v>
      </c>
      <c r="E569">
        <v>46</v>
      </c>
      <c r="Y569" t="s">
        <v>545</v>
      </c>
    </row>
    <row r="570" spans="1:25">
      <c r="A570" t="s">
        <v>688</v>
      </c>
      <c r="B570">
        <v>2074.4966038939801</v>
      </c>
      <c r="C570">
        <v>17</v>
      </c>
      <c r="D570" t="s">
        <v>40</v>
      </c>
      <c r="E570">
        <v>17</v>
      </c>
      <c r="U570" t="s">
        <v>14</v>
      </c>
      <c r="Y570" t="s">
        <v>545</v>
      </c>
    </row>
    <row r="571" spans="1:25">
      <c r="A571" t="s">
        <v>688</v>
      </c>
      <c r="B571">
        <v>2078.4966038939801</v>
      </c>
      <c r="C571">
        <v>20.4374961470184</v>
      </c>
      <c r="D571" t="s">
        <v>9</v>
      </c>
      <c r="E571">
        <v>51</v>
      </c>
      <c r="Y571" t="s">
        <v>545</v>
      </c>
    </row>
    <row r="572" spans="1:25">
      <c r="A572" t="s">
        <v>688</v>
      </c>
      <c r="B572">
        <v>2085.7984865773401</v>
      </c>
      <c r="C572">
        <v>13.135613463658901</v>
      </c>
      <c r="D572" t="s">
        <v>427</v>
      </c>
      <c r="E572">
        <v>14</v>
      </c>
      <c r="R572" t="s">
        <v>20</v>
      </c>
      <c r="S572" t="s">
        <v>454</v>
      </c>
      <c r="Y572" t="s">
        <v>545</v>
      </c>
    </row>
    <row r="573" spans="1:25">
      <c r="A573" t="s">
        <v>688</v>
      </c>
      <c r="B573">
        <v>2098.934100041</v>
      </c>
      <c r="C573">
        <v>10.3566434409999</v>
      </c>
      <c r="D573" t="s">
        <v>10</v>
      </c>
      <c r="E573">
        <v>46</v>
      </c>
      <c r="Y573" t="s">
        <v>545</v>
      </c>
    </row>
    <row r="574" spans="1:25">
      <c r="A574" t="s">
        <v>688</v>
      </c>
      <c r="B574">
        <v>2100.7923159453098</v>
      </c>
      <c r="C574">
        <v>20</v>
      </c>
      <c r="D574" t="s">
        <v>738</v>
      </c>
      <c r="E574">
        <v>26</v>
      </c>
      <c r="I574" t="s">
        <v>442</v>
      </c>
      <c r="M574" t="s">
        <v>607</v>
      </c>
      <c r="Y574" t="s">
        <v>545</v>
      </c>
    </row>
    <row r="575" spans="1:25">
      <c r="A575" t="s">
        <v>688</v>
      </c>
      <c r="B575">
        <v>2102.2907434819999</v>
      </c>
      <c r="C575">
        <v>17</v>
      </c>
      <c r="D575" t="s">
        <v>6</v>
      </c>
      <c r="E575">
        <v>15</v>
      </c>
      <c r="T575" t="s">
        <v>21</v>
      </c>
      <c r="U575" t="s">
        <v>195</v>
      </c>
      <c r="Y575" t="s">
        <v>545</v>
      </c>
    </row>
    <row r="576" spans="1:25">
      <c r="A576" t="s">
        <v>688</v>
      </c>
      <c r="B576">
        <v>2104.9962603989702</v>
      </c>
      <c r="C576">
        <v>20</v>
      </c>
      <c r="D576" t="s">
        <v>649</v>
      </c>
      <c r="E576">
        <v>25</v>
      </c>
      <c r="H576" t="s">
        <v>450</v>
      </c>
      <c r="I576" t="s">
        <v>646</v>
      </c>
      <c r="M576" t="s">
        <v>608</v>
      </c>
      <c r="Y576" t="s">
        <v>545</v>
      </c>
    </row>
    <row r="577" spans="1:25">
      <c r="A577" t="s">
        <v>688</v>
      </c>
      <c r="B577">
        <v>2106.2907434819999</v>
      </c>
      <c r="C577">
        <v>14.905220458651399</v>
      </c>
      <c r="D577" t="s">
        <v>18</v>
      </c>
      <c r="E577">
        <v>47</v>
      </c>
      <c r="Y577" t="s">
        <v>545</v>
      </c>
    </row>
    <row r="578" spans="1:25">
      <c r="A578" t="s">
        <v>688</v>
      </c>
      <c r="B578">
        <v>2109.0959241406299</v>
      </c>
      <c r="C578">
        <v>12.1000398000182</v>
      </c>
      <c r="D578" t="s">
        <v>32</v>
      </c>
      <c r="E578">
        <v>19</v>
      </c>
      <c r="R578" t="s">
        <v>23</v>
      </c>
      <c r="Y578" t="s">
        <v>545</v>
      </c>
    </row>
    <row r="579" spans="1:25">
      <c r="A579" t="s">
        <v>688</v>
      </c>
      <c r="B579">
        <v>2109.2907434819999</v>
      </c>
      <c r="C579">
        <v>11.905220458651399</v>
      </c>
      <c r="D579" t="s">
        <v>19</v>
      </c>
      <c r="E579">
        <v>47</v>
      </c>
      <c r="Y579" t="s">
        <v>545</v>
      </c>
    </row>
    <row r="580" spans="1:25">
      <c r="A580" t="s">
        <v>688</v>
      </c>
      <c r="B580">
        <v>2121.19596394065</v>
      </c>
      <c r="C580">
        <v>13.9427072523485</v>
      </c>
      <c r="D580" t="s">
        <v>10</v>
      </c>
      <c r="E580">
        <v>47</v>
      </c>
      <c r="Y580" t="s">
        <v>545</v>
      </c>
    </row>
    <row r="581" spans="1:25">
      <c r="A581" t="s">
        <v>688</v>
      </c>
      <c r="B581">
        <v>2128.1386711929999</v>
      </c>
      <c r="C581">
        <v>17</v>
      </c>
      <c r="D581" t="s">
        <v>11</v>
      </c>
      <c r="E581">
        <v>28</v>
      </c>
      <c r="T581" t="s">
        <v>16</v>
      </c>
      <c r="Y581" t="s">
        <v>545</v>
      </c>
    </row>
    <row r="582" spans="1:25">
      <c r="A582" t="s">
        <v>688</v>
      </c>
      <c r="B582">
        <v>2131.0925242983199</v>
      </c>
      <c r="C582">
        <v>15.365551957673601</v>
      </c>
      <c r="D582" t="s">
        <v>427</v>
      </c>
      <c r="E582">
        <v>15</v>
      </c>
      <c r="R582" t="s">
        <v>20</v>
      </c>
      <c r="S582" t="s">
        <v>43</v>
      </c>
      <c r="Y582" t="s">
        <v>545</v>
      </c>
    </row>
    <row r="583" spans="1:25">
      <c r="A583" t="s">
        <v>688</v>
      </c>
      <c r="B583">
        <v>2132.1386711929999</v>
      </c>
      <c r="C583">
        <v>3</v>
      </c>
      <c r="D583" t="s">
        <v>18</v>
      </c>
      <c r="E583">
        <v>48</v>
      </c>
      <c r="Y583" t="s">
        <v>545</v>
      </c>
    </row>
    <row r="584" spans="1:25">
      <c r="A584" t="s">
        <v>688</v>
      </c>
      <c r="B584">
        <v>2132.1386711929999</v>
      </c>
      <c r="C584">
        <v>14.3194050629999</v>
      </c>
      <c r="D584" t="s">
        <v>9</v>
      </c>
      <c r="E584">
        <v>52</v>
      </c>
      <c r="Y584" t="s">
        <v>545</v>
      </c>
    </row>
    <row r="585" spans="1:25">
      <c r="A585" t="s">
        <v>688</v>
      </c>
      <c r="B585">
        <v>2135.1386711929999</v>
      </c>
      <c r="C585">
        <v>128.45891273332199</v>
      </c>
      <c r="D585" t="s">
        <v>19</v>
      </c>
      <c r="E585">
        <v>48</v>
      </c>
      <c r="Y585" t="s">
        <v>545</v>
      </c>
    </row>
    <row r="586" spans="1:25">
      <c r="A586" t="s">
        <v>688</v>
      </c>
      <c r="B586">
        <v>2135.9907989559701</v>
      </c>
      <c r="C586">
        <v>20</v>
      </c>
      <c r="D586" t="s">
        <v>645</v>
      </c>
      <c r="E586">
        <v>20</v>
      </c>
      <c r="I586" t="s">
        <v>442</v>
      </c>
      <c r="J586" t="s">
        <v>639</v>
      </c>
      <c r="M586" t="s">
        <v>544</v>
      </c>
      <c r="Y586" t="s">
        <v>545</v>
      </c>
    </row>
    <row r="587" spans="1:25">
      <c r="A587" t="s">
        <v>688</v>
      </c>
      <c r="B587">
        <v>2136.3907166489798</v>
      </c>
      <c r="C587">
        <v>20</v>
      </c>
      <c r="D587" t="s">
        <v>36</v>
      </c>
      <c r="E587">
        <v>11</v>
      </c>
      <c r="N587">
        <v>94</v>
      </c>
      <c r="O587">
        <v>59</v>
      </c>
      <c r="Q587" t="s">
        <v>702</v>
      </c>
      <c r="Y587" t="s">
        <v>545</v>
      </c>
    </row>
    <row r="588" spans="1:25">
      <c r="A588" t="s">
        <v>688</v>
      </c>
      <c r="B588">
        <v>2137.8956685673102</v>
      </c>
      <c r="C588">
        <v>20</v>
      </c>
      <c r="D588" t="s">
        <v>647</v>
      </c>
      <c r="E588">
        <v>13</v>
      </c>
      <c r="H588" t="s">
        <v>721</v>
      </c>
      <c r="I588" t="s">
        <v>613</v>
      </c>
      <c r="M588" t="s">
        <v>637</v>
      </c>
      <c r="Y588" t="s">
        <v>545</v>
      </c>
    </row>
    <row r="589" spans="1:25">
      <c r="A589" t="s">
        <v>688</v>
      </c>
      <c r="B589">
        <v>2139.4580762559999</v>
      </c>
      <c r="C589">
        <v>17</v>
      </c>
      <c r="D589" t="s">
        <v>27</v>
      </c>
      <c r="E589">
        <v>31</v>
      </c>
      <c r="U589" t="s">
        <v>14</v>
      </c>
      <c r="Y589" t="s">
        <v>545</v>
      </c>
    </row>
    <row r="590" spans="1:25">
      <c r="A590" t="s">
        <v>688</v>
      </c>
      <c r="B590">
        <v>2141.3907166489798</v>
      </c>
      <c r="C590">
        <v>15</v>
      </c>
      <c r="D590" t="s">
        <v>35</v>
      </c>
      <c r="E590">
        <v>11</v>
      </c>
      <c r="Y590" t="s">
        <v>545</v>
      </c>
    </row>
    <row r="591" spans="1:25">
      <c r="A591" t="s">
        <v>688</v>
      </c>
      <c r="B591">
        <v>2141.5929042339999</v>
      </c>
      <c r="C591">
        <v>20</v>
      </c>
      <c r="D591" t="s">
        <v>645</v>
      </c>
      <c r="E591">
        <v>21</v>
      </c>
      <c r="L591" t="s">
        <v>51</v>
      </c>
      <c r="Y591" t="s">
        <v>545</v>
      </c>
    </row>
    <row r="592" spans="1:25">
      <c r="A592" t="s">
        <v>688</v>
      </c>
      <c r="B592">
        <v>2143.4580762559999</v>
      </c>
      <c r="C592">
        <v>12.9332709113318</v>
      </c>
      <c r="D592" t="s">
        <v>18</v>
      </c>
      <c r="E592">
        <v>49</v>
      </c>
      <c r="Y592" t="s">
        <v>545</v>
      </c>
    </row>
    <row r="593" spans="1:25">
      <c r="A593" t="s">
        <v>688</v>
      </c>
      <c r="B593">
        <v>2149.39134716733</v>
      </c>
      <c r="C593">
        <v>17</v>
      </c>
      <c r="D593" t="s">
        <v>40</v>
      </c>
      <c r="E593">
        <v>18</v>
      </c>
      <c r="U593" t="s">
        <v>14</v>
      </c>
      <c r="Y593" t="s">
        <v>545</v>
      </c>
    </row>
    <row r="594" spans="1:25">
      <c r="A594" t="s">
        <v>688</v>
      </c>
      <c r="B594">
        <v>2152.7957479440001</v>
      </c>
      <c r="C594">
        <v>20</v>
      </c>
      <c r="D594" t="s">
        <v>738</v>
      </c>
      <c r="E594">
        <v>27</v>
      </c>
      <c r="I594" t="s">
        <v>442</v>
      </c>
      <c r="M594" t="s">
        <v>438</v>
      </c>
      <c r="Y594" t="s">
        <v>545</v>
      </c>
    </row>
    <row r="595" spans="1:25">
      <c r="A595" t="s">
        <v>688</v>
      </c>
      <c r="B595">
        <v>2153.39134716733</v>
      </c>
      <c r="C595">
        <v>10.0051421606817</v>
      </c>
      <c r="D595" t="s">
        <v>9</v>
      </c>
      <c r="E595">
        <v>53</v>
      </c>
      <c r="Y595" t="s">
        <v>545</v>
      </c>
    </row>
    <row r="596" spans="1:25">
      <c r="A596" t="s">
        <v>688</v>
      </c>
      <c r="B596">
        <v>2153.7927671933198</v>
      </c>
      <c r="C596">
        <v>20</v>
      </c>
      <c r="D596" t="s">
        <v>636</v>
      </c>
      <c r="E596">
        <v>19</v>
      </c>
      <c r="H596" t="s">
        <v>628</v>
      </c>
      <c r="I596" t="s">
        <v>677</v>
      </c>
      <c r="M596" t="s">
        <v>678</v>
      </c>
      <c r="Y596" t="s">
        <v>545</v>
      </c>
    </row>
    <row r="597" spans="1:25">
      <c r="A597" t="s">
        <v>688</v>
      </c>
      <c r="B597">
        <v>2156.3964893280099</v>
      </c>
      <c r="C597">
        <v>17</v>
      </c>
      <c r="D597" t="s">
        <v>27</v>
      </c>
      <c r="E597">
        <v>32</v>
      </c>
      <c r="U597" t="s">
        <v>195</v>
      </c>
      <c r="Y597" t="s">
        <v>545</v>
      </c>
    </row>
    <row r="598" spans="1:25">
      <c r="A598" t="s">
        <v>688</v>
      </c>
      <c r="B598">
        <v>2157.8971989843099</v>
      </c>
      <c r="C598">
        <v>20</v>
      </c>
      <c r="D598" t="s">
        <v>626</v>
      </c>
      <c r="E598">
        <v>15</v>
      </c>
      <c r="H598" t="s">
        <v>628</v>
      </c>
      <c r="I598" t="s">
        <v>440</v>
      </c>
      <c r="M598" t="s">
        <v>607</v>
      </c>
      <c r="Y598" t="s">
        <v>545</v>
      </c>
    </row>
    <row r="599" spans="1:25">
      <c r="A599" t="s">
        <v>688</v>
      </c>
      <c r="B599">
        <v>2160.3964893280099</v>
      </c>
      <c r="C599">
        <v>37.398500389308502</v>
      </c>
      <c r="D599" t="s">
        <v>18</v>
      </c>
      <c r="E599">
        <v>50</v>
      </c>
      <c r="Y599" t="s">
        <v>545</v>
      </c>
    </row>
    <row r="600" spans="1:25">
      <c r="A600" t="s">
        <v>688</v>
      </c>
      <c r="B600">
        <v>2164.1915912783202</v>
      </c>
      <c r="C600">
        <v>20</v>
      </c>
      <c r="D600" t="s">
        <v>642</v>
      </c>
      <c r="E600">
        <v>16</v>
      </c>
      <c r="I600" t="s">
        <v>442</v>
      </c>
      <c r="M600" t="s">
        <v>607</v>
      </c>
      <c r="Y600" t="s">
        <v>545</v>
      </c>
    </row>
    <row r="601" spans="1:25">
      <c r="A601" t="s">
        <v>688</v>
      </c>
      <c r="B601">
        <v>2172.7931693243299</v>
      </c>
      <c r="C601">
        <v>20</v>
      </c>
      <c r="D601" t="s">
        <v>649</v>
      </c>
      <c r="E601">
        <v>26</v>
      </c>
      <c r="I601" t="s">
        <v>442</v>
      </c>
      <c r="M601" t="s">
        <v>607</v>
      </c>
      <c r="Y601" t="s">
        <v>545</v>
      </c>
    </row>
    <row r="602" spans="1:25">
      <c r="A602" t="s">
        <v>688</v>
      </c>
      <c r="B602">
        <v>2176.3952541406402</v>
      </c>
      <c r="C602">
        <v>20</v>
      </c>
      <c r="D602" t="s">
        <v>642</v>
      </c>
      <c r="E602">
        <v>17</v>
      </c>
      <c r="I602" t="s">
        <v>442</v>
      </c>
      <c r="M602" t="s">
        <v>607</v>
      </c>
      <c r="Y602" t="s">
        <v>545</v>
      </c>
    </row>
    <row r="603" spans="1:25">
      <c r="A603" t="s">
        <v>688</v>
      </c>
      <c r="B603">
        <v>2179.3946344073001</v>
      </c>
      <c r="C603">
        <v>20</v>
      </c>
      <c r="D603" t="s">
        <v>738</v>
      </c>
      <c r="E603">
        <v>28</v>
      </c>
      <c r="I603" t="s">
        <v>447</v>
      </c>
      <c r="M603" t="s">
        <v>608</v>
      </c>
      <c r="Y603" t="s">
        <v>545</v>
      </c>
    </row>
    <row r="604" spans="1:25">
      <c r="A604" t="s">
        <v>688</v>
      </c>
      <c r="B604">
        <v>2183.5953036933502</v>
      </c>
      <c r="C604">
        <v>14.1996860239719</v>
      </c>
      <c r="D604" t="s">
        <v>32</v>
      </c>
      <c r="E604">
        <v>20</v>
      </c>
      <c r="R604" t="s">
        <v>23</v>
      </c>
      <c r="Y604" t="s">
        <v>545</v>
      </c>
    </row>
    <row r="605" spans="1:25">
      <c r="A605" t="s">
        <v>688</v>
      </c>
      <c r="B605">
        <v>2185.1958406599701</v>
      </c>
      <c r="C605">
        <v>20</v>
      </c>
      <c r="D605" t="s">
        <v>654</v>
      </c>
      <c r="E605">
        <v>15</v>
      </c>
      <c r="I605" t="s">
        <v>646</v>
      </c>
      <c r="M605" t="s">
        <v>443</v>
      </c>
      <c r="Y605" t="s">
        <v>545</v>
      </c>
    </row>
    <row r="606" spans="1:25">
      <c r="A606" t="s">
        <v>688</v>
      </c>
      <c r="B606">
        <v>2190.7949897173198</v>
      </c>
      <c r="C606">
        <v>17</v>
      </c>
      <c r="D606" t="s">
        <v>40</v>
      </c>
      <c r="E606">
        <v>19</v>
      </c>
      <c r="U606" t="s">
        <v>14</v>
      </c>
      <c r="Y606" t="s">
        <v>545</v>
      </c>
    </row>
    <row r="607" spans="1:25">
      <c r="A607" t="s">
        <v>688</v>
      </c>
      <c r="B607">
        <v>2194.7949897173198</v>
      </c>
      <c r="C607">
        <v>11.9959470296498</v>
      </c>
      <c r="D607" t="s">
        <v>9</v>
      </c>
      <c r="E607">
        <v>54</v>
      </c>
      <c r="Y607" t="s">
        <v>545</v>
      </c>
    </row>
    <row r="608" spans="1:25">
      <c r="A608" t="s">
        <v>688</v>
      </c>
      <c r="B608">
        <v>2195.7650069060001</v>
      </c>
      <c r="C608">
        <v>20</v>
      </c>
      <c r="D608" t="s">
        <v>632</v>
      </c>
      <c r="E608">
        <v>27</v>
      </c>
      <c r="J608" t="s">
        <v>639</v>
      </c>
      <c r="Y608" t="s">
        <v>545</v>
      </c>
    </row>
    <row r="609" spans="1:25">
      <c r="A609" t="s">
        <v>688</v>
      </c>
      <c r="B609">
        <v>2196.7375189879999</v>
      </c>
      <c r="C609">
        <v>10.053417758972</v>
      </c>
      <c r="D609" t="s">
        <v>427</v>
      </c>
      <c r="E609">
        <v>16</v>
      </c>
      <c r="R609" t="s">
        <v>20</v>
      </c>
      <c r="S609" t="s">
        <v>43</v>
      </c>
      <c r="Y609" t="s">
        <v>545</v>
      </c>
    </row>
    <row r="610" spans="1:25">
      <c r="A610" t="s">
        <v>688</v>
      </c>
      <c r="B610">
        <v>2198.1963229973198</v>
      </c>
      <c r="C610">
        <v>20</v>
      </c>
      <c r="D610" t="s">
        <v>622</v>
      </c>
      <c r="E610">
        <v>16</v>
      </c>
      <c r="I610" t="s">
        <v>723</v>
      </c>
      <c r="M610" t="s">
        <v>634</v>
      </c>
      <c r="Y610" t="s">
        <v>545</v>
      </c>
    </row>
    <row r="611" spans="1:25">
      <c r="A611" t="s">
        <v>688</v>
      </c>
      <c r="B611">
        <v>2199.7909367469701</v>
      </c>
      <c r="C611">
        <v>17</v>
      </c>
      <c r="D611" t="s">
        <v>27</v>
      </c>
      <c r="E611">
        <v>33</v>
      </c>
      <c r="U611" t="s">
        <v>195</v>
      </c>
      <c r="Y611" t="s">
        <v>545</v>
      </c>
    </row>
    <row r="612" spans="1:25">
      <c r="A612" t="s">
        <v>688</v>
      </c>
      <c r="B612">
        <v>2202.2954839133199</v>
      </c>
      <c r="C612">
        <v>20</v>
      </c>
      <c r="D612" t="s">
        <v>649</v>
      </c>
      <c r="E612">
        <v>27</v>
      </c>
      <c r="I612" t="s">
        <v>442</v>
      </c>
      <c r="M612" t="s">
        <v>607</v>
      </c>
      <c r="Y612" t="s">
        <v>545</v>
      </c>
    </row>
    <row r="613" spans="1:25">
      <c r="A613" t="s">
        <v>688</v>
      </c>
      <c r="B613">
        <v>2203.7909367469701</v>
      </c>
      <c r="C613">
        <v>37.500569360360203</v>
      </c>
      <c r="D613" t="s">
        <v>18</v>
      </c>
      <c r="E613">
        <v>51</v>
      </c>
      <c r="Y613" t="s">
        <v>545</v>
      </c>
    </row>
    <row r="614" spans="1:25">
      <c r="A614" t="s">
        <v>688</v>
      </c>
      <c r="B614">
        <v>2213.8960131136701</v>
      </c>
      <c r="C614">
        <v>20</v>
      </c>
      <c r="D614" t="s">
        <v>738</v>
      </c>
      <c r="E614">
        <v>29</v>
      </c>
      <c r="I614" t="s">
        <v>442</v>
      </c>
      <c r="M614" t="s">
        <v>607</v>
      </c>
      <c r="Y614" t="s">
        <v>545</v>
      </c>
    </row>
    <row r="615" spans="1:25">
      <c r="A615" t="s">
        <v>688</v>
      </c>
      <c r="B615">
        <v>2214.09571251434</v>
      </c>
      <c r="C615">
        <v>34.964779439820603</v>
      </c>
      <c r="D615" t="s">
        <v>32</v>
      </c>
      <c r="E615">
        <v>21</v>
      </c>
      <c r="R615" t="s">
        <v>20</v>
      </c>
      <c r="Y615" t="s">
        <v>545</v>
      </c>
    </row>
    <row r="616" spans="1:25">
      <c r="A616" t="s">
        <v>688</v>
      </c>
      <c r="B616">
        <v>2216.0897990743301</v>
      </c>
      <c r="C616">
        <v>20</v>
      </c>
      <c r="D616" t="s">
        <v>649</v>
      </c>
      <c r="E616">
        <v>28</v>
      </c>
      <c r="I616" t="s">
        <v>440</v>
      </c>
      <c r="M616" t="s">
        <v>607</v>
      </c>
      <c r="Y616" t="s">
        <v>545</v>
      </c>
    </row>
    <row r="617" spans="1:25">
      <c r="A617" t="s">
        <v>688</v>
      </c>
      <c r="B617">
        <v>2218.6968793043202</v>
      </c>
      <c r="C617">
        <v>20</v>
      </c>
      <c r="D617" t="s">
        <v>642</v>
      </c>
      <c r="E617">
        <v>18</v>
      </c>
      <c r="H617" t="s">
        <v>5</v>
      </c>
      <c r="I617" t="s">
        <v>644</v>
      </c>
      <c r="M617" t="s">
        <v>749</v>
      </c>
      <c r="Y617" t="s">
        <v>545</v>
      </c>
    </row>
    <row r="618" spans="1:25">
      <c r="A618" t="s">
        <v>688</v>
      </c>
      <c r="B618">
        <v>2220.6976699706402</v>
      </c>
      <c r="C618">
        <v>20</v>
      </c>
      <c r="D618" t="s">
        <v>738</v>
      </c>
      <c r="E618">
        <v>30</v>
      </c>
      <c r="H618" t="s">
        <v>5</v>
      </c>
      <c r="I618" t="s">
        <v>439</v>
      </c>
      <c r="M618" t="s">
        <v>629</v>
      </c>
      <c r="Y618" t="s">
        <v>545</v>
      </c>
    </row>
    <row r="619" spans="1:25">
      <c r="A619" t="s">
        <v>688</v>
      </c>
      <c r="B619">
        <v>2224.39719520163</v>
      </c>
      <c r="C619">
        <v>20</v>
      </c>
      <c r="D619" t="s">
        <v>626</v>
      </c>
      <c r="E619">
        <v>16</v>
      </c>
      <c r="H619" t="s">
        <v>742</v>
      </c>
      <c r="I619" t="s">
        <v>53</v>
      </c>
      <c r="M619" t="s">
        <v>614</v>
      </c>
      <c r="Y619" t="s">
        <v>545</v>
      </c>
    </row>
    <row r="620" spans="1:25">
      <c r="A620" t="s">
        <v>688</v>
      </c>
      <c r="B620">
        <v>2232.8665478759999</v>
      </c>
      <c r="C620">
        <v>20</v>
      </c>
      <c r="D620" t="s">
        <v>135</v>
      </c>
      <c r="E620">
        <v>10</v>
      </c>
      <c r="Y620" t="s">
        <v>545</v>
      </c>
    </row>
    <row r="621" spans="1:25">
      <c r="A621" t="s">
        <v>688</v>
      </c>
      <c r="B621">
        <v>2233.7576743730001</v>
      </c>
      <c r="C621">
        <v>20</v>
      </c>
      <c r="D621" t="s">
        <v>34</v>
      </c>
      <c r="E621">
        <v>6</v>
      </c>
      <c r="R621" t="s">
        <v>20</v>
      </c>
      <c r="Y621" t="s">
        <v>545</v>
      </c>
    </row>
    <row r="622" spans="1:25">
      <c r="A622" t="s">
        <v>688</v>
      </c>
      <c r="B622">
        <v>2235.6016676190002</v>
      </c>
      <c r="C622">
        <v>20</v>
      </c>
      <c r="D622" t="s">
        <v>647</v>
      </c>
      <c r="E622">
        <v>14</v>
      </c>
      <c r="L622" t="s">
        <v>448</v>
      </c>
      <c r="M622" t="s">
        <v>544</v>
      </c>
      <c r="Y622" t="s">
        <v>545</v>
      </c>
    </row>
    <row r="623" spans="1:25">
      <c r="A623" t="s">
        <v>688</v>
      </c>
      <c r="B623">
        <v>2237.4957075309899</v>
      </c>
      <c r="C623">
        <v>12.699810869997201</v>
      </c>
      <c r="D623" t="s">
        <v>18</v>
      </c>
      <c r="E623">
        <v>52</v>
      </c>
      <c r="Y623" t="s">
        <v>545</v>
      </c>
    </row>
    <row r="624" spans="1:25">
      <c r="A624" t="s">
        <v>688</v>
      </c>
      <c r="B624">
        <v>2238.29150610733</v>
      </c>
      <c r="C624">
        <v>2.2042014236594598</v>
      </c>
      <c r="D624" t="s">
        <v>9</v>
      </c>
      <c r="E624">
        <v>55</v>
      </c>
      <c r="Y624" t="s">
        <v>545</v>
      </c>
    </row>
    <row r="625" spans="1:25">
      <c r="A625" t="s">
        <v>688</v>
      </c>
      <c r="B625">
        <v>2244.5225042520001</v>
      </c>
      <c r="C625">
        <v>17</v>
      </c>
      <c r="D625" t="s">
        <v>40</v>
      </c>
      <c r="E625">
        <v>20</v>
      </c>
      <c r="U625" t="s">
        <v>14</v>
      </c>
      <c r="Y625" t="s">
        <v>545</v>
      </c>
    </row>
    <row r="626" spans="1:25">
      <c r="A626" t="s">
        <v>688</v>
      </c>
      <c r="B626">
        <v>2247.1955184009798</v>
      </c>
      <c r="C626">
        <v>16.402065525333899</v>
      </c>
      <c r="D626" t="s">
        <v>9</v>
      </c>
      <c r="E626">
        <v>56</v>
      </c>
      <c r="Y626" t="s">
        <v>545</v>
      </c>
    </row>
    <row r="627" spans="1:25">
      <c r="A627" t="s">
        <v>688</v>
      </c>
      <c r="B627">
        <v>2260.9931838023199</v>
      </c>
      <c r="C627">
        <v>17</v>
      </c>
      <c r="D627" t="s">
        <v>6</v>
      </c>
      <c r="E627">
        <v>16</v>
      </c>
      <c r="T627" t="s">
        <v>21</v>
      </c>
      <c r="U627" t="s">
        <v>28</v>
      </c>
      <c r="Y627" t="s">
        <v>545</v>
      </c>
    </row>
    <row r="628" spans="1:25">
      <c r="A628" t="s">
        <v>688</v>
      </c>
      <c r="B628">
        <v>2261.2961468503299</v>
      </c>
      <c r="C628">
        <v>20</v>
      </c>
      <c r="D628" t="s">
        <v>649</v>
      </c>
      <c r="E628">
        <v>29</v>
      </c>
      <c r="I628" t="s">
        <v>442</v>
      </c>
      <c r="M628" t="s">
        <v>607</v>
      </c>
      <c r="Y628" t="s">
        <v>545</v>
      </c>
    </row>
    <row r="629" spans="1:25">
      <c r="A629" t="s">
        <v>688</v>
      </c>
      <c r="B629">
        <v>2263.5975839263201</v>
      </c>
      <c r="C629">
        <v>4.3955998759970498</v>
      </c>
      <c r="D629" t="s">
        <v>10</v>
      </c>
      <c r="E629">
        <v>48</v>
      </c>
      <c r="Y629" t="s">
        <v>545</v>
      </c>
    </row>
    <row r="630" spans="1:25">
      <c r="A630" t="s">
        <v>688</v>
      </c>
      <c r="B630">
        <v>2264.9931838023199</v>
      </c>
      <c r="C630">
        <v>52.198310292356801</v>
      </c>
      <c r="D630" t="s">
        <v>18</v>
      </c>
      <c r="E630">
        <v>53</v>
      </c>
      <c r="Y630" t="s">
        <v>545</v>
      </c>
    </row>
    <row r="631" spans="1:25">
      <c r="A631" t="s">
        <v>688</v>
      </c>
      <c r="B631">
        <v>2267.9931838023199</v>
      </c>
      <c r="C631">
        <v>73.302781383340502</v>
      </c>
      <c r="D631" t="s">
        <v>19</v>
      </c>
      <c r="E631">
        <v>49</v>
      </c>
      <c r="Y631" t="s">
        <v>545</v>
      </c>
    </row>
    <row r="632" spans="1:25">
      <c r="A632" t="s">
        <v>688</v>
      </c>
      <c r="B632">
        <v>2268.3924068123301</v>
      </c>
      <c r="C632">
        <v>20</v>
      </c>
      <c r="D632" t="s">
        <v>642</v>
      </c>
      <c r="E632">
        <v>19</v>
      </c>
      <c r="I632" t="s">
        <v>442</v>
      </c>
      <c r="M632" t="s">
        <v>607</v>
      </c>
      <c r="Y632" t="s">
        <v>545</v>
      </c>
    </row>
    <row r="633" spans="1:25">
      <c r="A633" t="s">
        <v>688</v>
      </c>
      <c r="B633">
        <v>2277.4945340659701</v>
      </c>
      <c r="C633">
        <v>20</v>
      </c>
      <c r="D633" t="s">
        <v>649</v>
      </c>
      <c r="E633">
        <v>30</v>
      </c>
      <c r="I633" t="s">
        <v>442</v>
      </c>
      <c r="M633" t="s">
        <v>607</v>
      </c>
      <c r="Y633" t="s">
        <v>545</v>
      </c>
    </row>
    <row r="634" spans="1:25">
      <c r="A634" t="s">
        <v>688</v>
      </c>
      <c r="B634">
        <v>2278.2972621969798</v>
      </c>
      <c r="C634">
        <v>36.2988403389908</v>
      </c>
      <c r="D634" t="s">
        <v>32</v>
      </c>
      <c r="E634">
        <v>22</v>
      </c>
      <c r="R634" t="s">
        <v>20</v>
      </c>
      <c r="Y634" t="s">
        <v>545</v>
      </c>
    </row>
    <row r="635" spans="1:25">
      <c r="A635" t="s">
        <v>688</v>
      </c>
      <c r="B635">
        <v>2281.9906236916499</v>
      </c>
      <c r="C635">
        <v>20</v>
      </c>
      <c r="D635" t="s">
        <v>632</v>
      </c>
      <c r="E635">
        <v>28</v>
      </c>
      <c r="I635" t="s">
        <v>677</v>
      </c>
      <c r="M635" t="s">
        <v>678</v>
      </c>
      <c r="Y635" t="s">
        <v>545</v>
      </c>
    </row>
    <row r="636" spans="1:25">
      <c r="A636" t="s">
        <v>688</v>
      </c>
      <c r="B636">
        <v>2286.6970844416501</v>
      </c>
      <c r="C636">
        <v>20</v>
      </c>
      <c r="D636" t="s">
        <v>738</v>
      </c>
      <c r="E636">
        <v>31</v>
      </c>
      <c r="I636" t="s">
        <v>440</v>
      </c>
      <c r="M636" t="s">
        <v>607</v>
      </c>
      <c r="Y636" t="s">
        <v>545</v>
      </c>
    </row>
    <row r="637" spans="1:25">
      <c r="A637" t="s">
        <v>688</v>
      </c>
      <c r="B637">
        <v>2296.1977428593</v>
      </c>
      <c r="C637">
        <v>20</v>
      </c>
      <c r="D637" t="s">
        <v>642</v>
      </c>
      <c r="E637">
        <v>20</v>
      </c>
      <c r="I637" t="s">
        <v>442</v>
      </c>
      <c r="M637" t="s">
        <v>607</v>
      </c>
      <c r="Y637" t="s">
        <v>545</v>
      </c>
    </row>
    <row r="638" spans="1:25">
      <c r="A638" t="s">
        <v>688</v>
      </c>
      <c r="B638">
        <v>2298.29233528131</v>
      </c>
      <c r="C638">
        <v>20</v>
      </c>
      <c r="D638" t="s">
        <v>649</v>
      </c>
      <c r="E638">
        <v>31</v>
      </c>
      <c r="I638" t="s">
        <v>646</v>
      </c>
      <c r="M638" t="s">
        <v>610</v>
      </c>
      <c r="Y638" t="s">
        <v>545</v>
      </c>
    </row>
    <row r="639" spans="1:25">
      <c r="A639" t="s">
        <v>688</v>
      </c>
      <c r="B639">
        <v>2299.5961025359702</v>
      </c>
      <c r="C639">
        <v>20</v>
      </c>
      <c r="D639" t="s">
        <v>36</v>
      </c>
      <c r="E639">
        <v>12</v>
      </c>
      <c r="N639">
        <v>93</v>
      </c>
      <c r="O639">
        <v>38</v>
      </c>
      <c r="Q639" t="s">
        <v>703</v>
      </c>
      <c r="Y639" t="s">
        <v>545</v>
      </c>
    </row>
    <row r="640" spans="1:25">
      <c r="A640" t="s">
        <v>688</v>
      </c>
      <c r="B640">
        <v>2301.2977456359899</v>
      </c>
      <c r="C640">
        <v>20</v>
      </c>
      <c r="D640" t="s">
        <v>33</v>
      </c>
      <c r="E640">
        <v>11</v>
      </c>
      <c r="Y640" t="s">
        <v>545</v>
      </c>
    </row>
    <row r="641" spans="1:25">
      <c r="A641" t="s">
        <v>688</v>
      </c>
      <c r="B641">
        <v>2302.29501438233</v>
      </c>
      <c r="C641">
        <v>20</v>
      </c>
      <c r="D641" t="s">
        <v>622</v>
      </c>
      <c r="E641">
        <v>17</v>
      </c>
      <c r="H641" t="s">
        <v>609</v>
      </c>
      <c r="L641" t="s">
        <v>51</v>
      </c>
      <c r="M641" t="s">
        <v>544</v>
      </c>
      <c r="Y641" t="s">
        <v>545</v>
      </c>
    </row>
    <row r="642" spans="1:25">
      <c r="A642" t="s">
        <v>688</v>
      </c>
      <c r="B642">
        <v>2302.59622143666</v>
      </c>
      <c r="C642">
        <v>20</v>
      </c>
      <c r="D642" t="s">
        <v>135</v>
      </c>
      <c r="E642">
        <v>11</v>
      </c>
      <c r="Y642" t="s">
        <v>545</v>
      </c>
    </row>
    <row r="643" spans="1:25">
      <c r="A643" t="s">
        <v>688</v>
      </c>
      <c r="B643">
        <v>2304.5961025359702</v>
      </c>
      <c r="C643">
        <v>15</v>
      </c>
      <c r="D643" t="s">
        <v>35</v>
      </c>
      <c r="E643">
        <v>12</v>
      </c>
      <c r="Y643" t="s">
        <v>545</v>
      </c>
    </row>
    <row r="644" spans="1:25">
      <c r="A644" t="s">
        <v>688</v>
      </c>
      <c r="B644">
        <v>2310.1914940946699</v>
      </c>
      <c r="C644">
        <v>17</v>
      </c>
      <c r="D644" t="s">
        <v>40</v>
      </c>
      <c r="E644">
        <v>21</v>
      </c>
      <c r="U644" t="s">
        <v>14</v>
      </c>
      <c r="Y644" t="s">
        <v>545</v>
      </c>
    </row>
    <row r="645" spans="1:25">
      <c r="A645" t="s">
        <v>688</v>
      </c>
      <c r="B645">
        <v>2311.7952575893</v>
      </c>
      <c r="C645">
        <v>20</v>
      </c>
      <c r="D645" t="s">
        <v>36</v>
      </c>
      <c r="E645">
        <v>13</v>
      </c>
      <c r="N645">
        <v>74</v>
      </c>
      <c r="O645">
        <v>63</v>
      </c>
      <c r="Q645" t="s">
        <v>704</v>
      </c>
      <c r="Y645" t="s">
        <v>545</v>
      </c>
    </row>
    <row r="646" spans="1:25">
      <c r="A646" t="s">
        <v>688</v>
      </c>
      <c r="B646">
        <v>2313.1958352380002</v>
      </c>
      <c r="C646">
        <v>20</v>
      </c>
      <c r="D646" t="s">
        <v>645</v>
      </c>
      <c r="E646">
        <v>22</v>
      </c>
      <c r="I646" t="s">
        <v>439</v>
      </c>
      <c r="J646" t="s">
        <v>639</v>
      </c>
      <c r="M646" t="s">
        <v>438</v>
      </c>
      <c r="Y646" t="s">
        <v>545</v>
      </c>
    </row>
    <row r="647" spans="1:25">
      <c r="A647" t="s">
        <v>688</v>
      </c>
      <c r="B647">
        <v>2314.1914940946699</v>
      </c>
      <c r="C647">
        <v>8.3754263403234201</v>
      </c>
      <c r="D647" t="s">
        <v>9</v>
      </c>
      <c r="E647">
        <v>57</v>
      </c>
      <c r="Y647" t="s">
        <v>545</v>
      </c>
    </row>
    <row r="648" spans="1:25">
      <c r="A648" t="s">
        <v>688</v>
      </c>
      <c r="B648">
        <v>2314.7872291113299</v>
      </c>
      <c r="C648">
        <v>20</v>
      </c>
      <c r="D648" t="s">
        <v>761</v>
      </c>
      <c r="E648">
        <v>8</v>
      </c>
      <c r="I648" t="s">
        <v>440</v>
      </c>
      <c r="M648" t="s">
        <v>607</v>
      </c>
      <c r="Y648" t="s">
        <v>545</v>
      </c>
    </row>
    <row r="649" spans="1:25">
      <c r="A649" t="s">
        <v>688</v>
      </c>
      <c r="B649">
        <v>2315.5669204350002</v>
      </c>
      <c r="C649">
        <v>17</v>
      </c>
      <c r="D649" t="s">
        <v>27</v>
      </c>
      <c r="E649">
        <v>34</v>
      </c>
      <c r="U649" t="s">
        <v>14</v>
      </c>
      <c r="Y649" t="s">
        <v>545</v>
      </c>
    </row>
    <row r="650" spans="1:25">
      <c r="A650" t="s">
        <v>688</v>
      </c>
      <c r="B650">
        <v>2315.68849757831</v>
      </c>
      <c r="C650">
        <v>20</v>
      </c>
      <c r="D650" t="s">
        <v>645</v>
      </c>
      <c r="E650">
        <v>23</v>
      </c>
      <c r="L650" t="s">
        <v>51</v>
      </c>
      <c r="M650" t="s">
        <v>544</v>
      </c>
      <c r="Y650" t="s">
        <v>545</v>
      </c>
    </row>
    <row r="651" spans="1:25">
      <c r="A651" t="s">
        <v>688</v>
      </c>
      <c r="B651">
        <v>2316.7952575893</v>
      </c>
      <c r="C651">
        <v>15</v>
      </c>
      <c r="D651" t="s">
        <v>35</v>
      </c>
      <c r="E651">
        <v>13</v>
      </c>
      <c r="Y651" t="s">
        <v>545</v>
      </c>
    </row>
    <row r="652" spans="1:25">
      <c r="A652" t="s">
        <v>688</v>
      </c>
      <c r="B652">
        <v>2319.5669204350002</v>
      </c>
      <c r="C652">
        <v>9.4295136146706593</v>
      </c>
      <c r="D652" t="s">
        <v>18</v>
      </c>
      <c r="E652">
        <v>54</v>
      </c>
      <c r="Y652" t="s">
        <v>545</v>
      </c>
    </row>
    <row r="653" spans="1:25">
      <c r="A653" t="s">
        <v>688</v>
      </c>
      <c r="B653">
        <v>2321.9964340496699</v>
      </c>
      <c r="C653">
        <v>17</v>
      </c>
      <c r="D653" t="s">
        <v>40</v>
      </c>
      <c r="E653">
        <v>22</v>
      </c>
      <c r="U653" t="s">
        <v>14</v>
      </c>
      <c r="Y653" t="s">
        <v>545</v>
      </c>
    </row>
    <row r="654" spans="1:25">
      <c r="A654" t="s">
        <v>688</v>
      </c>
      <c r="B654">
        <v>2325.9964340496699</v>
      </c>
      <c r="C654">
        <v>15.299531135989501</v>
      </c>
      <c r="D654" t="s">
        <v>9</v>
      </c>
      <c r="E654">
        <v>58</v>
      </c>
      <c r="Y654" t="s">
        <v>545</v>
      </c>
    </row>
    <row r="655" spans="1:25">
      <c r="A655" t="s">
        <v>688</v>
      </c>
      <c r="B655">
        <v>2327.9968449480002</v>
      </c>
      <c r="C655">
        <v>13.2991202376601</v>
      </c>
      <c r="D655" t="s">
        <v>427</v>
      </c>
      <c r="E655">
        <v>17</v>
      </c>
      <c r="R655" t="s">
        <v>20</v>
      </c>
      <c r="S655" t="s">
        <v>454</v>
      </c>
      <c r="Y655" t="s">
        <v>545</v>
      </c>
    </row>
    <row r="656" spans="1:25">
      <c r="A656" t="s">
        <v>688</v>
      </c>
      <c r="B656">
        <v>2330.8956465156498</v>
      </c>
      <c r="C656">
        <v>20</v>
      </c>
      <c r="D656" t="s">
        <v>636</v>
      </c>
      <c r="E656">
        <v>20</v>
      </c>
      <c r="J656" t="s">
        <v>49</v>
      </c>
      <c r="Y656" t="s">
        <v>545</v>
      </c>
    </row>
    <row r="657" spans="1:25">
      <c r="A657" t="s">
        <v>688</v>
      </c>
      <c r="B657">
        <v>2341.29596518566</v>
      </c>
      <c r="C657">
        <v>7.0010901993146</v>
      </c>
      <c r="D657" t="s">
        <v>10</v>
      </c>
      <c r="E657">
        <v>49</v>
      </c>
      <c r="Y657" t="s">
        <v>545</v>
      </c>
    </row>
    <row r="658" spans="1:25">
      <c r="A658" t="s">
        <v>688</v>
      </c>
      <c r="B658">
        <v>2341.29705538497</v>
      </c>
      <c r="C658">
        <v>17</v>
      </c>
      <c r="D658" t="s">
        <v>11</v>
      </c>
      <c r="E658">
        <v>29</v>
      </c>
      <c r="T658" t="s">
        <v>12</v>
      </c>
      <c r="U658" t="s">
        <v>195</v>
      </c>
      <c r="Y658" t="s">
        <v>545</v>
      </c>
    </row>
    <row r="659" spans="1:25">
      <c r="A659" t="s">
        <v>688</v>
      </c>
      <c r="B659">
        <v>2342.467074654</v>
      </c>
      <c r="C659">
        <v>20</v>
      </c>
      <c r="D659" t="s">
        <v>632</v>
      </c>
      <c r="E659">
        <v>29</v>
      </c>
      <c r="K659" t="s">
        <v>441</v>
      </c>
      <c r="M659" t="s">
        <v>617</v>
      </c>
      <c r="Y659" t="s">
        <v>545</v>
      </c>
    </row>
    <row r="660" spans="1:25">
      <c r="A660" t="s">
        <v>688</v>
      </c>
      <c r="B660">
        <v>2345.29705538497</v>
      </c>
      <c r="C660">
        <v>9.1438141550252094</v>
      </c>
      <c r="D660" t="s">
        <v>9</v>
      </c>
      <c r="E660">
        <v>59</v>
      </c>
      <c r="Y660" t="s">
        <v>545</v>
      </c>
    </row>
    <row r="661" spans="1:25">
      <c r="A661" t="s">
        <v>688</v>
      </c>
      <c r="B661">
        <v>2348.29705538497</v>
      </c>
      <c r="C661">
        <v>6.1438141550252103</v>
      </c>
      <c r="D661" t="s">
        <v>19</v>
      </c>
      <c r="E661">
        <v>50</v>
      </c>
      <c r="Y661" t="s">
        <v>545</v>
      </c>
    </row>
    <row r="662" spans="1:25">
      <c r="A662" t="s">
        <v>688</v>
      </c>
      <c r="B662">
        <v>2354.4408695400002</v>
      </c>
      <c r="C662">
        <v>8.8499024813204397</v>
      </c>
      <c r="D662" t="s">
        <v>10</v>
      </c>
      <c r="E662">
        <v>50</v>
      </c>
      <c r="Y662" t="s">
        <v>545</v>
      </c>
    </row>
    <row r="663" spans="1:25">
      <c r="A663" t="s">
        <v>688</v>
      </c>
      <c r="B663">
        <v>2356.2907720213202</v>
      </c>
      <c r="C663">
        <v>17</v>
      </c>
      <c r="D663" t="s">
        <v>11</v>
      </c>
      <c r="E663">
        <v>30</v>
      </c>
      <c r="T663" t="s">
        <v>12</v>
      </c>
      <c r="U663" t="s">
        <v>28</v>
      </c>
      <c r="Y663" t="s">
        <v>545</v>
      </c>
    </row>
    <row r="664" spans="1:25">
      <c r="A664" t="s">
        <v>688</v>
      </c>
      <c r="B664">
        <v>2358.5171244570001</v>
      </c>
      <c r="C664">
        <v>20</v>
      </c>
      <c r="D664" t="s">
        <v>632</v>
      </c>
      <c r="E664">
        <v>30</v>
      </c>
      <c r="K664" t="s">
        <v>441</v>
      </c>
      <c r="M664" t="s">
        <v>617</v>
      </c>
      <c r="Y664" t="s">
        <v>545</v>
      </c>
    </row>
    <row r="665" spans="1:25">
      <c r="A665" t="s">
        <v>688</v>
      </c>
      <c r="B665">
        <v>2360.2907720213202</v>
      </c>
      <c r="C665">
        <v>15.201619408319401</v>
      </c>
      <c r="D665" t="s">
        <v>9</v>
      </c>
      <c r="E665">
        <v>60</v>
      </c>
      <c r="Y665" t="s">
        <v>545</v>
      </c>
    </row>
    <row r="666" spans="1:25">
      <c r="A666" t="s">
        <v>688</v>
      </c>
      <c r="B666">
        <v>2361.9778239020002</v>
      </c>
      <c r="C666">
        <v>20</v>
      </c>
      <c r="D666" t="s">
        <v>647</v>
      </c>
      <c r="E666">
        <v>15</v>
      </c>
      <c r="J666" t="s">
        <v>335</v>
      </c>
      <c r="M666" t="s">
        <v>630</v>
      </c>
      <c r="Y666" t="s">
        <v>545</v>
      </c>
    </row>
    <row r="667" spans="1:25">
      <c r="A667" t="s">
        <v>688</v>
      </c>
      <c r="B667">
        <v>2363.2907720213202</v>
      </c>
      <c r="C667">
        <v>28.809097770679202</v>
      </c>
      <c r="D667" t="s">
        <v>19</v>
      </c>
      <c r="E667">
        <v>51</v>
      </c>
      <c r="Y667" t="s">
        <v>545</v>
      </c>
    </row>
    <row r="668" spans="1:25">
      <c r="A668" t="s">
        <v>688</v>
      </c>
      <c r="B668">
        <v>2366.2957084320001</v>
      </c>
      <c r="C668">
        <v>20</v>
      </c>
      <c r="D668" t="s">
        <v>654</v>
      </c>
      <c r="E668">
        <v>16</v>
      </c>
      <c r="H668" t="s">
        <v>730</v>
      </c>
      <c r="I668" t="s">
        <v>53</v>
      </c>
      <c r="M668" t="s">
        <v>616</v>
      </c>
      <c r="Y668" t="s">
        <v>545</v>
      </c>
    </row>
    <row r="669" spans="1:25">
      <c r="A669" t="s">
        <v>688</v>
      </c>
      <c r="B669">
        <v>2368.4923914296401</v>
      </c>
      <c r="C669">
        <v>17</v>
      </c>
      <c r="D669" t="s">
        <v>27</v>
      </c>
      <c r="E669">
        <v>35</v>
      </c>
      <c r="U669" t="s">
        <v>674</v>
      </c>
      <c r="Y669" t="s">
        <v>545</v>
      </c>
    </row>
    <row r="670" spans="1:25">
      <c r="A670" t="s">
        <v>688</v>
      </c>
      <c r="B670">
        <v>2369.2971502916398</v>
      </c>
      <c r="C670">
        <v>20</v>
      </c>
      <c r="D670" t="s">
        <v>33</v>
      </c>
      <c r="E670">
        <v>12</v>
      </c>
      <c r="Y670" t="s">
        <v>545</v>
      </c>
    </row>
    <row r="671" spans="1:25">
      <c r="A671" t="s">
        <v>688</v>
      </c>
      <c r="B671">
        <v>2370.7917018540002</v>
      </c>
      <c r="C671">
        <v>20</v>
      </c>
      <c r="D671" t="s">
        <v>135</v>
      </c>
      <c r="E671">
        <v>12</v>
      </c>
      <c r="Y671" t="s">
        <v>545</v>
      </c>
    </row>
    <row r="672" spans="1:25">
      <c r="A672" t="s">
        <v>688</v>
      </c>
      <c r="B672">
        <v>2372.4923914296401</v>
      </c>
      <c r="C672">
        <v>15.9060116946648</v>
      </c>
      <c r="D672" t="s">
        <v>18</v>
      </c>
      <c r="E672">
        <v>55</v>
      </c>
      <c r="Y672" t="s">
        <v>545</v>
      </c>
    </row>
    <row r="673" spans="1:25">
      <c r="A673" t="s">
        <v>688</v>
      </c>
      <c r="B673">
        <v>2377.2672509439999</v>
      </c>
      <c r="C673">
        <v>20</v>
      </c>
      <c r="D673" t="s">
        <v>34</v>
      </c>
      <c r="E673">
        <v>7</v>
      </c>
      <c r="R673" t="s">
        <v>23</v>
      </c>
      <c r="Y673" t="s">
        <v>545</v>
      </c>
    </row>
    <row r="674" spans="1:25">
      <c r="A674" t="s">
        <v>688</v>
      </c>
      <c r="B674">
        <v>2381.3984031242999</v>
      </c>
      <c r="C674">
        <v>17</v>
      </c>
      <c r="D674" t="s">
        <v>40</v>
      </c>
      <c r="E674">
        <v>23</v>
      </c>
      <c r="U674" t="s">
        <v>14</v>
      </c>
      <c r="Y674" t="s">
        <v>545</v>
      </c>
    </row>
    <row r="675" spans="1:25">
      <c r="A675" t="s">
        <v>688</v>
      </c>
      <c r="B675">
        <v>2385.3984031242999</v>
      </c>
      <c r="C675">
        <v>6.7014666676950503</v>
      </c>
      <c r="D675" t="s">
        <v>9</v>
      </c>
      <c r="E675">
        <v>61</v>
      </c>
      <c r="Y675" t="s">
        <v>545</v>
      </c>
    </row>
    <row r="676" spans="1:25">
      <c r="A676" t="s">
        <v>688</v>
      </c>
      <c r="B676">
        <v>2392.0998697919999</v>
      </c>
      <c r="C676">
        <v>7.5913187606552102</v>
      </c>
      <c r="D676" t="s">
        <v>10</v>
      </c>
      <c r="E676">
        <v>51</v>
      </c>
      <c r="Y676" t="s">
        <v>545</v>
      </c>
    </row>
    <row r="677" spans="1:25">
      <c r="A677" t="s">
        <v>688</v>
      </c>
      <c r="B677">
        <v>2392.6911885526501</v>
      </c>
      <c r="C677">
        <v>17</v>
      </c>
      <c r="D677" t="s">
        <v>6</v>
      </c>
      <c r="E677">
        <v>17</v>
      </c>
      <c r="T677" t="s">
        <v>21</v>
      </c>
      <c r="U677" t="s">
        <v>195</v>
      </c>
      <c r="Y677" t="s">
        <v>545</v>
      </c>
    </row>
    <row r="678" spans="1:25">
      <c r="A678" t="s">
        <v>688</v>
      </c>
      <c r="B678">
        <v>2393.2954946196501</v>
      </c>
      <c r="C678">
        <v>20</v>
      </c>
      <c r="D678" t="s">
        <v>738</v>
      </c>
      <c r="E678">
        <v>32</v>
      </c>
      <c r="I678" t="s">
        <v>440</v>
      </c>
      <c r="M678" t="s">
        <v>607</v>
      </c>
      <c r="Y678" t="s">
        <v>545</v>
      </c>
    </row>
    <row r="679" spans="1:25">
      <c r="A679" t="s">
        <v>688</v>
      </c>
      <c r="B679">
        <v>2396.6911885526501</v>
      </c>
      <c r="C679">
        <v>28.018607529344902</v>
      </c>
      <c r="D679" t="s">
        <v>18</v>
      </c>
      <c r="E679">
        <v>56</v>
      </c>
      <c r="Y679" t="s">
        <v>545</v>
      </c>
    </row>
    <row r="680" spans="1:25">
      <c r="A680" t="s">
        <v>688</v>
      </c>
      <c r="B680">
        <v>2398.5961289463198</v>
      </c>
      <c r="C680">
        <v>20</v>
      </c>
      <c r="D680" t="s">
        <v>649</v>
      </c>
      <c r="E680">
        <v>32</v>
      </c>
      <c r="H680" t="s">
        <v>450</v>
      </c>
      <c r="I680" t="s">
        <v>442</v>
      </c>
      <c r="M680" t="s">
        <v>607</v>
      </c>
      <c r="Y680" t="s">
        <v>545</v>
      </c>
    </row>
    <row r="681" spans="1:25">
      <c r="A681" t="s">
        <v>688</v>
      </c>
      <c r="B681">
        <v>2399.6911885526501</v>
      </c>
      <c r="C681">
        <v>25.018607529344902</v>
      </c>
      <c r="D681" t="s">
        <v>19</v>
      </c>
      <c r="E681">
        <v>52</v>
      </c>
      <c r="Y681" t="s">
        <v>545</v>
      </c>
    </row>
    <row r="682" spans="1:25">
      <c r="A682" t="s">
        <v>688</v>
      </c>
      <c r="B682">
        <v>2400.79295669465</v>
      </c>
      <c r="C682">
        <v>23.916839387346901</v>
      </c>
      <c r="D682" t="s">
        <v>32</v>
      </c>
      <c r="E682">
        <v>23</v>
      </c>
      <c r="R682" t="s">
        <v>23</v>
      </c>
      <c r="Y682" t="s">
        <v>545</v>
      </c>
    </row>
    <row r="683" spans="1:25">
      <c r="A683" t="s">
        <v>688</v>
      </c>
      <c r="B683">
        <v>2401.28335745298</v>
      </c>
      <c r="C683">
        <v>20</v>
      </c>
      <c r="D683" t="s">
        <v>636</v>
      </c>
      <c r="E683">
        <v>21</v>
      </c>
      <c r="I683" t="s">
        <v>442</v>
      </c>
      <c r="M683" t="s">
        <v>607</v>
      </c>
      <c r="Y683" t="s">
        <v>545</v>
      </c>
    </row>
    <row r="684" spans="1:25">
      <c r="A684" t="s">
        <v>688</v>
      </c>
      <c r="B684">
        <v>2403.9965657019702</v>
      </c>
      <c r="C684">
        <v>20</v>
      </c>
      <c r="D684" t="s">
        <v>649</v>
      </c>
      <c r="E684">
        <v>33</v>
      </c>
      <c r="I684" t="s">
        <v>646</v>
      </c>
      <c r="M684" t="s">
        <v>610</v>
      </c>
      <c r="Y684" t="s">
        <v>545</v>
      </c>
    </row>
    <row r="685" spans="1:25">
      <c r="A685" t="s">
        <v>688</v>
      </c>
      <c r="B685">
        <v>2410.0945948353201</v>
      </c>
      <c r="C685">
        <v>20</v>
      </c>
      <c r="D685" t="s">
        <v>645</v>
      </c>
      <c r="E685">
        <v>24</v>
      </c>
      <c r="H685" t="s">
        <v>609</v>
      </c>
      <c r="M685" t="s">
        <v>544</v>
      </c>
      <c r="Y685" t="s">
        <v>545</v>
      </c>
    </row>
    <row r="686" spans="1:25">
      <c r="A686" t="s">
        <v>688</v>
      </c>
      <c r="B686">
        <v>2411.524786298</v>
      </c>
      <c r="C686">
        <v>20</v>
      </c>
      <c r="D686" t="s">
        <v>33</v>
      </c>
      <c r="E686">
        <v>13</v>
      </c>
      <c r="Y686" t="s">
        <v>545</v>
      </c>
    </row>
    <row r="687" spans="1:25">
      <c r="A687" t="s">
        <v>688</v>
      </c>
      <c r="B687">
        <v>2424.7097960820001</v>
      </c>
      <c r="C687">
        <v>12.6855128326824</v>
      </c>
      <c r="D687" t="s">
        <v>10</v>
      </c>
      <c r="E687">
        <v>52</v>
      </c>
      <c r="Y687" t="s">
        <v>545</v>
      </c>
    </row>
    <row r="688" spans="1:25">
      <c r="A688" t="s">
        <v>688</v>
      </c>
      <c r="B688">
        <v>2430.3953089146798</v>
      </c>
      <c r="C688">
        <v>17</v>
      </c>
      <c r="D688" t="s">
        <v>11</v>
      </c>
      <c r="E688">
        <v>31</v>
      </c>
      <c r="T688" t="s">
        <v>16</v>
      </c>
      <c r="Y688" t="s">
        <v>545</v>
      </c>
    </row>
    <row r="689" spans="1:25">
      <c r="A689" t="s">
        <v>688</v>
      </c>
      <c r="B689">
        <v>2433.29791861699</v>
      </c>
      <c r="C689">
        <v>20</v>
      </c>
      <c r="D689" t="s">
        <v>36</v>
      </c>
      <c r="E689">
        <v>14</v>
      </c>
      <c r="N689">
        <v>86</v>
      </c>
      <c r="O689">
        <v>54</v>
      </c>
      <c r="Q689" t="s">
        <v>705</v>
      </c>
      <c r="Y689" t="s">
        <v>545</v>
      </c>
    </row>
    <row r="690" spans="1:25">
      <c r="A690" t="s">
        <v>688</v>
      </c>
      <c r="B690">
        <v>2433.3874947433001</v>
      </c>
      <c r="C690">
        <v>12.396632507693001</v>
      </c>
      <c r="D690" t="s">
        <v>427</v>
      </c>
      <c r="E690">
        <v>18</v>
      </c>
      <c r="R690" t="s">
        <v>20</v>
      </c>
      <c r="S690" t="s">
        <v>43</v>
      </c>
      <c r="Y690" t="s">
        <v>545</v>
      </c>
    </row>
    <row r="691" spans="1:25">
      <c r="A691" t="s">
        <v>688</v>
      </c>
      <c r="B691">
        <v>2434.3953089146798</v>
      </c>
      <c r="C691">
        <v>11.388818336317399</v>
      </c>
      <c r="D691" t="s">
        <v>9</v>
      </c>
      <c r="E691">
        <v>62</v>
      </c>
      <c r="Y691" t="s">
        <v>545</v>
      </c>
    </row>
    <row r="692" spans="1:25">
      <c r="A692" t="s">
        <v>688</v>
      </c>
      <c r="B692">
        <v>2435.457878705</v>
      </c>
      <c r="C692">
        <v>20</v>
      </c>
      <c r="D692" t="s">
        <v>632</v>
      </c>
      <c r="E692">
        <v>31</v>
      </c>
      <c r="J692" t="s">
        <v>611</v>
      </c>
      <c r="K692" t="s">
        <v>441</v>
      </c>
      <c r="M692" t="s">
        <v>630</v>
      </c>
      <c r="Y692" t="s">
        <v>545</v>
      </c>
    </row>
    <row r="693" spans="1:25">
      <c r="A693" t="s">
        <v>688</v>
      </c>
      <c r="B693">
        <v>2437.3953089146798</v>
      </c>
      <c r="C693">
        <v>12.8007689009573</v>
      </c>
      <c r="D693" t="s">
        <v>19</v>
      </c>
      <c r="E693">
        <v>53</v>
      </c>
      <c r="Y693" t="s">
        <v>545</v>
      </c>
    </row>
    <row r="694" spans="1:25">
      <c r="A694" t="s">
        <v>688</v>
      </c>
      <c r="B694">
        <v>2437.7100112629801</v>
      </c>
      <c r="C694">
        <v>20</v>
      </c>
      <c r="D694" t="s">
        <v>761</v>
      </c>
      <c r="E694">
        <v>9</v>
      </c>
      <c r="L694" t="s">
        <v>448</v>
      </c>
      <c r="Y694" t="s">
        <v>545</v>
      </c>
    </row>
    <row r="695" spans="1:25">
      <c r="A695" t="s">
        <v>688</v>
      </c>
      <c r="B695">
        <v>2437.7520970840001</v>
      </c>
      <c r="C695">
        <v>20</v>
      </c>
      <c r="D695" t="s">
        <v>647</v>
      </c>
      <c r="E695">
        <v>16</v>
      </c>
      <c r="H695" t="s">
        <v>336</v>
      </c>
      <c r="M695" t="s">
        <v>434</v>
      </c>
      <c r="Y695" t="s">
        <v>545</v>
      </c>
    </row>
    <row r="696" spans="1:25">
      <c r="A696" t="s">
        <v>688</v>
      </c>
      <c r="B696">
        <v>2438.29791861699</v>
      </c>
      <c r="C696">
        <v>15</v>
      </c>
      <c r="D696" t="s">
        <v>35</v>
      </c>
      <c r="E696">
        <v>14</v>
      </c>
      <c r="Y696" t="s">
        <v>545</v>
      </c>
    </row>
    <row r="697" spans="1:25">
      <c r="A697" t="s">
        <v>688</v>
      </c>
      <c r="B697">
        <v>2438.784127251</v>
      </c>
      <c r="C697">
        <v>17</v>
      </c>
      <c r="D697" t="s">
        <v>27</v>
      </c>
      <c r="E697">
        <v>36</v>
      </c>
      <c r="U697" t="s">
        <v>14</v>
      </c>
      <c r="Y697" t="s">
        <v>545</v>
      </c>
    </row>
    <row r="698" spans="1:25">
      <c r="A698" t="s">
        <v>688</v>
      </c>
      <c r="B698">
        <v>2442.784127251</v>
      </c>
      <c r="C698">
        <v>7.4119505646399304</v>
      </c>
      <c r="D698" t="s">
        <v>18</v>
      </c>
      <c r="E698">
        <v>57</v>
      </c>
      <c r="Y698" t="s">
        <v>545</v>
      </c>
    </row>
    <row r="699" spans="1:25">
      <c r="A699" t="s">
        <v>688</v>
      </c>
      <c r="B699">
        <v>2450.1960778156399</v>
      </c>
      <c r="C699">
        <v>15.600916937346</v>
      </c>
      <c r="D699" t="s">
        <v>10</v>
      </c>
      <c r="E699">
        <v>53</v>
      </c>
      <c r="Y699" t="s">
        <v>545</v>
      </c>
    </row>
    <row r="700" spans="1:25">
      <c r="A700" t="s">
        <v>688</v>
      </c>
      <c r="B700">
        <v>2458.79699475298</v>
      </c>
      <c r="C700">
        <v>17</v>
      </c>
      <c r="D700" t="s">
        <v>11</v>
      </c>
      <c r="E700">
        <v>32</v>
      </c>
      <c r="T700" t="s">
        <v>16</v>
      </c>
      <c r="Y700" t="s">
        <v>545</v>
      </c>
    </row>
    <row r="701" spans="1:25">
      <c r="A701" t="s">
        <v>688</v>
      </c>
      <c r="B701">
        <v>2462.17423014</v>
      </c>
      <c r="C701">
        <v>15.2388846769999</v>
      </c>
      <c r="D701" t="s">
        <v>427</v>
      </c>
      <c r="E701">
        <v>19</v>
      </c>
      <c r="R701" t="s">
        <v>20</v>
      </c>
      <c r="S701" t="s">
        <v>454</v>
      </c>
      <c r="Y701" t="s">
        <v>545</v>
      </c>
    </row>
    <row r="702" spans="1:25">
      <c r="A702" t="s">
        <v>688</v>
      </c>
      <c r="B702">
        <v>2462.79699475298</v>
      </c>
      <c r="C702">
        <v>14.616120064014</v>
      </c>
      <c r="D702" t="s">
        <v>9</v>
      </c>
      <c r="E702">
        <v>63</v>
      </c>
      <c r="Y702" t="s">
        <v>545</v>
      </c>
    </row>
    <row r="703" spans="1:25">
      <c r="A703" t="s">
        <v>688</v>
      </c>
      <c r="B703">
        <v>2464.6454059590001</v>
      </c>
      <c r="C703">
        <v>20</v>
      </c>
      <c r="D703" t="s">
        <v>647</v>
      </c>
      <c r="E703">
        <v>17</v>
      </c>
      <c r="I703" t="s">
        <v>442</v>
      </c>
      <c r="J703" t="s">
        <v>611</v>
      </c>
      <c r="K703" t="s">
        <v>444</v>
      </c>
      <c r="M703" t="s">
        <v>619</v>
      </c>
      <c r="Y703" t="s">
        <v>545</v>
      </c>
    </row>
    <row r="704" spans="1:25">
      <c r="A704" t="s">
        <v>688</v>
      </c>
      <c r="B704">
        <v>2465.79699475298</v>
      </c>
      <c r="C704">
        <v>11.616120064014</v>
      </c>
      <c r="D704" t="s">
        <v>19</v>
      </c>
      <c r="E704">
        <v>54</v>
      </c>
      <c r="Y704" t="s">
        <v>545</v>
      </c>
    </row>
    <row r="705" spans="1:25">
      <c r="A705" t="s">
        <v>688</v>
      </c>
      <c r="B705">
        <v>2477.1419616650001</v>
      </c>
      <c r="C705">
        <v>20</v>
      </c>
      <c r="D705" t="s">
        <v>654</v>
      </c>
      <c r="E705">
        <v>17</v>
      </c>
      <c r="J705" t="s">
        <v>223</v>
      </c>
      <c r="Y705" t="s">
        <v>545</v>
      </c>
    </row>
    <row r="706" spans="1:25">
      <c r="A706" t="s">
        <v>688</v>
      </c>
      <c r="B706">
        <v>2477.393775046</v>
      </c>
      <c r="C706">
        <v>17</v>
      </c>
      <c r="D706" t="s">
        <v>11</v>
      </c>
      <c r="E706">
        <v>33</v>
      </c>
      <c r="T706" t="s">
        <v>12</v>
      </c>
      <c r="U706" t="s">
        <v>195</v>
      </c>
      <c r="Y706" t="s">
        <v>545</v>
      </c>
    </row>
    <row r="707" spans="1:25">
      <c r="A707" t="s">
        <v>688</v>
      </c>
      <c r="B707">
        <v>2477.413114817</v>
      </c>
      <c r="C707">
        <v>6.9806602290000201</v>
      </c>
      <c r="D707" t="s">
        <v>10</v>
      </c>
      <c r="E707">
        <v>54</v>
      </c>
      <c r="Y707" t="s">
        <v>545</v>
      </c>
    </row>
    <row r="708" spans="1:25">
      <c r="A708" t="s">
        <v>688</v>
      </c>
      <c r="B708">
        <v>2481.393775046</v>
      </c>
      <c r="C708">
        <v>9.3370948490000902</v>
      </c>
      <c r="D708" t="s">
        <v>9</v>
      </c>
      <c r="E708">
        <v>64</v>
      </c>
      <c r="Y708" t="s">
        <v>545</v>
      </c>
    </row>
    <row r="709" spans="1:25">
      <c r="A709" t="s">
        <v>688</v>
      </c>
      <c r="B709">
        <v>2484.393775046</v>
      </c>
      <c r="C709">
        <v>6.3370948490000902</v>
      </c>
      <c r="D709" t="s">
        <v>19</v>
      </c>
      <c r="E709">
        <v>55</v>
      </c>
      <c r="Y709" t="s">
        <v>545</v>
      </c>
    </row>
    <row r="710" spans="1:25">
      <c r="A710" t="s">
        <v>688</v>
      </c>
      <c r="B710">
        <v>2490.7308698950001</v>
      </c>
      <c r="C710">
        <v>11.7648733163123</v>
      </c>
      <c r="D710" t="s">
        <v>10</v>
      </c>
      <c r="E710">
        <v>55</v>
      </c>
      <c r="Y710" t="s">
        <v>545</v>
      </c>
    </row>
    <row r="711" spans="1:25">
      <c r="A711" t="s">
        <v>688</v>
      </c>
      <c r="B711">
        <v>2495.4957432113101</v>
      </c>
      <c r="C711">
        <v>17</v>
      </c>
      <c r="D711" t="s">
        <v>11</v>
      </c>
      <c r="E711">
        <v>34</v>
      </c>
      <c r="T711" t="s">
        <v>13</v>
      </c>
      <c r="Y711" t="s">
        <v>545</v>
      </c>
    </row>
    <row r="712" spans="1:25">
      <c r="A712" t="s">
        <v>688</v>
      </c>
      <c r="B712">
        <v>2496.9967223979802</v>
      </c>
      <c r="C712">
        <v>20</v>
      </c>
      <c r="D712" t="s">
        <v>642</v>
      </c>
      <c r="E712">
        <v>21</v>
      </c>
      <c r="G712" t="s">
        <v>449</v>
      </c>
      <c r="I712" t="s">
        <v>439</v>
      </c>
      <c r="M712" t="s">
        <v>438</v>
      </c>
      <c r="Y712" t="s">
        <v>545</v>
      </c>
    </row>
    <row r="713" spans="1:25">
      <c r="A713" t="s">
        <v>688</v>
      </c>
      <c r="B713">
        <v>2499.4957432113101</v>
      </c>
      <c r="C713">
        <v>7.4002638653400901</v>
      </c>
      <c r="D713" t="s">
        <v>9</v>
      </c>
      <c r="E713">
        <v>65</v>
      </c>
      <c r="Y713" t="s">
        <v>545</v>
      </c>
    </row>
    <row r="714" spans="1:25">
      <c r="A714" t="s">
        <v>688</v>
      </c>
      <c r="B714">
        <v>2499.8960070766502</v>
      </c>
      <c r="C714">
        <v>17</v>
      </c>
      <c r="D714" t="s">
        <v>27</v>
      </c>
      <c r="E714">
        <v>37</v>
      </c>
      <c r="U714" t="s">
        <v>28</v>
      </c>
      <c r="Y714" t="s">
        <v>545</v>
      </c>
    </row>
    <row r="715" spans="1:25">
      <c r="A715" t="s">
        <v>688</v>
      </c>
      <c r="B715">
        <v>2502.4957432113101</v>
      </c>
      <c r="C715">
        <v>18.392315845687701</v>
      </c>
      <c r="D715" t="s">
        <v>19</v>
      </c>
      <c r="E715">
        <v>56</v>
      </c>
      <c r="Y715" t="s">
        <v>545</v>
      </c>
    </row>
    <row r="716" spans="1:25">
      <c r="A716" t="s">
        <v>688</v>
      </c>
      <c r="B716">
        <v>2503.8960070766502</v>
      </c>
      <c r="C716">
        <v>16.9920519803476</v>
      </c>
      <c r="D716" t="s">
        <v>18</v>
      </c>
      <c r="E716">
        <v>58</v>
      </c>
      <c r="Y716" t="s">
        <v>545</v>
      </c>
    </row>
    <row r="717" spans="1:25">
      <c r="A717" t="s">
        <v>688</v>
      </c>
      <c r="B717">
        <v>2503.92440403</v>
      </c>
      <c r="C717">
        <v>20</v>
      </c>
      <c r="D717" t="s">
        <v>761</v>
      </c>
      <c r="E717">
        <v>10</v>
      </c>
      <c r="H717" t="s">
        <v>445</v>
      </c>
      <c r="M717" t="s">
        <v>436</v>
      </c>
      <c r="Y717" t="s">
        <v>545</v>
      </c>
    </row>
    <row r="718" spans="1:25">
      <c r="A718" t="s">
        <v>688</v>
      </c>
      <c r="B718">
        <v>2510.5907724069798</v>
      </c>
      <c r="C718">
        <v>20</v>
      </c>
      <c r="D718" t="s">
        <v>636</v>
      </c>
      <c r="E718">
        <v>22</v>
      </c>
      <c r="J718" t="s">
        <v>611</v>
      </c>
      <c r="Y718" t="s">
        <v>545</v>
      </c>
    </row>
    <row r="719" spans="1:25">
      <c r="A719" t="s">
        <v>688</v>
      </c>
      <c r="B719">
        <v>2520.8880590570002</v>
      </c>
      <c r="C719">
        <v>45.0095676176702</v>
      </c>
      <c r="D719" t="s">
        <v>10</v>
      </c>
      <c r="E719">
        <v>56</v>
      </c>
      <c r="Y719" t="s">
        <v>545</v>
      </c>
    </row>
    <row r="720" spans="1:25">
      <c r="A720" t="s">
        <v>688</v>
      </c>
      <c r="B720">
        <v>2569.6974416426401</v>
      </c>
      <c r="C720">
        <v>104.800337648016</v>
      </c>
      <c r="D720" t="s">
        <v>10</v>
      </c>
      <c r="E720">
        <v>57</v>
      </c>
      <c r="Y720" t="s">
        <v>545</v>
      </c>
    </row>
    <row r="721" spans="1:25">
      <c r="A721" t="s">
        <v>688</v>
      </c>
      <c r="B721">
        <v>2639.59498147264</v>
      </c>
      <c r="C721">
        <v>20</v>
      </c>
      <c r="D721" t="s">
        <v>196</v>
      </c>
      <c r="E721">
        <v>2</v>
      </c>
      <c r="W721" t="s">
        <v>718</v>
      </c>
      <c r="Y721" t="s">
        <v>545</v>
      </c>
    </row>
    <row r="722" spans="1:25">
      <c r="A722" t="s">
        <v>688</v>
      </c>
      <c r="B722">
        <v>2667.4977792906602</v>
      </c>
      <c r="C722">
        <v>17</v>
      </c>
      <c r="D722" t="s">
        <v>11</v>
      </c>
      <c r="E722">
        <v>35</v>
      </c>
      <c r="T722" t="s">
        <v>12</v>
      </c>
      <c r="U722" t="s">
        <v>28</v>
      </c>
      <c r="Y722" t="s">
        <v>545</v>
      </c>
    </row>
    <row r="723" spans="1:25">
      <c r="A723" t="s">
        <v>688</v>
      </c>
      <c r="B723">
        <v>2671.4977792906602</v>
      </c>
      <c r="C723">
        <v>8.16215459033765</v>
      </c>
      <c r="D723" t="s">
        <v>9</v>
      </c>
      <c r="E723">
        <v>66</v>
      </c>
      <c r="Y723" t="s">
        <v>545</v>
      </c>
    </row>
    <row r="724" spans="1:25">
      <c r="A724" t="s">
        <v>688</v>
      </c>
      <c r="B724">
        <v>2674.4977792906602</v>
      </c>
      <c r="C724">
        <v>5.16215459033765</v>
      </c>
      <c r="D724" t="s">
        <v>19</v>
      </c>
      <c r="E724">
        <v>57</v>
      </c>
      <c r="Y724" t="s">
        <v>545</v>
      </c>
    </row>
    <row r="725" spans="1:25">
      <c r="A725" t="s">
        <v>688</v>
      </c>
      <c r="B725">
        <v>2679.6599338810001</v>
      </c>
      <c r="C725">
        <v>14.230100495999899</v>
      </c>
      <c r="D725" t="s">
        <v>10</v>
      </c>
      <c r="E725">
        <v>58</v>
      </c>
      <c r="Y725" t="s">
        <v>545</v>
      </c>
    </row>
    <row r="726" spans="1:25">
      <c r="A726" t="s">
        <v>688</v>
      </c>
      <c r="B726">
        <v>2686.8900343770001</v>
      </c>
      <c r="C726">
        <v>17</v>
      </c>
      <c r="D726" t="s">
        <v>11</v>
      </c>
      <c r="E726">
        <v>36</v>
      </c>
      <c r="T726" t="s">
        <v>15</v>
      </c>
      <c r="Y726" t="s">
        <v>545</v>
      </c>
    </row>
    <row r="727" spans="1:25">
      <c r="A727" t="s">
        <v>688</v>
      </c>
      <c r="B727">
        <v>2689.3931421023399</v>
      </c>
      <c r="C727">
        <v>20</v>
      </c>
      <c r="D727" t="s">
        <v>622</v>
      </c>
      <c r="E727">
        <v>18</v>
      </c>
      <c r="H727" t="s">
        <v>726</v>
      </c>
      <c r="J727" t="s">
        <v>686</v>
      </c>
      <c r="M727" t="s">
        <v>434</v>
      </c>
      <c r="Y727" t="s">
        <v>545</v>
      </c>
    </row>
    <row r="728" spans="1:25">
      <c r="A728" t="s">
        <v>688</v>
      </c>
      <c r="B728">
        <v>2690.8900343770001</v>
      </c>
      <c r="C728">
        <v>9.90727293897862</v>
      </c>
      <c r="D728" t="s">
        <v>9</v>
      </c>
      <c r="E728">
        <v>67</v>
      </c>
      <c r="Y728" t="s">
        <v>545</v>
      </c>
    </row>
    <row r="729" spans="1:25">
      <c r="A729" t="s">
        <v>688</v>
      </c>
      <c r="B729">
        <v>2693.7973073159701</v>
      </c>
      <c r="C729">
        <v>17</v>
      </c>
      <c r="D729" t="s">
        <v>27</v>
      </c>
      <c r="E729">
        <v>38</v>
      </c>
      <c r="U729" t="s">
        <v>190</v>
      </c>
      <c r="Y729" t="s">
        <v>545</v>
      </c>
    </row>
    <row r="730" spans="1:25">
      <c r="A730" t="s">
        <v>688</v>
      </c>
      <c r="B730">
        <v>2693.8900343770001</v>
      </c>
      <c r="C730">
        <v>13.408190322990301</v>
      </c>
      <c r="D730" t="s">
        <v>19</v>
      </c>
      <c r="E730">
        <v>58</v>
      </c>
      <c r="Y730" t="s">
        <v>545</v>
      </c>
    </row>
    <row r="731" spans="1:25">
      <c r="A731" t="s">
        <v>688</v>
      </c>
      <c r="B731">
        <v>2697.7973073159701</v>
      </c>
      <c r="C731">
        <v>9.5009173840117001</v>
      </c>
      <c r="D731" t="s">
        <v>18</v>
      </c>
      <c r="E731">
        <v>59</v>
      </c>
      <c r="Y731" t="s">
        <v>545</v>
      </c>
    </row>
    <row r="732" spans="1:25">
      <c r="A732" t="s">
        <v>688</v>
      </c>
      <c r="B732">
        <v>2707.29822469999</v>
      </c>
      <c r="C732">
        <v>24.5978109923166</v>
      </c>
      <c r="D732" t="s">
        <v>10</v>
      </c>
      <c r="E732">
        <v>59</v>
      </c>
      <c r="Y732" t="s">
        <v>545</v>
      </c>
    </row>
    <row r="733" spans="1:25">
      <c r="A733" t="s">
        <v>688</v>
      </c>
      <c r="B733">
        <v>2724.027269357</v>
      </c>
      <c r="C733">
        <v>20</v>
      </c>
      <c r="D733" t="s">
        <v>645</v>
      </c>
      <c r="E733">
        <v>25</v>
      </c>
      <c r="I733" t="s">
        <v>440</v>
      </c>
      <c r="M733" t="s">
        <v>438</v>
      </c>
      <c r="Y733" t="s">
        <v>545</v>
      </c>
    </row>
    <row r="734" spans="1:25">
      <c r="A734" t="s">
        <v>688</v>
      </c>
      <c r="B734">
        <v>2728.8960356922998</v>
      </c>
      <c r="C734">
        <v>9.7660726806930107</v>
      </c>
      <c r="D734" t="s">
        <v>18</v>
      </c>
      <c r="E734">
        <v>60</v>
      </c>
      <c r="Y734" t="s">
        <v>545</v>
      </c>
    </row>
    <row r="735" spans="1:25">
      <c r="A735" t="s">
        <v>688</v>
      </c>
      <c r="B735">
        <v>2731.8960356922998</v>
      </c>
      <c r="C735">
        <v>6.7660726806930098</v>
      </c>
      <c r="D735" t="s">
        <v>19</v>
      </c>
      <c r="E735">
        <v>59</v>
      </c>
      <c r="Y735" t="s">
        <v>545</v>
      </c>
    </row>
    <row r="736" spans="1:25">
      <c r="A736" t="s">
        <v>688</v>
      </c>
      <c r="B736">
        <v>2737.8985253639598</v>
      </c>
      <c r="C736">
        <v>0.76358300903120802</v>
      </c>
      <c r="D736" t="s">
        <v>10</v>
      </c>
      <c r="E736">
        <v>60</v>
      </c>
      <c r="Y736" t="s">
        <v>545</v>
      </c>
    </row>
    <row r="737" spans="1:25">
      <c r="A737" t="s">
        <v>688</v>
      </c>
      <c r="B737">
        <v>2757.050047708</v>
      </c>
      <c r="C737">
        <v>20</v>
      </c>
      <c r="D737" t="s">
        <v>196</v>
      </c>
      <c r="E737">
        <v>3</v>
      </c>
      <c r="W737" t="s">
        <v>719</v>
      </c>
      <c r="Y737" t="s">
        <v>546</v>
      </c>
    </row>
    <row r="738" spans="1:25">
      <c r="A738" t="s">
        <v>688</v>
      </c>
      <c r="B738">
        <v>2758.29730039998</v>
      </c>
      <c r="C738">
        <v>20</v>
      </c>
      <c r="D738" t="s">
        <v>764</v>
      </c>
      <c r="E738">
        <v>1</v>
      </c>
      <c r="I738" t="s">
        <v>440</v>
      </c>
      <c r="M738" t="s">
        <v>438</v>
      </c>
      <c r="Y738" t="s">
        <v>546</v>
      </c>
    </row>
    <row r="739" spans="1:25">
      <c r="A739" t="s">
        <v>688</v>
      </c>
      <c r="B739">
        <v>2761.29719343433</v>
      </c>
      <c r="C739">
        <v>20</v>
      </c>
      <c r="D739" t="s">
        <v>645</v>
      </c>
      <c r="E739">
        <v>26</v>
      </c>
      <c r="I739" t="s">
        <v>440</v>
      </c>
      <c r="M739" t="s">
        <v>607</v>
      </c>
      <c r="Y739" t="s">
        <v>546</v>
      </c>
    </row>
    <row r="740" spans="1:25">
      <c r="A740" t="s">
        <v>688</v>
      </c>
      <c r="B740">
        <v>2764.1889108926598</v>
      </c>
      <c r="C740">
        <v>20</v>
      </c>
      <c r="D740" t="s">
        <v>649</v>
      </c>
      <c r="E740">
        <v>34</v>
      </c>
      <c r="I740" t="s">
        <v>440</v>
      </c>
      <c r="M740" t="s">
        <v>607</v>
      </c>
      <c r="Y740" t="s">
        <v>546</v>
      </c>
    </row>
    <row r="741" spans="1:25">
      <c r="A741" t="s">
        <v>688</v>
      </c>
      <c r="B741">
        <v>2764.4960162436601</v>
      </c>
      <c r="C741">
        <v>19.799677266318199</v>
      </c>
      <c r="D741" t="s">
        <v>18</v>
      </c>
      <c r="E741">
        <v>61</v>
      </c>
      <c r="Y741" t="s">
        <v>546</v>
      </c>
    </row>
    <row r="742" spans="1:25">
      <c r="A742" t="s">
        <v>688</v>
      </c>
      <c r="B742">
        <v>2766.0966385679799</v>
      </c>
      <c r="C742">
        <v>20</v>
      </c>
      <c r="D742" t="s">
        <v>652</v>
      </c>
      <c r="E742">
        <v>1</v>
      </c>
      <c r="I742" t="s">
        <v>751</v>
      </c>
      <c r="M742" t="s">
        <v>748</v>
      </c>
      <c r="Y742" t="s">
        <v>546</v>
      </c>
    </row>
    <row r="743" spans="1:25">
      <c r="A743" t="s">
        <v>688</v>
      </c>
      <c r="B743">
        <v>2767.4960162436601</v>
      </c>
      <c r="C743">
        <v>1</v>
      </c>
      <c r="D743" t="s">
        <v>26</v>
      </c>
      <c r="E743">
        <v>1</v>
      </c>
      <c r="Y743" t="s">
        <v>546</v>
      </c>
    </row>
    <row r="744" spans="1:25">
      <c r="A744" t="s">
        <v>688</v>
      </c>
      <c r="B744">
        <v>2767.4960162436601</v>
      </c>
      <c r="C744">
        <v>16.799677266318199</v>
      </c>
      <c r="D744" t="s">
        <v>19</v>
      </c>
      <c r="E744">
        <v>60</v>
      </c>
      <c r="Y744" t="s">
        <v>546</v>
      </c>
    </row>
    <row r="745" spans="1:25">
      <c r="A745" t="s">
        <v>688</v>
      </c>
      <c r="B745">
        <v>2768.8952637759699</v>
      </c>
      <c r="C745">
        <v>20</v>
      </c>
      <c r="D745" t="s">
        <v>658</v>
      </c>
      <c r="E745">
        <v>1</v>
      </c>
      <c r="I745" t="s">
        <v>447</v>
      </c>
      <c r="M745" t="s">
        <v>608</v>
      </c>
      <c r="Y745" t="s">
        <v>546</v>
      </c>
    </row>
    <row r="746" spans="1:25">
      <c r="A746" t="s">
        <v>688</v>
      </c>
      <c r="B746">
        <v>2772.8898488556501</v>
      </c>
      <c r="C746">
        <v>11.405844654332601</v>
      </c>
      <c r="D746" t="s">
        <v>32</v>
      </c>
      <c r="E746">
        <v>24</v>
      </c>
      <c r="R746" t="s">
        <v>23</v>
      </c>
      <c r="Y746" t="s">
        <v>546</v>
      </c>
    </row>
    <row r="747" spans="1:25">
      <c r="A747" t="s">
        <v>688</v>
      </c>
      <c r="B747">
        <v>2784.2956935099801</v>
      </c>
      <c r="C747">
        <v>17.541086037014299</v>
      </c>
      <c r="D747" t="s">
        <v>10</v>
      </c>
      <c r="E747">
        <v>61</v>
      </c>
      <c r="Y747" t="s">
        <v>546</v>
      </c>
    </row>
    <row r="748" spans="1:25">
      <c r="A748" t="s">
        <v>688</v>
      </c>
      <c r="B748">
        <v>2794.8367795469999</v>
      </c>
      <c r="C748">
        <v>17</v>
      </c>
      <c r="D748" t="s">
        <v>6</v>
      </c>
      <c r="E748">
        <v>18</v>
      </c>
      <c r="T748" t="s">
        <v>21</v>
      </c>
      <c r="Y748" t="s">
        <v>546</v>
      </c>
    </row>
    <row r="749" spans="1:25">
      <c r="A749" t="s">
        <v>688</v>
      </c>
      <c r="B749">
        <v>2798.8367795469999</v>
      </c>
      <c r="C749">
        <v>19.6605589446762</v>
      </c>
      <c r="D749" t="s">
        <v>18</v>
      </c>
      <c r="E749">
        <v>62</v>
      </c>
      <c r="Y749" t="s">
        <v>546</v>
      </c>
    </row>
    <row r="750" spans="1:25">
      <c r="A750" t="s">
        <v>688</v>
      </c>
      <c r="B750">
        <v>2799.0906891989898</v>
      </c>
      <c r="C750">
        <v>20</v>
      </c>
      <c r="D750" t="s">
        <v>649</v>
      </c>
      <c r="E750">
        <v>35</v>
      </c>
      <c r="H750" t="s">
        <v>336</v>
      </c>
      <c r="M750" t="s">
        <v>434</v>
      </c>
      <c r="Y750" t="s">
        <v>546</v>
      </c>
    </row>
    <row r="751" spans="1:25">
      <c r="A751" t="s">
        <v>688</v>
      </c>
      <c r="B751">
        <v>2801.4983699029699</v>
      </c>
      <c r="C751">
        <v>20</v>
      </c>
      <c r="D751" t="s">
        <v>645</v>
      </c>
      <c r="E751">
        <v>27</v>
      </c>
      <c r="I751" t="s">
        <v>440</v>
      </c>
      <c r="M751" t="s">
        <v>607</v>
      </c>
      <c r="Y751" t="s">
        <v>546</v>
      </c>
    </row>
    <row r="752" spans="1:25">
      <c r="A752" t="s">
        <v>688</v>
      </c>
      <c r="B752">
        <v>2801.8367795469999</v>
      </c>
      <c r="C752">
        <v>22.960374826654</v>
      </c>
      <c r="D752" t="s">
        <v>19</v>
      </c>
      <c r="E752">
        <v>61</v>
      </c>
      <c r="Y752" t="s">
        <v>546</v>
      </c>
    </row>
    <row r="753" spans="1:25">
      <c r="A753" t="s">
        <v>688</v>
      </c>
      <c r="B753">
        <v>2806.69611242067</v>
      </c>
      <c r="C753">
        <v>20</v>
      </c>
      <c r="D753" t="s">
        <v>45</v>
      </c>
      <c r="E753">
        <v>1</v>
      </c>
      <c r="N753">
        <v>83</v>
      </c>
      <c r="O753">
        <v>47</v>
      </c>
      <c r="Q753" t="s">
        <v>603</v>
      </c>
      <c r="Y753" t="s">
        <v>546</v>
      </c>
    </row>
    <row r="754" spans="1:25">
      <c r="A754" t="s">
        <v>688</v>
      </c>
      <c r="B754">
        <v>2807.3953336166401</v>
      </c>
      <c r="C754">
        <v>20</v>
      </c>
      <c r="D754" t="s">
        <v>652</v>
      </c>
      <c r="E754">
        <v>2</v>
      </c>
      <c r="I754" t="s">
        <v>439</v>
      </c>
      <c r="M754" t="s">
        <v>767</v>
      </c>
      <c r="Y754" t="s">
        <v>546</v>
      </c>
    </row>
    <row r="755" spans="1:25">
      <c r="A755" t="s">
        <v>688</v>
      </c>
      <c r="B755">
        <v>2811.4973384916698</v>
      </c>
      <c r="C755">
        <v>17</v>
      </c>
      <c r="D755" t="s">
        <v>40</v>
      </c>
      <c r="E755">
        <v>24</v>
      </c>
      <c r="U755" t="s">
        <v>28</v>
      </c>
      <c r="Y755" t="s">
        <v>546</v>
      </c>
    </row>
    <row r="756" spans="1:25">
      <c r="A756" t="s">
        <v>688</v>
      </c>
      <c r="B756">
        <v>2812.6052472429901</v>
      </c>
      <c r="C756">
        <v>20</v>
      </c>
      <c r="D756" t="s">
        <v>652</v>
      </c>
      <c r="E756">
        <v>3</v>
      </c>
      <c r="G756" t="s">
        <v>448</v>
      </c>
      <c r="Y756" t="s">
        <v>546</v>
      </c>
    </row>
    <row r="757" spans="1:25">
      <c r="A757" t="s">
        <v>688</v>
      </c>
      <c r="B757">
        <v>2815.4973384916698</v>
      </c>
      <c r="C757">
        <v>9.2998158819777892</v>
      </c>
      <c r="D757" t="s">
        <v>9</v>
      </c>
      <c r="E757">
        <v>68</v>
      </c>
      <c r="Y757" t="s">
        <v>546</v>
      </c>
    </row>
    <row r="758" spans="1:25">
      <c r="A758" t="s">
        <v>688</v>
      </c>
      <c r="B758">
        <v>2824.7971543736498</v>
      </c>
      <c r="C758">
        <v>24.801093569656501</v>
      </c>
      <c r="D758" t="s">
        <v>10</v>
      </c>
      <c r="E758">
        <v>62</v>
      </c>
      <c r="Y758" t="s">
        <v>546</v>
      </c>
    </row>
    <row r="759" spans="1:25">
      <c r="A759" t="s">
        <v>688</v>
      </c>
      <c r="B759">
        <v>2839.7961995412902</v>
      </c>
      <c r="C759">
        <v>20</v>
      </c>
      <c r="D759" t="s">
        <v>652</v>
      </c>
      <c r="E759">
        <v>4</v>
      </c>
      <c r="I759" t="s">
        <v>442</v>
      </c>
      <c r="M759" t="s">
        <v>438</v>
      </c>
      <c r="Y759" t="s">
        <v>546</v>
      </c>
    </row>
    <row r="760" spans="1:25">
      <c r="A760" t="s">
        <v>688</v>
      </c>
      <c r="B760">
        <v>2841.69802779166</v>
      </c>
      <c r="C760">
        <v>20</v>
      </c>
      <c r="D760" t="s">
        <v>658</v>
      </c>
      <c r="E760">
        <v>2</v>
      </c>
      <c r="I760" t="s">
        <v>439</v>
      </c>
      <c r="M760" t="s">
        <v>607</v>
      </c>
      <c r="Y760" t="s">
        <v>546</v>
      </c>
    </row>
    <row r="761" spans="1:25">
      <c r="A761" t="s">
        <v>688</v>
      </c>
      <c r="B761">
        <v>2842.5982479433101</v>
      </c>
      <c r="C761">
        <v>17</v>
      </c>
      <c r="D761" t="s">
        <v>6</v>
      </c>
      <c r="E761">
        <v>19</v>
      </c>
      <c r="T761" t="s">
        <v>25</v>
      </c>
      <c r="Y761" t="s">
        <v>546</v>
      </c>
    </row>
    <row r="762" spans="1:25">
      <c r="A762" t="s">
        <v>688</v>
      </c>
      <c r="B762">
        <v>2844.38904640499</v>
      </c>
      <c r="C762">
        <v>20</v>
      </c>
      <c r="D762" t="s">
        <v>645</v>
      </c>
      <c r="E762">
        <v>28</v>
      </c>
      <c r="H762" t="s">
        <v>445</v>
      </c>
      <c r="I762" t="s">
        <v>440</v>
      </c>
      <c r="M762" t="s">
        <v>607</v>
      </c>
      <c r="Y762" t="s">
        <v>546</v>
      </c>
    </row>
    <row r="763" spans="1:25">
      <c r="A763" t="s">
        <v>688</v>
      </c>
      <c r="B763">
        <v>2845.8370359420001</v>
      </c>
      <c r="C763">
        <v>33.913921037999899</v>
      </c>
      <c r="D763" t="s">
        <v>121</v>
      </c>
      <c r="E763">
        <v>4</v>
      </c>
      <c r="P763" t="s">
        <v>29</v>
      </c>
      <c r="R763" t="s">
        <v>20</v>
      </c>
      <c r="Y763" t="s">
        <v>546</v>
      </c>
    </row>
    <row r="764" spans="1:25">
      <c r="A764" t="s">
        <v>688</v>
      </c>
      <c r="B764">
        <v>2846.5982479433101</v>
      </c>
      <c r="C764">
        <v>59.736074549689398</v>
      </c>
      <c r="D764" t="s">
        <v>18</v>
      </c>
      <c r="E764">
        <v>63</v>
      </c>
      <c r="Y764" t="s">
        <v>546</v>
      </c>
    </row>
    <row r="765" spans="1:25">
      <c r="A765" t="s">
        <v>688</v>
      </c>
      <c r="B765">
        <v>2846.79593436398</v>
      </c>
      <c r="C765">
        <v>20</v>
      </c>
      <c r="D765" t="s">
        <v>652</v>
      </c>
      <c r="E765">
        <v>5</v>
      </c>
      <c r="I765" t="s">
        <v>447</v>
      </c>
      <c r="M765" t="s">
        <v>607</v>
      </c>
      <c r="Y765" t="s">
        <v>546</v>
      </c>
    </row>
    <row r="766" spans="1:25">
      <c r="A766" t="s">
        <v>688</v>
      </c>
      <c r="B766">
        <v>2849.5982479433101</v>
      </c>
      <c r="C766">
        <v>56.736074549689398</v>
      </c>
      <c r="D766" t="s">
        <v>19</v>
      </c>
      <c r="E766">
        <v>62</v>
      </c>
      <c r="Y766" t="s">
        <v>546</v>
      </c>
    </row>
    <row r="767" spans="1:25">
      <c r="A767" t="s">
        <v>688</v>
      </c>
      <c r="B767">
        <v>2849.8927818253301</v>
      </c>
      <c r="C767">
        <v>20</v>
      </c>
      <c r="D767" t="s">
        <v>651</v>
      </c>
      <c r="E767">
        <v>1</v>
      </c>
      <c r="H767" t="s">
        <v>628</v>
      </c>
      <c r="I767" t="s">
        <v>440</v>
      </c>
      <c r="M767" t="s">
        <v>607</v>
      </c>
      <c r="Y767" t="s">
        <v>546</v>
      </c>
    </row>
    <row r="768" spans="1:25">
      <c r="A768" t="s">
        <v>688</v>
      </c>
      <c r="B768">
        <v>2854.0763245110002</v>
      </c>
      <c r="C768">
        <v>20</v>
      </c>
      <c r="D768" t="s">
        <v>653</v>
      </c>
      <c r="E768">
        <v>10</v>
      </c>
      <c r="I768" t="s">
        <v>440</v>
      </c>
      <c r="M768" t="s">
        <v>607</v>
      </c>
      <c r="Y768" t="s">
        <v>546</v>
      </c>
    </row>
    <row r="769" spans="1:25">
      <c r="A769" t="s">
        <v>688</v>
      </c>
      <c r="B769">
        <v>2856.0967008626699</v>
      </c>
      <c r="C769">
        <v>20</v>
      </c>
      <c r="D769" t="s">
        <v>649</v>
      </c>
      <c r="E769">
        <v>36</v>
      </c>
      <c r="I769" t="s">
        <v>747</v>
      </c>
      <c r="M769" t="s">
        <v>678</v>
      </c>
      <c r="Y769" t="s">
        <v>546</v>
      </c>
    </row>
    <row r="770" spans="1:25">
      <c r="A770" t="s">
        <v>688</v>
      </c>
      <c r="B770">
        <v>2857.6030538216401</v>
      </c>
      <c r="C770">
        <v>20</v>
      </c>
      <c r="D770" t="s">
        <v>761</v>
      </c>
      <c r="E770">
        <v>11</v>
      </c>
      <c r="H770" t="s">
        <v>445</v>
      </c>
      <c r="I770" t="s">
        <v>442</v>
      </c>
      <c r="M770" t="s">
        <v>607</v>
      </c>
      <c r="Y770" t="s">
        <v>546</v>
      </c>
    </row>
    <row r="771" spans="1:25">
      <c r="A771" t="s">
        <v>688</v>
      </c>
      <c r="B771">
        <v>2860.29725202698</v>
      </c>
      <c r="C771">
        <v>20</v>
      </c>
      <c r="D771" t="s">
        <v>651</v>
      </c>
      <c r="E771">
        <v>2</v>
      </c>
      <c r="H771" t="s">
        <v>628</v>
      </c>
      <c r="I771" t="s">
        <v>543</v>
      </c>
      <c r="M771" t="s">
        <v>607</v>
      </c>
      <c r="Y771" t="s">
        <v>546</v>
      </c>
    </row>
    <row r="772" spans="1:25">
      <c r="A772" t="s">
        <v>688</v>
      </c>
      <c r="B772">
        <v>2864.0958942626598</v>
      </c>
      <c r="C772">
        <v>20</v>
      </c>
      <c r="D772" t="s">
        <v>33</v>
      </c>
      <c r="E772">
        <v>14</v>
      </c>
      <c r="Y772" t="s">
        <v>546</v>
      </c>
    </row>
    <row r="773" spans="1:25">
      <c r="A773" t="s">
        <v>688</v>
      </c>
      <c r="B773">
        <v>2866.19381215566</v>
      </c>
      <c r="C773">
        <v>20</v>
      </c>
      <c r="D773" t="s">
        <v>647</v>
      </c>
      <c r="E773">
        <v>18</v>
      </c>
      <c r="H773" t="s">
        <v>461</v>
      </c>
      <c r="I773" t="s">
        <v>440</v>
      </c>
      <c r="M773" t="s">
        <v>638</v>
      </c>
      <c r="Y773" t="s">
        <v>546</v>
      </c>
    </row>
    <row r="774" spans="1:25">
      <c r="A774" t="s">
        <v>688</v>
      </c>
      <c r="B774">
        <v>2868.99543261497</v>
      </c>
      <c r="C774">
        <v>20</v>
      </c>
      <c r="D774" t="s">
        <v>651</v>
      </c>
      <c r="E774">
        <v>3</v>
      </c>
      <c r="I774" t="s">
        <v>440</v>
      </c>
      <c r="M774" t="s">
        <v>607</v>
      </c>
      <c r="Y774" t="s">
        <v>546</v>
      </c>
    </row>
    <row r="775" spans="1:25">
      <c r="A775" t="s">
        <v>688</v>
      </c>
      <c r="B775">
        <v>2873.0960049913101</v>
      </c>
      <c r="C775">
        <v>20</v>
      </c>
      <c r="D775" t="s">
        <v>649</v>
      </c>
      <c r="E775">
        <v>37</v>
      </c>
      <c r="I775" t="s">
        <v>442</v>
      </c>
      <c r="M775" t="s">
        <v>607</v>
      </c>
      <c r="Y775" t="s">
        <v>546</v>
      </c>
    </row>
    <row r="776" spans="1:25">
      <c r="A776" t="s">
        <v>688</v>
      </c>
      <c r="B776">
        <v>2874.75095698</v>
      </c>
      <c r="C776">
        <v>19.681390523000101</v>
      </c>
      <c r="D776" t="s">
        <v>32</v>
      </c>
      <c r="E776">
        <v>25</v>
      </c>
      <c r="R776" t="s">
        <v>23</v>
      </c>
      <c r="Y776" t="s">
        <v>546</v>
      </c>
    </row>
    <row r="777" spans="1:25">
      <c r="A777" t="s">
        <v>688</v>
      </c>
      <c r="B777">
        <v>2877.2956099919702</v>
      </c>
      <c r="C777">
        <v>20</v>
      </c>
      <c r="D777" t="s">
        <v>658</v>
      </c>
      <c r="E777">
        <v>3</v>
      </c>
      <c r="I777" t="s">
        <v>442</v>
      </c>
      <c r="M777" t="s">
        <v>607</v>
      </c>
      <c r="Y777" t="s">
        <v>546</v>
      </c>
    </row>
    <row r="778" spans="1:25">
      <c r="A778" t="s">
        <v>688</v>
      </c>
      <c r="B778">
        <v>2880.9694006220002</v>
      </c>
      <c r="C778">
        <v>20</v>
      </c>
      <c r="D778" t="s">
        <v>649</v>
      </c>
      <c r="E778">
        <v>38</v>
      </c>
      <c r="H778" t="s">
        <v>752</v>
      </c>
      <c r="I778" t="s">
        <v>442</v>
      </c>
      <c r="M778" t="s">
        <v>637</v>
      </c>
      <c r="Y778" t="s">
        <v>546</v>
      </c>
    </row>
    <row r="779" spans="1:25">
      <c r="A779" t="s">
        <v>688</v>
      </c>
      <c r="B779">
        <v>2883.7871456599901</v>
      </c>
      <c r="C779">
        <v>15</v>
      </c>
      <c r="D779" t="s">
        <v>605</v>
      </c>
      <c r="E779">
        <v>3</v>
      </c>
      <c r="Y779" t="s">
        <v>546</v>
      </c>
    </row>
    <row r="780" spans="1:25">
      <c r="A780" t="s">
        <v>688</v>
      </c>
      <c r="B780">
        <v>2884.4716091599998</v>
      </c>
      <c r="C780">
        <v>20</v>
      </c>
      <c r="D780" t="s">
        <v>33</v>
      </c>
      <c r="E780">
        <v>15</v>
      </c>
      <c r="Y780" t="s">
        <v>546</v>
      </c>
    </row>
    <row r="781" spans="1:25">
      <c r="A781" t="s">
        <v>688</v>
      </c>
      <c r="B781">
        <v>2906.3343224929999</v>
      </c>
      <c r="C781">
        <v>12.849150991999901</v>
      </c>
      <c r="D781" t="s">
        <v>10</v>
      </c>
      <c r="E781">
        <v>63</v>
      </c>
      <c r="Y781" t="s">
        <v>546</v>
      </c>
    </row>
    <row r="782" spans="1:25">
      <c r="A782" t="s">
        <v>688</v>
      </c>
      <c r="B782">
        <v>2912.1834734849999</v>
      </c>
      <c r="C782">
        <v>17</v>
      </c>
      <c r="D782" t="s">
        <v>11</v>
      </c>
      <c r="E782">
        <v>37</v>
      </c>
      <c r="T782" t="s">
        <v>13</v>
      </c>
      <c r="Y782" t="s">
        <v>546</v>
      </c>
    </row>
    <row r="783" spans="1:25">
      <c r="A783" t="s">
        <v>688</v>
      </c>
      <c r="B783">
        <v>2912.7965732069702</v>
      </c>
      <c r="C783">
        <v>20</v>
      </c>
      <c r="D783" t="s">
        <v>658</v>
      </c>
      <c r="E783">
        <v>4</v>
      </c>
      <c r="I783" t="s">
        <v>439</v>
      </c>
      <c r="M783" t="s">
        <v>443</v>
      </c>
      <c r="Y783" t="s">
        <v>546</v>
      </c>
    </row>
    <row r="784" spans="1:25">
      <c r="A784" t="s">
        <v>688</v>
      </c>
      <c r="B784">
        <v>2916.1834734849999</v>
      </c>
      <c r="C784">
        <v>14.4141278603292</v>
      </c>
      <c r="D784" t="s">
        <v>9</v>
      </c>
      <c r="E784">
        <v>69</v>
      </c>
      <c r="Y784" t="s">
        <v>546</v>
      </c>
    </row>
    <row r="785" spans="1:25">
      <c r="A785" t="s">
        <v>688</v>
      </c>
      <c r="B785">
        <v>2919.1834734849999</v>
      </c>
      <c r="C785">
        <v>126.752864155</v>
      </c>
      <c r="D785" t="s">
        <v>19</v>
      </c>
      <c r="E785">
        <v>63</v>
      </c>
      <c r="Y785" t="s">
        <v>546</v>
      </c>
    </row>
    <row r="786" spans="1:25">
      <c r="A786" t="s">
        <v>688</v>
      </c>
      <c r="B786">
        <v>2919.5964647803198</v>
      </c>
      <c r="C786">
        <v>20</v>
      </c>
      <c r="D786" t="s">
        <v>645</v>
      </c>
      <c r="E786">
        <v>29</v>
      </c>
      <c r="I786" t="s">
        <v>613</v>
      </c>
      <c r="J786" t="s">
        <v>611</v>
      </c>
      <c r="M786" t="s">
        <v>643</v>
      </c>
      <c r="Y786" t="s">
        <v>546</v>
      </c>
    </row>
    <row r="787" spans="1:25">
      <c r="A787" t="s">
        <v>688</v>
      </c>
      <c r="B787">
        <v>2920.0953612499902</v>
      </c>
      <c r="C787">
        <v>20</v>
      </c>
      <c r="D787" t="s">
        <v>36</v>
      </c>
      <c r="E787">
        <v>15</v>
      </c>
      <c r="N787">
        <v>91</v>
      </c>
      <c r="O787">
        <v>68</v>
      </c>
      <c r="Q787" t="s">
        <v>706</v>
      </c>
      <c r="Y787" t="s">
        <v>546</v>
      </c>
    </row>
    <row r="788" spans="1:25">
      <c r="A788" t="s">
        <v>688</v>
      </c>
      <c r="B788">
        <v>2923.5976013453201</v>
      </c>
      <c r="C788">
        <v>17</v>
      </c>
      <c r="D788" t="s">
        <v>27</v>
      </c>
      <c r="E788">
        <v>39</v>
      </c>
      <c r="U788" t="s">
        <v>14</v>
      </c>
      <c r="Y788" t="s">
        <v>546</v>
      </c>
    </row>
    <row r="789" spans="1:25">
      <c r="A789" t="s">
        <v>688</v>
      </c>
      <c r="B789">
        <v>2923.6976580839801</v>
      </c>
      <c r="C789">
        <v>20</v>
      </c>
      <c r="D789" t="s">
        <v>36</v>
      </c>
      <c r="E789">
        <v>16</v>
      </c>
      <c r="N789">
        <v>89</v>
      </c>
      <c r="O789">
        <v>68</v>
      </c>
      <c r="Q789" t="s">
        <v>707</v>
      </c>
      <c r="Y789" t="s">
        <v>546</v>
      </c>
    </row>
    <row r="790" spans="1:25">
      <c r="A790" t="s">
        <v>688</v>
      </c>
      <c r="B790">
        <v>2924.5966052639901</v>
      </c>
      <c r="C790">
        <v>20</v>
      </c>
      <c r="D790" t="s">
        <v>135</v>
      </c>
      <c r="E790">
        <v>13</v>
      </c>
      <c r="Y790" t="s">
        <v>546</v>
      </c>
    </row>
    <row r="791" spans="1:25">
      <c r="A791" t="s">
        <v>688</v>
      </c>
      <c r="B791">
        <v>2925.0953612499902</v>
      </c>
      <c r="C791">
        <v>15</v>
      </c>
      <c r="D791" t="s">
        <v>35</v>
      </c>
      <c r="E791">
        <v>15</v>
      </c>
      <c r="Y791" t="s">
        <v>546</v>
      </c>
    </row>
    <row r="792" spans="1:25">
      <c r="A792" t="s">
        <v>688</v>
      </c>
      <c r="B792">
        <v>2925.1936302476502</v>
      </c>
      <c r="C792">
        <v>20</v>
      </c>
      <c r="D792" t="s">
        <v>647</v>
      </c>
      <c r="E792">
        <v>19</v>
      </c>
      <c r="H792" t="s">
        <v>609</v>
      </c>
      <c r="L792" t="s">
        <v>51</v>
      </c>
      <c r="M792" t="s">
        <v>544</v>
      </c>
      <c r="Y792" t="s">
        <v>546</v>
      </c>
    </row>
    <row r="793" spans="1:25">
      <c r="A793" t="s">
        <v>688</v>
      </c>
      <c r="B793">
        <v>2927.5976013453201</v>
      </c>
      <c r="C793">
        <v>76.994857327673799</v>
      </c>
      <c r="D793" t="s">
        <v>18</v>
      </c>
      <c r="E793">
        <v>64</v>
      </c>
      <c r="Y793" t="s">
        <v>546</v>
      </c>
    </row>
    <row r="794" spans="1:25">
      <c r="A794" t="s">
        <v>688</v>
      </c>
      <c r="B794">
        <v>2928.6976580839801</v>
      </c>
      <c r="C794">
        <v>15</v>
      </c>
      <c r="D794" t="s">
        <v>35</v>
      </c>
      <c r="E794">
        <v>16</v>
      </c>
      <c r="Y794" t="s">
        <v>546</v>
      </c>
    </row>
    <row r="795" spans="1:25">
      <c r="A795" t="s">
        <v>688</v>
      </c>
      <c r="B795">
        <v>2929.6532018309999</v>
      </c>
      <c r="C795">
        <v>20</v>
      </c>
      <c r="D795" t="s">
        <v>647</v>
      </c>
      <c r="E795">
        <v>20</v>
      </c>
      <c r="L795" t="s">
        <v>37</v>
      </c>
      <c r="Y795" t="s">
        <v>546</v>
      </c>
    </row>
    <row r="796" spans="1:25">
      <c r="A796" t="s">
        <v>688</v>
      </c>
      <c r="B796">
        <v>2932.59544666798</v>
      </c>
      <c r="C796">
        <v>20</v>
      </c>
      <c r="D796" t="s">
        <v>651</v>
      </c>
      <c r="E796">
        <v>4</v>
      </c>
      <c r="J796" t="s">
        <v>49</v>
      </c>
      <c r="Y796" t="s">
        <v>546</v>
      </c>
    </row>
    <row r="797" spans="1:25">
      <c r="A797" t="s">
        <v>688</v>
      </c>
      <c r="B797">
        <v>2935.09237416831</v>
      </c>
      <c r="C797">
        <v>20</v>
      </c>
      <c r="D797" t="s">
        <v>761</v>
      </c>
      <c r="E797">
        <v>12</v>
      </c>
      <c r="H797" t="s">
        <v>435</v>
      </c>
      <c r="M797" t="s">
        <v>762</v>
      </c>
      <c r="Y797" t="s">
        <v>546</v>
      </c>
    </row>
    <row r="798" spans="1:25">
      <c r="A798" t="s">
        <v>688</v>
      </c>
      <c r="B798">
        <v>2935.6528925870002</v>
      </c>
      <c r="C798">
        <v>20</v>
      </c>
      <c r="D798" t="s">
        <v>647</v>
      </c>
      <c r="E798">
        <v>21</v>
      </c>
      <c r="I798" t="s">
        <v>440</v>
      </c>
      <c r="M798" t="s">
        <v>438</v>
      </c>
      <c r="Y798" t="s">
        <v>546</v>
      </c>
    </row>
    <row r="799" spans="1:25">
      <c r="A799" t="s">
        <v>688</v>
      </c>
      <c r="B799">
        <v>2936.5958080239998</v>
      </c>
      <c r="C799">
        <v>20</v>
      </c>
      <c r="D799" t="s">
        <v>135</v>
      </c>
      <c r="E799">
        <v>14</v>
      </c>
      <c r="Y799" t="s">
        <v>546</v>
      </c>
    </row>
    <row r="800" spans="1:25">
      <c r="A800" t="s">
        <v>688</v>
      </c>
      <c r="B800">
        <v>2945.89496308566</v>
      </c>
      <c r="C800">
        <v>20</v>
      </c>
      <c r="D800" t="s">
        <v>649</v>
      </c>
      <c r="E800">
        <v>39</v>
      </c>
      <c r="I800" t="s">
        <v>440</v>
      </c>
      <c r="M800" t="s">
        <v>438</v>
      </c>
      <c r="Y800" t="s">
        <v>546</v>
      </c>
    </row>
    <row r="801" spans="1:25">
      <c r="A801" t="s">
        <v>688</v>
      </c>
      <c r="B801">
        <v>2950.9954484189798</v>
      </c>
      <c r="C801">
        <v>20</v>
      </c>
      <c r="D801" t="s">
        <v>652</v>
      </c>
      <c r="E801">
        <v>6</v>
      </c>
      <c r="I801" t="s">
        <v>442</v>
      </c>
      <c r="M801" t="s">
        <v>607</v>
      </c>
      <c r="Y801" t="s">
        <v>546</v>
      </c>
    </row>
    <row r="802" spans="1:25">
      <c r="A802" t="s">
        <v>688</v>
      </c>
      <c r="B802">
        <v>2954.9953890389702</v>
      </c>
      <c r="C802">
        <v>20</v>
      </c>
      <c r="D802" t="s">
        <v>658</v>
      </c>
      <c r="E802">
        <v>5</v>
      </c>
      <c r="H802" t="s">
        <v>450</v>
      </c>
      <c r="I802" t="s">
        <v>439</v>
      </c>
      <c r="M802" t="s">
        <v>608</v>
      </c>
      <c r="Y802" t="s">
        <v>546</v>
      </c>
    </row>
    <row r="803" spans="1:25">
      <c r="A803" t="s">
        <v>688</v>
      </c>
      <c r="B803">
        <v>2960.6393288600002</v>
      </c>
      <c r="C803">
        <v>20</v>
      </c>
      <c r="D803" t="s">
        <v>626</v>
      </c>
      <c r="E803">
        <v>17</v>
      </c>
      <c r="M803" t="s">
        <v>544</v>
      </c>
      <c r="Y803" t="s">
        <v>546</v>
      </c>
    </row>
    <row r="804" spans="1:25">
      <c r="A804" t="s">
        <v>688</v>
      </c>
      <c r="B804">
        <v>2961.4957660129899</v>
      </c>
      <c r="C804">
        <v>20</v>
      </c>
      <c r="D804" t="s">
        <v>658</v>
      </c>
      <c r="E804">
        <v>6</v>
      </c>
      <c r="I804" t="s">
        <v>773</v>
      </c>
      <c r="M804" t="s">
        <v>634</v>
      </c>
      <c r="Y804" t="s">
        <v>546</v>
      </c>
    </row>
    <row r="805" spans="1:25">
      <c r="A805" t="s">
        <v>688</v>
      </c>
      <c r="B805">
        <v>2964.2965800126499</v>
      </c>
      <c r="C805">
        <v>20</v>
      </c>
      <c r="D805" t="s">
        <v>652</v>
      </c>
      <c r="E805">
        <v>7</v>
      </c>
      <c r="I805" t="s">
        <v>447</v>
      </c>
      <c r="M805" t="s">
        <v>607</v>
      </c>
      <c r="Y805" t="s">
        <v>546</v>
      </c>
    </row>
    <row r="806" spans="1:25">
      <c r="A806" t="s">
        <v>688</v>
      </c>
      <c r="B806">
        <v>2967.8956875303002</v>
      </c>
      <c r="C806">
        <v>29.484355176032199</v>
      </c>
      <c r="D806" t="s">
        <v>121</v>
      </c>
      <c r="E806">
        <v>5</v>
      </c>
      <c r="P806" t="s">
        <v>691</v>
      </c>
      <c r="R806" t="s">
        <v>20</v>
      </c>
      <c r="Y806" t="s">
        <v>546</v>
      </c>
    </row>
    <row r="807" spans="1:25">
      <c r="A807" t="s">
        <v>688</v>
      </c>
      <c r="B807">
        <v>2974.0746007389998</v>
      </c>
      <c r="C807">
        <v>20</v>
      </c>
      <c r="D807" t="s">
        <v>764</v>
      </c>
      <c r="E807">
        <v>2</v>
      </c>
      <c r="K807" t="s">
        <v>48</v>
      </c>
      <c r="M807" t="s">
        <v>617</v>
      </c>
      <c r="Y807" t="s">
        <v>546</v>
      </c>
    </row>
    <row r="808" spans="1:25">
      <c r="A808" t="s">
        <v>688</v>
      </c>
      <c r="B808">
        <v>2975.3942461699999</v>
      </c>
      <c r="C808">
        <v>20</v>
      </c>
      <c r="D808" t="s">
        <v>653</v>
      </c>
      <c r="E808">
        <v>11</v>
      </c>
      <c r="H808" t="s">
        <v>450</v>
      </c>
      <c r="I808" t="s">
        <v>439</v>
      </c>
      <c r="M808" t="s">
        <v>438</v>
      </c>
      <c r="Y808" t="s">
        <v>546</v>
      </c>
    </row>
    <row r="809" spans="1:25">
      <c r="A809" t="s">
        <v>688</v>
      </c>
      <c r="B809">
        <v>2979.5902258762999</v>
      </c>
      <c r="C809">
        <v>20</v>
      </c>
      <c r="D809" t="s">
        <v>33</v>
      </c>
      <c r="E809">
        <v>16</v>
      </c>
      <c r="Y809" t="s">
        <v>546</v>
      </c>
    </row>
    <row r="810" spans="1:25">
      <c r="A810" t="s">
        <v>688</v>
      </c>
      <c r="B810">
        <v>2982.7914515236598</v>
      </c>
      <c r="C810">
        <v>20</v>
      </c>
      <c r="D810" t="s">
        <v>135</v>
      </c>
      <c r="E810">
        <v>15</v>
      </c>
      <c r="Y810" t="s">
        <v>546</v>
      </c>
    </row>
    <row r="811" spans="1:25">
      <c r="A811" t="s">
        <v>688</v>
      </c>
      <c r="B811">
        <v>2982.7950167590102</v>
      </c>
      <c r="C811">
        <v>13.838626682008901</v>
      </c>
      <c r="D811" t="s">
        <v>32</v>
      </c>
      <c r="E811">
        <v>26</v>
      </c>
      <c r="R811" t="s">
        <v>20</v>
      </c>
      <c r="Y811" t="s">
        <v>546</v>
      </c>
    </row>
    <row r="812" spans="1:25">
      <c r="A812" t="s">
        <v>688</v>
      </c>
      <c r="B812">
        <v>2983.561769125</v>
      </c>
      <c r="C812">
        <v>20</v>
      </c>
      <c r="D812" t="s">
        <v>764</v>
      </c>
      <c r="E812">
        <v>3</v>
      </c>
      <c r="H812" t="s">
        <v>730</v>
      </c>
      <c r="I812" t="s">
        <v>53</v>
      </c>
      <c r="M812" t="s">
        <v>615</v>
      </c>
      <c r="Y812" t="s">
        <v>546</v>
      </c>
    </row>
    <row r="813" spans="1:25">
      <c r="A813" t="s">
        <v>688</v>
      </c>
      <c r="B813">
        <v>2984.5054652839999</v>
      </c>
      <c r="C813">
        <v>20</v>
      </c>
      <c r="D813" t="s">
        <v>34</v>
      </c>
      <c r="E813">
        <v>8</v>
      </c>
      <c r="R813" t="s">
        <v>23</v>
      </c>
      <c r="Y813" t="s">
        <v>546</v>
      </c>
    </row>
    <row r="814" spans="1:25">
      <c r="A814" t="s">
        <v>688</v>
      </c>
      <c r="B814">
        <v>2997.5924586729998</v>
      </c>
      <c r="C814">
        <v>17</v>
      </c>
      <c r="D814" t="s">
        <v>11</v>
      </c>
      <c r="E814">
        <v>38</v>
      </c>
      <c r="T814" t="s">
        <v>16</v>
      </c>
      <c r="Y814" t="s">
        <v>546</v>
      </c>
    </row>
    <row r="815" spans="1:25">
      <c r="A815" t="s">
        <v>688</v>
      </c>
      <c r="B815">
        <v>3000.5954168390099</v>
      </c>
      <c r="C815">
        <v>14.309928425989201</v>
      </c>
      <c r="D815" t="s">
        <v>427</v>
      </c>
      <c r="E815">
        <v>20</v>
      </c>
      <c r="P815" t="s">
        <v>31</v>
      </c>
      <c r="R815" t="s">
        <v>20</v>
      </c>
      <c r="S815" t="s">
        <v>43</v>
      </c>
      <c r="Y815" t="s">
        <v>546</v>
      </c>
    </row>
    <row r="816" spans="1:25">
      <c r="A816" t="s">
        <v>688</v>
      </c>
      <c r="B816">
        <v>3001.5924586729998</v>
      </c>
      <c r="C816">
        <v>13.312886591997</v>
      </c>
      <c r="D816" t="s">
        <v>9</v>
      </c>
      <c r="E816">
        <v>70</v>
      </c>
      <c r="Y816" t="s">
        <v>546</v>
      </c>
    </row>
    <row r="817" spans="1:25">
      <c r="A817" t="s">
        <v>688</v>
      </c>
      <c r="B817">
        <v>3007.701915527</v>
      </c>
      <c r="C817">
        <v>20</v>
      </c>
      <c r="D817" t="s">
        <v>649</v>
      </c>
      <c r="E817">
        <v>40</v>
      </c>
      <c r="H817" t="s">
        <v>336</v>
      </c>
      <c r="M817" t="s">
        <v>436</v>
      </c>
      <c r="Y817" t="s">
        <v>546</v>
      </c>
    </row>
    <row r="818" spans="1:25">
      <c r="A818" t="s">
        <v>688</v>
      </c>
      <c r="B818">
        <v>3007.9053452650001</v>
      </c>
      <c r="C818">
        <v>17</v>
      </c>
      <c r="D818" t="s">
        <v>27</v>
      </c>
      <c r="E818">
        <v>40</v>
      </c>
      <c r="U818" t="s">
        <v>195</v>
      </c>
      <c r="Y818" t="s">
        <v>546</v>
      </c>
    </row>
    <row r="819" spans="1:25">
      <c r="A819" t="s">
        <v>688</v>
      </c>
      <c r="B819">
        <v>3009.3961179419898</v>
      </c>
      <c r="C819">
        <v>20</v>
      </c>
      <c r="D819" t="s">
        <v>645</v>
      </c>
      <c r="E819">
        <v>30</v>
      </c>
      <c r="I819" t="s">
        <v>440</v>
      </c>
      <c r="M819" t="s">
        <v>438</v>
      </c>
      <c r="Y819" t="s">
        <v>546</v>
      </c>
    </row>
    <row r="820" spans="1:25">
      <c r="A820" t="s">
        <v>688</v>
      </c>
      <c r="B820">
        <v>3011.9053452650001</v>
      </c>
      <c r="C820">
        <v>26.192406004990001</v>
      </c>
      <c r="D820" t="s">
        <v>18</v>
      </c>
      <c r="E820">
        <v>65</v>
      </c>
      <c r="Y820" t="s">
        <v>546</v>
      </c>
    </row>
    <row r="821" spans="1:25">
      <c r="A821" t="s">
        <v>688</v>
      </c>
      <c r="B821">
        <v>3015.29642502665</v>
      </c>
      <c r="C821">
        <v>20</v>
      </c>
      <c r="D821" t="s">
        <v>652</v>
      </c>
      <c r="E821">
        <v>8</v>
      </c>
      <c r="I821" t="s">
        <v>442</v>
      </c>
      <c r="M821" t="s">
        <v>607</v>
      </c>
      <c r="Y821" t="s">
        <v>546</v>
      </c>
    </row>
    <row r="822" spans="1:25">
      <c r="A822" t="s">
        <v>688</v>
      </c>
      <c r="B822">
        <v>3021.6959465999898</v>
      </c>
      <c r="C822">
        <v>16.401804669999802</v>
      </c>
      <c r="D822" t="s">
        <v>32</v>
      </c>
      <c r="E822">
        <v>27</v>
      </c>
      <c r="R822" t="s">
        <v>23</v>
      </c>
      <c r="Y822" t="s">
        <v>546</v>
      </c>
    </row>
    <row r="823" spans="1:25">
      <c r="A823" t="s">
        <v>688</v>
      </c>
      <c r="B823">
        <v>3021.6964555306499</v>
      </c>
      <c r="C823">
        <v>20</v>
      </c>
      <c r="D823" t="s">
        <v>658</v>
      </c>
      <c r="E823">
        <v>7</v>
      </c>
      <c r="I823" t="s">
        <v>442</v>
      </c>
      <c r="M823" t="s">
        <v>607</v>
      </c>
      <c r="Y823" t="s">
        <v>546</v>
      </c>
    </row>
    <row r="824" spans="1:25">
      <c r="A824" t="s">
        <v>688</v>
      </c>
      <c r="B824">
        <v>3022.8956222829702</v>
      </c>
      <c r="C824">
        <v>20</v>
      </c>
      <c r="D824" t="s">
        <v>649</v>
      </c>
      <c r="E824">
        <v>41</v>
      </c>
      <c r="I824" t="s">
        <v>439</v>
      </c>
      <c r="M824" t="s">
        <v>607</v>
      </c>
      <c r="Y824" t="s">
        <v>546</v>
      </c>
    </row>
    <row r="825" spans="1:25">
      <c r="A825" t="s">
        <v>688</v>
      </c>
      <c r="B825">
        <v>3026.5964623476598</v>
      </c>
      <c r="C825">
        <v>20</v>
      </c>
      <c r="D825" t="s">
        <v>33</v>
      </c>
      <c r="E825">
        <v>17</v>
      </c>
      <c r="Y825" t="s">
        <v>546</v>
      </c>
    </row>
    <row r="826" spans="1:25">
      <c r="A826" t="s">
        <v>688</v>
      </c>
      <c r="B826">
        <v>3027.2965801586602</v>
      </c>
      <c r="C826">
        <v>20</v>
      </c>
      <c r="D826" t="s">
        <v>651</v>
      </c>
      <c r="E826">
        <v>5</v>
      </c>
      <c r="H826" t="s">
        <v>623</v>
      </c>
      <c r="M826" t="s">
        <v>676</v>
      </c>
      <c r="Y826" t="s">
        <v>546</v>
      </c>
    </row>
    <row r="827" spans="1:25">
      <c r="A827" t="s">
        <v>688</v>
      </c>
      <c r="B827">
        <v>3031.0977512699901</v>
      </c>
      <c r="C827">
        <v>17</v>
      </c>
      <c r="D827" t="s">
        <v>40</v>
      </c>
      <c r="E827">
        <v>25</v>
      </c>
      <c r="U827" t="s">
        <v>14</v>
      </c>
      <c r="Y827" t="s">
        <v>546</v>
      </c>
    </row>
    <row r="828" spans="1:25">
      <c r="A828" t="s">
        <v>688</v>
      </c>
      <c r="B828">
        <v>3031.49809462033</v>
      </c>
      <c r="C828">
        <v>20</v>
      </c>
      <c r="D828" t="s">
        <v>651</v>
      </c>
      <c r="E828">
        <v>6</v>
      </c>
      <c r="J828" t="s">
        <v>335</v>
      </c>
      <c r="M828" t="s">
        <v>617</v>
      </c>
      <c r="Y828" t="s">
        <v>546</v>
      </c>
    </row>
    <row r="829" spans="1:25">
      <c r="A829" t="s">
        <v>688</v>
      </c>
      <c r="B829">
        <v>3033.0778338169998</v>
      </c>
      <c r="C829">
        <v>20</v>
      </c>
      <c r="D829" t="s">
        <v>761</v>
      </c>
      <c r="E829">
        <v>13</v>
      </c>
      <c r="J829" t="s">
        <v>611</v>
      </c>
      <c r="K829" t="s">
        <v>441</v>
      </c>
      <c r="M829" t="s">
        <v>620</v>
      </c>
      <c r="Y829" t="s">
        <v>546</v>
      </c>
    </row>
    <row r="830" spans="1:25">
      <c r="A830" t="s">
        <v>688</v>
      </c>
      <c r="B830">
        <v>3035.0977512699901</v>
      </c>
      <c r="C830">
        <v>10.838586370010001</v>
      </c>
      <c r="D830" t="s">
        <v>9</v>
      </c>
      <c r="E830">
        <v>71</v>
      </c>
      <c r="Y830" t="s">
        <v>546</v>
      </c>
    </row>
    <row r="831" spans="1:25">
      <c r="A831" t="s">
        <v>688</v>
      </c>
      <c r="B831">
        <v>3035.4961296056499</v>
      </c>
      <c r="C831">
        <v>20</v>
      </c>
      <c r="D831" t="s">
        <v>651</v>
      </c>
      <c r="E831">
        <v>7</v>
      </c>
      <c r="J831" t="s">
        <v>222</v>
      </c>
      <c r="Y831" t="s">
        <v>546</v>
      </c>
    </row>
    <row r="832" spans="1:25">
      <c r="A832" t="s">
        <v>688</v>
      </c>
      <c r="B832">
        <v>3041.6972129116398</v>
      </c>
      <c r="C832">
        <v>20</v>
      </c>
      <c r="D832" t="s">
        <v>651</v>
      </c>
      <c r="E832">
        <v>8</v>
      </c>
      <c r="I832" t="s">
        <v>440</v>
      </c>
      <c r="M832" t="s">
        <v>438</v>
      </c>
      <c r="Y832" t="s">
        <v>546</v>
      </c>
    </row>
    <row r="833" spans="1:25">
      <c r="A833" t="s">
        <v>688</v>
      </c>
      <c r="B833">
        <v>3043.88967186933</v>
      </c>
      <c r="C833">
        <v>20</v>
      </c>
      <c r="D833" t="s">
        <v>649</v>
      </c>
      <c r="E833">
        <v>42</v>
      </c>
      <c r="I833" t="s">
        <v>442</v>
      </c>
      <c r="M833" t="s">
        <v>607</v>
      </c>
      <c r="Y833" t="s">
        <v>546</v>
      </c>
    </row>
    <row r="834" spans="1:25">
      <c r="A834" t="s">
        <v>688</v>
      </c>
      <c r="B834">
        <v>3045.216961909</v>
      </c>
      <c r="C834">
        <v>17</v>
      </c>
      <c r="D834" t="s">
        <v>6</v>
      </c>
      <c r="E834">
        <v>20</v>
      </c>
      <c r="T834" t="s">
        <v>24</v>
      </c>
      <c r="Y834" t="s">
        <v>546</v>
      </c>
    </row>
    <row r="835" spans="1:25">
      <c r="A835" t="s">
        <v>688</v>
      </c>
      <c r="B835">
        <v>3045.9363376400001</v>
      </c>
      <c r="C835">
        <v>6.2806242689998699</v>
      </c>
      <c r="D835" t="s">
        <v>10</v>
      </c>
      <c r="E835">
        <v>64</v>
      </c>
      <c r="Y835" t="s">
        <v>546</v>
      </c>
    </row>
    <row r="836" spans="1:25">
      <c r="A836" t="s">
        <v>688</v>
      </c>
      <c r="B836">
        <v>3046.1988309946501</v>
      </c>
      <c r="C836">
        <v>26.225173167337701</v>
      </c>
      <c r="D836" t="s">
        <v>658</v>
      </c>
      <c r="E836">
        <v>8</v>
      </c>
      <c r="I836" t="s">
        <v>442</v>
      </c>
      <c r="M836" t="s">
        <v>607</v>
      </c>
      <c r="Y836" t="s">
        <v>546</v>
      </c>
    </row>
    <row r="837" spans="1:25">
      <c r="A837" t="s">
        <v>688</v>
      </c>
      <c r="B837">
        <v>3049.216961909</v>
      </c>
      <c r="C837">
        <v>37.279641012338203</v>
      </c>
      <c r="D837" t="s">
        <v>18</v>
      </c>
      <c r="E837">
        <v>66</v>
      </c>
      <c r="Y837" t="s">
        <v>546</v>
      </c>
    </row>
    <row r="838" spans="1:25">
      <c r="A838" t="s">
        <v>688</v>
      </c>
      <c r="B838">
        <v>3049.9000359113302</v>
      </c>
      <c r="C838">
        <v>20</v>
      </c>
      <c r="D838" t="s">
        <v>626</v>
      </c>
      <c r="E838">
        <v>18</v>
      </c>
      <c r="H838" t="s">
        <v>628</v>
      </c>
      <c r="I838" t="s">
        <v>743</v>
      </c>
      <c r="M838" t="s">
        <v>744</v>
      </c>
      <c r="Y838" t="s">
        <v>546</v>
      </c>
    </row>
    <row r="839" spans="1:25">
      <c r="A839" t="s">
        <v>688</v>
      </c>
      <c r="B839">
        <v>3052.216961909</v>
      </c>
      <c r="C839">
        <v>74.879506500671994</v>
      </c>
      <c r="D839" t="s">
        <v>19</v>
      </c>
      <c r="E839">
        <v>64</v>
      </c>
      <c r="Y839" t="s">
        <v>546</v>
      </c>
    </row>
    <row r="840" spans="1:25">
      <c r="A840" t="s">
        <v>688</v>
      </c>
      <c r="B840">
        <v>3052.7964421219799</v>
      </c>
      <c r="C840">
        <v>28.593949442337799</v>
      </c>
      <c r="D840" t="s">
        <v>32</v>
      </c>
      <c r="E840">
        <v>28</v>
      </c>
      <c r="R840" t="s">
        <v>23</v>
      </c>
      <c r="Y840" t="s">
        <v>546</v>
      </c>
    </row>
    <row r="841" spans="1:25">
      <c r="A841" t="s">
        <v>688</v>
      </c>
      <c r="B841">
        <v>3055.0196986616502</v>
      </c>
      <c r="C841">
        <v>20</v>
      </c>
      <c r="D841" t="s">
        <v>652</v>
      </c>
      <c r="E841">
        <v>9</v>
      </c>
      <c r="I841" t="s">
        <v>439</v>
      </c>
      <c r="M841" t="s">
        <v>607</v>
      </c>
      <c r="Y841" t="s">
        <v>546</v>
      </c>
    </row>
    <row r="842" spans="1:25">
      <c r="A842" t="s">
        <v>688</v>
      </c>
      <c r="B842">
        <v>3059.8297524499999</v>
      </c>
      <c r="C842">
        <v>20</v>
      </c>
      <c r="D842" t="s">
        <v>645</v>
      </c>
      <c r="E842">
        <v>31</v>
      </c>
      <c r="H842" t="s">
        <v>445</v>
      </c>
      <c r="I842" t="s">
        <v>442</v>
      </c>
      <c r="M842" t="s">
        <v>607</v>
      </c>
      <c r="Y842" t="s">
        <v>546</v>
      </c>
    </row>
    <row r="843" spans="1:25">
      <c r="A843" t="s">
        <v>688</v>
      </c>
      <c r="B843">
        <v>3063.0995716679899</v>
      </c>
      <c r="C843">
        <v>20</v>
      </c>
      <c r="D843" t="s">
        <v>651</v>
      </c>
      <c r="E843">
        <v>9</v>
      </c>
      <c r="H843" t="s">
        <v>628</v>
      </c>
      <c r="I843" t="s">
        <v>447</v>
      </c>
      <c r="M843" t="s">
        <v>608</v>
      </c>
      <c r="Y843" t="s">
        <v>546</v>
      </c>
    </row>
    <row r="844" spans="1:25">
      <c r="A844" t="s">
        <v>688</v>
      </c>
      <c r="B844">
        <v>3072.69775967231</v>
      </c>
      <c r="C844">
        <v>20</v>
      </c>
      <c r="D844" t="s">
        <v>652</v>
      </c>
      <c r="E844">
        <v>10</v>
      </c>
      <c r="G844" t="s">
        <v>449</v>
      </c>
      <c r="I844" t="s">
        <v>447</v>
      </c>
      <c r="M844" t="s">
        <v>443</v>
      </c>
      <c r="Y844" t="s">
        <v>546</v>
      </c>
    </row>
    <row r="845" spans="1:25">
      <c r="A845" t="s">
        <v>688</v>
      </c>
      <c r="B845">
        <v>3079.4966029213301</v>
      </c>
      <c r="C845">
        <v>17</v>
      </c>
      <c r="D845" t="s">
        <v>40</v>
      </c>
      <c r="E845">
        <v>26</v>
      </c>
      <c r="U845" t="s">
        <v>195</v>
      </c>
      <c r="Y845" t="s">
        <v>546</v>
      </c>
    </row>
    <row r="846" spans="1:25">
      <c r="A846" t="s">
        <v>688</v>
      </c>
      <c r="B846">
        <v>3080.0970271319802</v>
      </c>
      <c r="C846">
        <v>20</v>
      </c>
      <c r="D846" t="s">
        <v>45</v>
      </c>
      <c r="E846">
        <v>2</v>
      </c>
      <c r="N846">
        <v>76</v>
      </c>
      <c r="O846">
        <v>46</v>
      </c>
      <c r="Q846" t="s">
        <v>606</v>
      </c>
      <c r="Y846" t="s">
        <v>546</v>
      </c>
    </row>
    <row r="847" spans="1:25">
      <c r="A847" t="s">
        <v>688</v>
      </c>
      <c r="B847">
        <v>3081.1972513236301</v>
      </c>
      <c r="C847">
        <v>20</v>
      </c>
      <c r="D847" t="s">
        <v>41</v>
      </c>
      <c r="E847">
        <v>3</v>
      </c>
      <c r="Y847" t="s">
        <v>546</v>
      </c>
    </row>
    <row r="848" spans="1:25">
      <c r="A848" t="s">
        <v>688</v>
      </c>
      <c r="B848">
        <v>3083.4966029213301</v>
      </c>
      <c r="C848">
        <v>12.9009068526293</v>
      </c>
      <c r="D848" t="s">
        <v>9</v>
      </c>
      <c r="E848">
        <v>72</v>
      </c>
      <c r="Y848" t="s">
        <v>546</v>
      </c>
    </row>
    <row r="849" spans="1:25">
      <c r="A849" t="s">
        <v>688</v>
      </c>
      <c r="B849">
        <v>3084.7963172763102</v>
      </c>
      <c r="C849">
        <v>20</v>
      </c>
      <c r="D849" t="s">
        <v>652</v>
      </c>
      <c r="E849">
        <v>11</v>
      </c>
      <c r="G849" t="s">
        <v>51</v>
      </c>
      <c r="I849" t="s">
        <v>442</v>
      </c>
      <c r="M849" t="s">
        <v>438</v>
      </c>
      <c r="Y849" t="s">
        <v>546</v>
      </c>
    </row>
    <row r="850" spans="1:25">
      <c r="A850" t="s">
        <v>688</v>
      </c>
      <c r="B850">
        <v>3089.3975097739599</v>
      </c>
      <c r="C850">
        <v>17</v>
      </c>
      <c r="D850" t="s">
        <v>27</v>
      </c>
      <c r="E850">
        <v>41</v>
      </c>
      <c r="U850" t="s">
        <v>28</v>
      </c>
      <c r="Y850" t="s">
        <v>546</v>
      </c>
    </row>
    <row r="851" spans="1:25">
      <c r="A851" t="s">
        <v>688</v>
      </c>
      <c r="B851">
        <v>3093.3975097739599</v>
      </c>
      <c r="C851">
        <v>33.6989586357044</v>
      </c>
      <c r="D851" t="s">
        <v>18</v>
      </c>
      <c r="E851">
        <v>67</v>
      </c>
      <c r="Y851" t="s">
        <v>546</v>
      </c>
    </row>
    <row r="852" spans="1:25">
      <c r="A852" t="s">
        <v>688</v>
      </c>
      <c r="B852">
        <v>3099.0952974043098</v>
      </c>
      <c r="C852">
        <v>20</v>
      </c>
      <c r="D852" t="s">
        <v>649</v>
      </c>
      <c r="E852">
        <v>43</v>
      </c>
      <c r="I852" t="s">
        <v>439</v>
      </c>
      <c r="M852" t="s">
        <v>607</v>
      </c>
      <c r="Y852" t="s">
        <v>546</v>
      </c>
    </row>
    <row r="853" spans="1:25">
      <c r="A853" t="s">
        <v>688</v>
      </c>
      <c r="B853">
        <v>3101.0643244150001</v>
      </c>
      <c r="C853">
        <v>20</v>
      </c>
      <c r="D853" t="s">
        <v>647</v>
      </c>
      <c r="E853">
        <v>22</v>
      </c>
      <c r="H853" t="s">
        <v>735</v>
      </c>
      <c r="I853" t="s">
        <v>442</v>
      </c>
      <c r="M853" t="s">
        <v>610</v>
      </c>
      <c r="Y853" t="s">
        <v>546</v>
      </c>
    </row>
    <row r="854" spans="1:25">
      <c r="A854" t="s">
        <v>688</v>
      </c>
      <c r="B854">
        <v>3101.44584673899</v>
      </c>
      <c r="C854">
        <v>27.1437788027342</v>
      </c>
      <c r="D854" t="s">
        <v>121</v>
      </c>
      <c r="E854">
        <v>6</v>
      </c>
      <c r="P854" t="s">
        <v>29</v>
      </c>
      <c r="R854" t="s">
        <v>20</v>
      </c>
      <c r="Y854" t="s">
        <v>546</v>
      </c>
    </row>
    <row r="855" spans="1:25">
      <c r="A855" t="s">
        <v>688</v>
      </c>
      <c r="B855">
        <v>3110.29634754567</v>
      </c>
      <c r="C855">
        <v>20</v>
      </c>
      <c r="D855" t="s">
        <v>33</v>
      </c>
      <c r="E855">
        <v>18</v>
      </c>
      <c r="Y855" t="s">
        <v>546</v>
      </c>
    </row>
    <row r="856" spans="1:25">
      <c r="A856" t="s">
        <v>688</v>
      </c>
      <c r="B856">
        <v>3110.7977717212898</v>
      </c>
      <c r="C856">
        <v>20</v>
      </c>
      <c r="D856" t="s">
        <v>36</v>
      </c>
      <c r="E856">
        <v>17</v>
      </c>
      <c r="N856">
        <v>77</v>
      </c>
      <c r="O856">
        <v>29</v>
      </c>
      <c r="Q856" t="s">
        <v>708</v>
      </c>
      <c r="Y856" t="s">
        <v>546</v>
      </c>
    </row>
    <row r="857" spans="1:25">
      <c r="A857" t="s">
        <v>688</v>
      </c>
      <c r="B857">
        <v>3110.9982675456399</v>
      </c>
      <c r="C857">
        <v>20</v>
      </c>
      <c r="D857" t="s">
        <v>626</v>
      </c>
      <c r="E857">
        <v>19</v>
      </c>
      <c r="I857" t="s">
        <v>442</v>
      </c>
      <c r="M857" t="s">
        <v>607</v>
      </c>
      <c r="Y857" t="s">
        <v>546</v>
      </c>
    </row>
    <row r="858" spans="1:25">
      <c r="A858" t="s">
        <v>688</v>
      </c>
      <c r="B858">
        <v>3112.7415889610002</v>
      </c>
      <c r="C858">
        <v>20</v>
      </c>
      <c r="D858" t="s">
        <v>654</v>
      </c>
      <c r="E858">
        <v>18</v>
      </c>
      <c r="H858" t="s">
        <v>623</v>
      </c>
      <c r="L858" t="s">
        <v>448</v>
      </c>
      <c r="M858" t="s">
        <v>631</v>
      </c>
      <c r="Y858" t="s">
        <v>546</v>
      </c>
    </row>
    <row r="859" spans="1:25">
      <c r="A859" t="s">
        <v>688</v>
      </c>
      <c r="B859">
        <v>3113.4964021793198</v>
      </c>
      <c r="C859">
        <v>12.3013695419708</v>
      </c>
      <c r="D859" t="s">
        <v>32</v>
      </c>
      <c r="E859">
        <v>29</v>
      </c>
      <c r="R859" t="s">
        <v>20</v>
      </c>
      <c r="Y859" t="s">
        <v>546</v>
      </c>
    </row>
    <row r="860" spans="1:25">
      <c r="A860" t="s">
        <v>688</v>
      </c>
      <c r="B860">
        <v>3115.7977717212898</v>
      </c>
      <c r="C860">
        <v>15</v>
      </c>
      <c r="D860" t="s">
        <v>35</v>
      </c>
      <c r="E860">
        <v>17</v>
      </c>
      <c r="Y860" t="s">
        <v>546</v>
      </c>
    </row>
    <row r="861" spans="1:25">
      <c r="A861" t="s">
        <v>688</v>
      </c>
      <c r="B861">
        <v>3127.0964684096698</v>
      </c>
      <c r="C861">
        <v>16.708659852327798</v>
      </c>
      <c r="D861" t="s">
        <v>10</v>
      </c>
      <c r="E861">
        <v>65</v>
      </c>
      <c r="Y861" t="s">
        <v>546</v>
      </c>
    </row>
    <row r="862" spans="1:25">
      <c r="A862" t="s">
        <v>688</v>
      </c>
      <c r="B862">
        <v>3136.8051282619999</v>
      </c>
      <c r="C862">
        <v>17</v>
      </c>
      <c r="D862" t="s">
        <v>11</v>
      </c>
      <c r="E862">
        <v>39</v>
      </c>
      <c r="T862" t="s">
        <v>16</v>
      </c>
      <c r="Y862" t="s">
        <v>546</v>
      </c>
    </row>
    <row r="863" spans="1:25">
      <c r="A863" t="s">
        <v>688</v>
      </c>
      <c r="B863">
        <v>3139.8920529689799</v>
      </c>
      <c r="C863">
        <v>16.303715095338699</v>
      </c>
      <c r="D863" t="s">
        <v>427</v>
      </c>
      <c r="E863">
        <v>21</v>
      </c>
      <c r="P863" t="s">
        <v>31</v>
      </c>
      <c r="R863" t="s">
        <v>20</v>
      </c>
      <c r="S863" t="s">
        <v>454</v>
      </c>
      <c r="Y863" t="s">
        <v>546</v>
      </c>
    </row>
    <row r="864" spans="1:25">
      <c r="A864" t="s">
        <v>688</v>
      </c>
      <c r="B864">
        <v>3140.8051282619999</v>
      </c>
      <c r="C864">
        <v>15.3906398023273</v>
      </c>
      <c r="D864" t="s">
        <v>9</v>
      </c>
      <c r="E864">
        <v>73</v>
      </c>
      <c r="Y864" t="s">
        <v>546</v>
      </c>
    </row>
    <row r="865" spans="1:25">
      <c r="A865" t="s">
        <v>688</v>
      </c>
      <c r="B865">
        <v>3143.8051282619999</v>
      </c>
      <c r="C865">
        <v>49.308403231000199</v>
      </c>
      <c r="D865" t="s">
        <v>19</v>
      </c>
      <c r="E865">
        <v>65</v>
      </c>
      <c r="Y865" t="s">
        <v>546</v>
      </c>
    </row>
    <row r="866" spans="1:25">
      <c r="A866" t="s">
        <v>688</v>
      </c>
      <c r="B866">
        <v>3146.9626874999999</v>
      </c>
      <c r="C866">
        <v>20</v>
      </c>
      <c r="D866" t="s">
        <v>649</v>
      </c>
      <c r="E866">
        <v>44</v>
      </c>
      <c r="I866" t="s">
        <v>439</v>
      </c>
      <c r="M866" t="s">
        <v>438</v>
      </c>
      <c r="Y866" t="s">
        <v>546</v>
      </c>
    </row>
    <row r="867" spans="1:25">
      <c r="A867" t="s">
        <v>688</v>
      </c>
      <c r="B867">
        <v>3149.19576806432</v>
      </c>
      <c r="C867">
        <v>17</v>
      </c>
      <c r="D867" t="s">
        <v>27</v>
      </c>
      <c r="E867">
        <v>42</v>
      </c>
      <c r="U867" t="s">
        <v>195</v>
      </c>
      <c r="Y867" t="s">
        <v>546</v>
      </c>
    </row>
    <row r="868" spans="1:25">
      <c r="A868" t="s">
        <v>688</v>
      </c>
      <c r="B868">
        <v>3149.2955337726398</v>
      </c>
      <c r="C868">
        <v>20</v>
      </c>
      <c r="D868" t="s">
        <v>647</v>
      </c>
      <c r="E868">
        <v>23</v>
      </c>
      <c r="H868" t="s">
        <v>437</v>
      </c>
      <c r="I868" t="s">
        <v>440</v>
      </c>
      <c r="M868" t="s">
        <v>438</v>
      </c>
      <c r="Y868" t="s">
        <v>546</v>
      </c>
    </row>
    <row r="869" spans="1:25">
      <c r="A869" t="s">
        <v>688</v>
      </c>
      <c r="B869">
        <v>3152.59159945999</v>
      </c>
      <c r="C869">
        <v>20</v>
      </c>
      <c r="D869" t="s">
        <v>653</v>
      </c>
      <c r="E869">
        <v>12</v>
      </c>
      <c r="I869" t="s">
        <v>440</v>
      </c>
      <c r="J869" t="s">
        <v>335</v>
      </c>
      <c r="M869" t="s">
        <v>722</v>
      </c>
      <c r="Y869" t="s">
        <v>546</v>
      </c>
    </row>
    <row r="870" spans="1:25">
      <c r="A870" t="s">
        <v>688</v>
      </c>
      <c r="B870">
        <v>3153.19576806432</v>
      </c>
      <c r="C870">
        <v>16.500054874647901</v>
      </c>
      <c r="D870" t="s">
        <v>18</v>
      </c>
      <c r="E870">
        <v>68</v>
      </c>
      <c r="Y870" t="s">
        <v>546</v>
      </c>
    </row>
    <row r="871" spans="1:25">
      <c r="A871" t="s">
        <v>688</v>
      </c>
      <c r="B871">
        <v>3155.7907585013099</v>
      </c>
      <c r="C871">
        <v>20</v>
      </c>
      <c r="D871" t="s">
        <v>649</v>
      </c>
      <c r="E871">
        <v>45</v>
      </c>
      <c r="J871" t="s">
        <v>335</v>
      </c>
      <c r="M871" t="s">
        <v>753</v>
      </c>
      <c r="Y871" t="s">
        <v>546</v>
      </c>
    </row>
    <row r="872" spans="1:25">
      <c r="A872" t="s">
        <v>688</v>
      </c>
      <c r="B872">
        <v>3158.6956572826498</v>
      </c>
      <c r="C872">
        <v>11.000165656315801</v>
      </c>
      <c r="D872" t="s">
        <v>32</v>
      </c>
      <c r="E872">
        <v>30</v>
      </c>
      <c r="R872" t="s">
        <v>23</v>
      </c>
      <c r="Y872" t="s">
        <v>546</v>
      </c>
    </row>
    <row r="873" spans="1:25">
      <c r="A873" t="s">
        <v>688</v>
      </c>
      <c r="B873">
        <v>3162.6958229389702</v>
      </c>
      <c r="C873">
        <v>17</v>
      </c>
      <c r="D873" t="s">
        <v>40</v>
      </c>
      <c r="E873">
        <v>27</v>
      </c>
      <c r="U873" t="s">
        <v>195</v>
      </c>
      <c r="Y873" t="s">
        <v>546</v>
      </c>
    </row>
    <row r="874" spans="1:25">
      <c r="A874" t="s">
        <v>688</v>
      </c>
      <c r="B874">
        <v>3163.59648713565</v>
      </c>
      <c r="C874">
        <v>20</v>
      </c>
      <c r="D874" t="s">
        <v>41</v>
      </c>
      <c r="E874">
        <v>4</v>
      </c>
      <c r="Y874" t="s">
        <v>546</v>
      </c>
    </row>
    <row r="875" spans="1:25">
      <c r="A875" t="s">
        <v>688</v>
      </c>
      <c r="B875">
        <v>3166.6958229389702</v>
      </c>
      <c r="C875">
        <v>13.600630175341299</v>
      </c>
      <c r="D875" t="s">
        <v>9</v>
      </c>
      <c r="E875">
        <v>74</v>
      </c>
      <c r="Y875" t="s">
        <v>546</v>
      </c>
    </row>
    <row r="876" spans="1:25">
      <c r="A876" t="s">
        <v>688</v>
      </c>
      <c r="B876">
        <v>3167.6963471383201</v>
      </c>
      <c r="C876">
        <v>20</v>
      </c>
      <c r="D876" t="s">
        <v>626</v>
      </c>
      <c r="E876">
        <v>20</v>
      </c>
      <c r="J876" t="s">
        <v>335</v>
      </c>
      <c r="M876" t="s">
        <v>620</v>
      </c>
      <c r="Y876" t="s">
        <v>546</v>
      </c>
    </row>
    <row r="877" spans="1:25">
      <c r="A877" t="s">
        <v>688</v>
      </c>
      <c r="B877">
        <v>3173.2964531143102</v>
      </c>
      <c r="C877">
        <v>17</v>
      </c>
      <c r="D877" t="s">
        <v>27</v>
      </c>
      <c r="E877">
        <v>43</v>
      </c>
      <c r="U877" t="s">
        <v>195</v>
      </c>
      <c r="Y877" t="s">
        <v>546</v>
      </c>
    </row>
    <row r="878" spans="1:25">
      <c r="A878" t="s">
        <v>688</v>
      </c>
      <c r="B878">
        <v>3174.104820045</v>
      </c>
      <c r="C878">
        <v>20</v>
      </c>
      <c r="D878" t="s">
        <v>764</v>
      </c>
      <c r="E878">
        <v>4</v>
      </c>
      <c r="I878" t="s">
        <v>440</v>
      </c>
      <c r="M878" t="s">
        <v>438</v>
      </c>
      <c r="Y878" t="s">
        <v>546</v>
      </c>
    </row>
    <row r="879" spans="1:25">
      <c r="A879" t="s">
        <v>688</v>
      </c>
      <c r="B879">
        <v>3174.2953681743302</v>
      </c>
      <c r="C879">
        <v>20</v>
      </c>
      <c r="D879" t="s">
        <v>626</v>
      </c>
      <c r="E879">
        <v>21</v>
      </c>
      <c r="H879" t="s">
        <v>628</v>
      </c>
      <c r="I879" t="s">
        <v>440</v>
      </c>
      <c r="M879" t="s">
        <v>607</v>
      </c>
      <c r="Y879" t="s">
        <v>546</v>
      </c>
    </row>
    <row r="880" spans="1:25">
      <c r="A880" t="s">
        <v>688</v>
      </c>
      <c r="B880">
        <v>3177.2721856343001</v>
      </c>
      <c r="C880">
        <v>20</v>
      </c>
      <c r="D880" t="s">
        <v>652</v>
      </c>
      <c r="E880">
        <v>12</v>
      </c>
      <c r="I880" t="s">
        <v>439</v>
      </c>
      <c r="M880" t="s">
        <v>607</v>
      </c>
      <c r="Y880" t="s">
        <v>546</v>
      </c>
    </row>
    <row r="881" spans="1:25">
      <c r="A881" t="s">
        <v>688</v>
      </c>
      <c r="B881">
        <v>3177.2964531143102</v>
      </c>
      <c r="C881">
        <v>15.8170783786836</v>
      </c>
      <c r="D881" t="s">
        <v>18</v>
      </c>
      <c r="E881">
        <v>69</v>
      </c>
      <c r="Y881" t="s">
        <v>546</v>
      </c>
    </row>
    <row r="882" spans="1:25">
      <c r="A882" t="s">
        <v>688</v>
      </c>
      <c r="B882">
        <v>3181.3908433889801</v>
      </c>
      <c r="C882">
        <v>20</v>
      </c>
      <c r="D882" t="s">
        <v>658</v>
      </c>
      <c r="E882">
        <v>9</v>
      </c>
      <c r="I882" t="s">
        <v>440</v>
      </c>
      <c r="M882" t="s">
        <v>767</v>
      </c>
      <c r="Y882" t="s">
        <v>546</v>
      </c>
    </row>
    <row r="883" spans="1:25">
      <c r="A883" t="s">
        <v>688</v>
      </c>
      <c r="B883">
        <v>3191.6958391129801</v>
      </c>
      <c r="C883">
        <v>20</v>
      </c>
      <c r="D883" t="s">
        <v>45</v>
      </c>
      <c r="E883">
        <v>3</v>
      </c>
      <c r="N883">
        <v>95</v>
      </c>
      <c r="O883">
        <v>43</v>
      </c>
      <c r="Q883" t="s">
        <v>714</v>
      </c>
      <c r="Y883" t="s">
        <v>546</v>
      </c>
    </row>
    <row r="884" spans="1:25">
      <c r="A884" t="s">
        <v>688</v>
      </c>
      <c r="B884">
        <v>3191.6958391129801</v>
      </c>
      <c r="C884">
        <v>20</v>
      </c>
      <c r="D884" t="s">
        <v>192</v>
      </c>
      <c r="E884">
        <v>1</v>
      </c>
      <c r="Y884" t="s">
        <v>546</v>
      </c>
    </row>
    <row r="885" spans="1:25">
      <c r="A885" t="s">
        <v>688</v>
      </c>
      <c r="B885">
        <v>3193.1135314930002</v>
      </c>
      <c r="C885">
        <v>10.730467478999699</v>
      </c>
      <c r="D885" t="s">
        <v>10</v>
      </c>
      <c r="E885">
        <v>66</v>
      </c>
      <c r="Y885" t="s">
        <v>546</v>
      </c>
    </row>
    <row r="886" spans="1:25">
      <c r="A886" t="s">
        <v>688</v>
      </c>
      <c r="B886">
        <v>3194.3958052686298</v>
      </c>
      <c r="C886">
        <v>20</v>
      </c>
      <c r="D886" t="s">
        <v>136</v>
      </c>
      <c r="E886">
        <v>1</v>
      </c>
      <c r="Y886" t="s">
        <v>546</v>
      </c>
    </row>
    <row r="887" spans="1:25">
      <c r="A887" t="s">
        <v>688</v>
      </c>
      <c r="B887">
        <v>3194.4228818450001</v>
      </c>
      <c r="C887">
        <v>20</v>
      </c>
      <c r="D887" t="s">
        <v>651</v>
      </c>
      <c r="E887">
        <v>10</v>
      </c>
      <c r="K887" t="s">
        <v>441</v>
      </c>
      <c r="M887" t="s">
        <v>617</v>
      </c>
      <c r="Y887" t="s">
        <v>546</v>
      </c>
    </row>
    <row r="888" spans="1:25">
      <c r="A888" t="s">
        <v>688</v>
      </c>
      <c r="B888">
        <v>3195.9036218450001</v>
      </c>
      <c r="C888">
        <v>20</v>
      </c>
      <c r="D888" t="s">
        <v>626</v>
      </c>
      <c r="E888">
        <v>22</v>
      </c>
      <c r="K888" t="s">
        <v>432</v>
      </c>
      <c r="M888" t="s">
        <v>617</v>
      </c>
      <c r="Y888" t="s">
        <v>546</v>
      </c>
    </row>
    <row r="889" spans="1:25">
      <c r="A889" t="s">
        <v>688</v>
      </c>
      <c r="B889">
        <v>3196.843998972</v>
      </c>
      <c r="C889">
        <v>17</v>
      </c>
      <c r="D889" t="s">
        <v>11</v>
      </c>
      <c r="E889">
        <v>40</v>
      </c>
      <c r="T889" t="s">
        <v>15</v>
      </c>
      <c r="Y889" t="s">
        <v>546</v>
      </c>
    </row>
    <row r="890" spans="1:25">
      <c r="A890" t="s">
        <v>688</v>
      </c>
      <c r="B890">
        <v>3197.3979804273399</v>
      </c>
      <c r="C890">
        <v>20</v>
      </c>
      <c r="D890" t="s">
        <v>652</v>
      </c>
      <c r="E890">
        <v>13</v>
      </c>
      <c r="G890" t="s">
        <v>768</v>
      </c>
      <c r="Y890" t="s">
        <v>546</v>
      </c>
    </row>
    <row r="891" spans="1:25">
      <c r="A891" t="s">
        <v>688</v>
      </c>
      <c r="B891">
        <v>3200.843998972</v>
      </c>
      <c r="C891">
        <v>5.8518401409860399</v>
      </c>
      <c r="D891" t="s">
        <v>9</v>
      </c>
      <c r="E891">
        <v>75</v>
      </c>
      <c r="Y891" t="s">
        <v>546</v>
      </c>
    </row>
    <row r="892" spans="1:25">
      <c r="A892" t="s">
        <v>688</v>
      </c>
      <c r="B892">
        <v>3203.843998972</v>
      </c>
      <c r="C892">
        <v>2.8518401409860399</v>
      </c>
      <c r="D892" t="s">
        <v>19</v>
      </c>
      <c r="E892">
        <v>66</v>
      </c>
      <c r="Y892" t="s">
        <v>546</v>
      </c>
    </row>
    <row r="893" spans="1:25">
      <c r="A893" t="s">
        <v>688</v>
      </c>
      <c r="B893">
        <v>3206.6958391129801</v>
      </c>
      <c r="C893">
        <v>31.880168577014</v>
      </c>
      <c r="D893" t="s">
        <v>10</v>
      </c>
      <c r="E893">
        <v>67</v>
      </c>
      <c r="Y893" t="s">
        <v>546</v>
      </c>
    </row>
    <row r="894" spans="1:25">
      <c r="A894" t="s">
        <v>688</v>
      </c>
      <c r="B894">
        <v>3229.2963411856499</v>
      </c>
      <c r="C894">
        <v>20</v>
      </c>
      <c r="D894" t="s">
        <v>764</v>
      </c>
      <c r="E894">
        <v>5</v>
      </c>
      <c r="I894" t="s">
        <v>440</v>
      </c>
      <c r="M894" t="s">
        <v>438</v>
      </c>
      <c r="Y894" t="s">
        <v>546</v>
      </c>
    </row>
    <row r="895" spans="1:25">
      <c r="A895" t="s">
        <v>688</v>
      </c>
      <c r="B895">
        <v>3232.2970678103002</v>
      </c>
      <c r="C895">
        <v>20</v>
      </c>
      <c r="D895" t="s">
        <v>645</v>
      </c>
      <c r="E895">
        <v>32</v>
      </c>
      <c r="I895" t="s">
        <v>440</v>
      </c>
      <c r="M895" t="s">
        <v>638</v>
      </c>
      <c r="Y895" t="s">
        <v>546</v>
      </c>
    </row>
    <row r="896" spans="1:25">
      <c r="A896" t="s">
        <v>688</v>
      </c>
      <c r="B896">
        <v>3233.8952003506702</v>
      </c>
      <c r="C896">
        <v>20</v>
      </c>
      <c r="D896" t="s">
        <v>651</v>
      </c>
      <c r="E896">
        <v>11</v>
      </c>
      <c r="H896" t="s">
        <v>628</v>
      </c>
      <c r="I896" t="s">
        <v>439</v>
      </c>
      <c r="M896" t="s">
        <v>607</v>
      </c>
      <c r="Y896" t="s">
        <v>546</v>
      </c>
    </row>
    <row r="897" spans="1:25">
      <c r="A897" t="s">
        <v>688</v>
      </c>
      <c r="B897">
        <v>3235.5760076900001</v>
      </c>
      <c r="C897">
        <v>54.019544299308997</v>
      </c>
      <c r="D897" t="s">
        <v>18</v>
      </c>
      <c r="E897">
        <v>70</v>
      </c>
      <c r="Y897" t="s">
        <v>546</v>
      </c>
    </row>
    <row r="898" spans="1:25">
      <c r="A898" t="s">
        <v>688</v>
      </c>
      <c r="B898">
        <v>3235.9376289370002</v>
      </c>
      <c r="C898">
        <v>20</v>
      </c>
      <c r="D898" t="s">
        <v>645</v>
      </c>
      <c r="E898">
        <v>33</v>
      </c>
      <c r="H898" t="s">
        <v>445</v>
      </c>
      <c r="I898" t="s">
        <v>442</v>
      </c>
      <c r="M898" t="s">
        <v>607</v>
      </c>
      <c r="Y898" t="s">
        <v>546</v>
      </c>
    </row>
    <row r="899" spans="1:25">
      <c r="A899" t="s">
        <v>688</v>
      </c>
      <c r="B899">
        <v>3237.6282855469999</v>
      </c>
      <c r="C899">
        <v>20</v>
      </c>
      <c r="D899" t="s">
        <v>647</v>
      </c>
      <c r="E899">
        <v>24</v>
      </c>
      <c r="H899" t="s">
        <v>640</v>
      </c>
      <c r="I899" t="s">
        <v>440</v>
      </c>
      <c r="M899" t="s">
        <v>629</v>
      </c>
      <c r="Y899" t="s">
        <v>546</v>
      </c>
    </row>
    <row r="900" spans="1:25">
      <c r="A900" t="s">
        <v>688</v>
      </c>
      <c r="B900">
        <v>3238.5760076900001</v>
      </c>
      <c r="C900">
        <v>1</v>
      </c>
      <c r="D900" t="s">
        <v>26</v>
      </c>
      <c r="E900">
        <v>2</v>
      </c>
      <c r="Y900" t="s">
        <v>546</v>
      </c>
    </row>
    <row r="901" spans="1:25">
      <c r="A901" t="s">
        <v>688</v>
      </c>
      <c r="B901">
        <v>3238.5760076900001</v>
      </c>
      <c r="C901">
        <v>51.019544299308997</v>
      </c>
      <c r="D901" t="s">
        <v>19</v>
      </c>
      <c r="E901">
        <v>67</v>
      </c>
      <c r="Y901" t="s">
        <v>546</v>
      </c>
    </row>
    <row r="902" spans="1:25">
      <c r="A902" t="s">
        <v>688</v>
      </c>
      <c r="B902">
        <v>3244.8957901083099</v>
      </c>
      <c r="C902">
        <v>20</v>
      </c>
      <c r="D902" t="s">
        <v>653</v>
      </c>
      <c r="E902">
        <v>13</v>
      </c>
      <c r="I902" t="s">
        <v>440</v>
      </c>
      <c r="M902" t="s">
        <v>607</v>
      </c>
      <c r="Y902" t="s">
        <v>546</v>
      </c>
    </row>
    <row r="903" spans="1:25">
      <c r="A903" t="s">
        <v>688</v>
      </c>
      <c r="B903">
        <v>3248.29556505665</v>
      </c>
      <c r="C903">
        <v>20</v>
      </c>
      <c r="D903" t="s">
        <v>652</v>
      </c>
      <c r="E903">
        <v>14</v>
      </c>
      <c r="I903" t="s">
        <v>439</v>
      </c>
      <c r="M903" t="s">
        <v>607</v>
      </c>
      <c r="Y903" t="s">
        <v>546</v>
      </c>
    </row>
    <row r="904" spans="1:25">
      <c r="A904" t="s">
        <v>688</v>
      </c>
      <c r="B904">
        <v>3250.19564887866</v>
      </c>
      <c r="C904">
        <v>20</v>
      </c>
      <c r="D904" t="s">
        <v>645</v>
      </c>
      <c r="E904">
        <v>34</v>
      </c>
      <c r="H904" t="s">
        <v>445</v>
      </c>
      <c r="I904" t="s">
        <v>442</v>
      </c>
      <c r="M904" t="s">
        <v>607</v>
      </c>
      <c r="Y904" t="s">
        <v>546</v>
      </c>
    </row>
    <row r="905" spans="1:25">
      <c r="A905" t="s">
        <v>688</v>
      </c>
      <c r="B905">
        <v>3251.4961603719798</v>
      </c>
      <c r="C905">
        <v>25.194506294681101</v>
      </c>
      <c r="D905" t="s">
        <v>32</v>
      </c>
      <c r="E905">
        <v>31</v>
      </c>
      <c r="R905" t="s">
        <v>23</v>
      </c>
      <c r="Y905" t="s">
        <v>546</v>
      </c>
    </row>
    <row r="906" spans="1:25">
      <c r="A906" t="s">
        <v>688</v>
      </c>
      <c r="B906">
        <v>3254.19730584333</v>
      </c>
      <c r="C906">
        <v>20</v>
      </c>
      <c r="D906" t="s">
        <v>651</v>
      </c>
      <c r="E906">
        <v>12</v>
      </c>
      <c r="H906" t="s">
        <v>628</v>
      </c>
      <c r="I906" t="s">
        <v>440</v>
      </c>
      <c r="M906" t="s">
        <v>607</v>
      </c>
      <c r="Y906" t="s">
        <v>546</v>
      </c>
    </row>
    <row r="907" spans="1:25">
      <c r="A907" t="s">
        <v>688</v>
      </c>
      <c r="B907">
        <v>3260.8956917986502</v>
      </c>
      <c r="C907">
        <v>20</v>
      </c>
      <c r="D907" t="s">
        <v>649</v>
      </c>
      <c r="E907">
        <v>46</v>
      </c>
      <c r="I907" t="s">
        <v>740</v>
      </c>
      <c r="M907" t="s">
        <v>678</v>
      </c>
      <c r="Y907" t="s">
        <v>546</v>
      </c>
    </row>
    <row r="908" spans="1:25">
      <c r="A908" t="s">
        <v>688</v>
      </c>
      <c r="B908">
        <v>3263.2964045486501</v>
      </c>
      <c r="C908">
        <v>20</v>
      </c>
      <c r="D908" t="s">
        <v>652</v>
      </c>
      <c r="E908">
        <v>15</v>
      </c>
      <c r="I908" t="s">
        <v>644</v>
      </c>
      <c r="M908" t="s">
        <v>678</v>
      </c>
      <c r="Y908" t="s">
        <v>546</v>
      </c>
    </row>
    <row r="909" spans="1:25">
      <c r="A909" t="s">
        <v>688</v>
      </c>
      <c r="B909">
        <v>3265.3924956739702</v>
      </c>
      <c r="C909">
        <v>20</v>
      </c>
      <c r="D909" t="s">
        <v>658</v>
      </c>
      <c r="E909">
        <v>10</v>
      </c>
      <c r="I909" t="s">
        <v>439</v>
      </c>
      <c r="M909" t="s">
        <v>607</v>
      </c>
      <c r="Y909" t="s">
        <v>546</v>
      </c>
    </row>
    <row r="910" spans="1:25">
      <c r="A910" t="s">
        <v>688</v>
      </c>
      <c r="B910">
        <v>3268.5973602136501</v>
      </c>
      <c r="C910">
        <v>20</v>
      </c>
      <c r="D910" t="s">
        <v>626</v>
      </c>
      <c r="E910">
        <v>23</v>
      </c>
      <c r="H910" t="s">
        <v>640</v>
      </c>
      <c r="I910" t="s">
        <v>440</v>
      </c>
      <c r="M910" t="s">
        <v>629</v>
      </c>
      <c r="Y910" t="s">
        <v>546</v>
      </c>
    </row>
    <row r="911" spans="1:25">
      <c r="A911" t="s">
        <v>688</v>
      </c>
      <c r="B911">
        <v>3271.9973595896699</v>
      </c>
      <c r="C911">
        <v>20</v>
      </c>
      <c r="D911" t="s">
        <v>658</v>
      </c>
      <c r="E911">
        <v>11</v>
      </c>
      <c r="I911" t="s">
        <v>723</v>
      </c>
      <c r="M911" t="s">
        <v>678</v>
      </c>
      <c r="Y911" t="s">
        <v>546</v>
      </c>
    </row>
    <row r="912" spans="1:25">
      <c r="A912" t="s">
        <v>688</v>
      </c>
      <c r="B912">
        <v>3274.2965152143302</v>
      </c>
      <c r="C912">
        <v>20</v>
      </c>
      <c r="D912" t="s">
        <v>652</v>
      </c>
      <c r="E912">
        <v>16</v>
      </c>
      <c r="I912" t="s">
        <v>747</v>
      </c>
      <c r="M912" t="s">
        <v>678</v>
      </c>
      <c r="Y912" t="s">
        <v>546</v>
      </c>
    </row>
    <row r="913" spans="1:25">
      <c r="A913" t="s">
        <v>688</v>
      </c>
      <c r="B913">
        <v>3277.3937411319898</v>
      </c>
      <c r="C913">
        <v>20</v>
      </c>
      <c r="D913" t="s">
        <v>653</v>
      </c>
      <c r="E913">
        <v>14</v>
      </c>
      <c r="H913" t="s">
        <v>445</v>
      </c>
      <c r="I913" t="s">
        <v>442</v>
      </c>
      <c r="M913" t="s">
        <v>607</v>
      </c>
      <c r="Y913" t="s">
        <v>546</v>
      </c>
    </row>
    <row r="914" spans="1:25">
      <c r="A914" t="s">
        <v>688</v>
      </c>
      <c r="B914">
        <v>3277.6956659903099</v>
      </c>
      <c r="C914">
        <v>11.8998859989915</v>
      </c>
      <c r="D914" t="s">
        <v>121</v>
      </c>
      <c r="E914">
        <v>7</v>
      </c>
      <c r="R914" t="s">
        <v>23</v>
      </c>
      <c r="Y914" t="s">
        <v>546</v>
      </c>
    </row>
    <row r="915" spans="1:25">
      <c r="A915" t="s">
        <v>688</v>
      </c>
      <c r="B915">
        <v>3280.4949563793398</v>
      </c>
      <c r="C915">
        <v>20</v>
      </c>
      <c r="D915" t="s">
        <v>658</v>
      </c>
      <c r="E915">
        <v>12</v>
      </c>
      <c r="I915" t="s">
        <v>439</v>
      </c>
      <c r="M915" t="s">
        <v>608</v>
      </c>
      <c r="Y915" t="s">
        <v>546</v>
      </c>
    </row>
    <row r="916" spans="1:25">
      <c r="A916" t="s">
        <v>688</v>
      </c>
      <c r="B916">
        <v>3289.5955519893</v>
      </c>
      <c r="C916">
        <v>29.101112840018601</v>
      </c>
      <c r="D916" t="s">
        <v>10</v>
      </c>
      <c r="E916">
        <v>68</v>
      </c>
      <c r="Y916" t="s">
        <v>546</v>
      </c>
    </row>
    <row r="917" spans="1:25">
      <c r="A917" t="s">
        <v>688</v>
      </c>
      <c r="B917">
        <v>3311.6966648293201</v>
      </c>
      <c r="C917">
        <v>17</v>
      </c>
      <c r="D917" t="s">
        <v>6</v>
      </c>
      <c r="E917">
        <v>21</v>
      </c>
      <c r="T917" t="s">
        <v>21</v>
      </c>
      <c r="Y917" t="s">
        <v>546</v>
      </c>
    </row>
    <row r="918" spans="1:25">
      <c r="A918" t="s">
        <v>688</v>
      </c>
      <c r="B918">
        <v>3315.6966648293201</v>
      </c>
      <c r="C918">
        <v>12.7002842773399</v>
      </c>
      <c r="D918" t="s">
        <v>18</v>
      </c>
      <c r="E918">
        <v>71</v>
      </c>
      <c r="Y918" t="s">
        <v>546</v>
      </c>
    </row>
    <row r="919" spans="1:25">
      <c r="A919" t="s">
        <v>688</v>
      </c>
      <c r="B919">
        <v>3315.7694742560002</v>
      </c>
      <c r="C919">
        <v>20</v>
      </c>
      <c r="D919" t="s">
        <v>658</v>
      </c>
      <c r="E919">
        <v>13</v>
      </c>
      <c r="K919" t="s">
        <v>441</v>
      </c>
      <c r="M919" t="s">
        <v>617</v>
      </c>
      <c r="Y919" t="s">
        <v>546</v>
      </c>
    </row>
    <row r="920" spans="1:25">
      <c r="A920" t="s">
        <v>688</v>
      </c>
      <c r="B920">
        <v>3316.9932211472901</v>
      </c>
      <c r="C920">
        <v>15</v>
      </c>
      <c r="D920" t="s">
        <v>328</v>
      </c>
      <c r="E920">
        <v>1</v>
      </c>
      <c r="Y920" t="s">
        <v>546</v>
      </c>
    </row>
    <row r="921" spans="1:25">
      <c r="A921" t="s">
        <v>688</v>
      </c>
      <c r="B921">
        <v>3318.6966648293201</v>
      </c>
      <c r="C921">
        <v>9.7002842773399607</v>
      </c>
      <c r="D921" t="s">
        <v>19</v>
      </c>
      <c r="E921">
        <v>68</v>
      </c>
      <c r="Y921" t="s">
        <v>546</v>
      </c>
    </row>
    <row r="922" spans="1:25">
      <c r="A922" t="s">
        <v>688</v>
      </c>
      <c r="B922">
        <v>3328.39694910666</v>
      </c>
      <c r="C922">
        <v>14.1002607289883</v>
      </c>
      <c r="D922" t="s">
        <v>10</v>
      </c>
      <c r="E922">
        <v>69</v>
      </c>
      <c r="Y922" t="s">
        <v>546</v>
      </c>
    </row>
    <row r="923" spans="1:25">
      <c r="A923" t="s">
        <v>688</v>
      </c>
      <c r="B923">
        <v>3334.2956511646498</v>
      </c>
      <c r="C923">
        <v>20</v>
      </c>
      <c r="D923" t="s">
        <v>652</v>
      </c>
      <c r="E923">
        <v>17</v>
      </c>
      <c r="I923" t="s">
        <v>644</v>
      </c>
      <c r="M923" t="s">
        <v>769</v>
      </c>
      <c r="Y923" t="s">
        <v>546</v>
      </c>
    </row>
    <row r="924" spans="1:25">
      <c r="A924" t="s">
        <v>688</v>
      </c>
      <c r="B924">
        <v>3335.4972098356502</v>
      </c>
      <c r="C924">
        <v>17</v>
      </c>
      <c r="D924" t="s">
        <v>6</v>
      </c>
      <c r="E924">
        <v>22</v>
      </c>
      <c r="T924" t="s">
        <v>24</v>
      </c>
      <c r="Y924" t="s">
        <v>546</v>
      </c>
    </row>
    <row r="925" spans="1:25">
      <c r="A925" t="s">
        <v>688</v>
      </c>
      <c r="B925">
        <v>3336.29806274866</v>
      </c>
      <c r="C925">
        <v>20</v>
      </c>
      <c r="D925" t="s">
        <v>649</v>
      </c>
      <c r="E925">
        <v>47</v>
      </c>
      <c r="I925" t="s">
        <v>439</v>
      </c>
      <c r="M925" t="s">
        <v>607</v>
      </c>
      <c r="Y925" t="s">
        <v>546</v>
      </c>
    </row>
    <row r="926" spans="1:25">
      <c r="A926" t="s">
        <v>688</v>
      </c>
      <c r="B926">
        <v>3338.3419150949999</v>
      </c>
      <c r="C926">
        <v>20</v>
      </c>
      <c r="D926" t="s">
        <v>761</v>
      </c>
      <c r="E926">
        <v>14</v>
      </c>
      <c r="H926" t="s">
        <v>445</v>
      </c>
      <c r="I926" t="s">
        <v>442</v>
      </c>
      <c r="M926" t="s">
        <v>607</v>
      </c>
      <c r="Y926" t="s">
        <v>546</v>
      </c>
    </row>
    <row r="927" spans="1:25">
      <c r="A927" t="s">
        <v>688</v>
      </c>
      <c r="B927">
        <v>3339.4972098356502</v>
      </c>
      <c r="C927">
        <v>46.800488758360103</v>
      </c>
      <c r="D927" t="s">
        <v>18</v>
      </c>
      <c r="E927">
        <v>72</v>
      </c>
      <c r="Y927" t="s">
        <v>546</v>
      </c>
    </row>
    <row r="928" spans="1:25">
      <c r="A928" t="s">
        <v>688</v>
      </c>
      <c r="B928">
        <v>3339.79679147766</v>
      </c>
      <c r="C928">
        <v>20</v>
      </c>
      <c r="D928" t="s">
        <v>651</v>
      </c>
      <c r="E928">
        <v>13</v>
      </c>
      <c r="H928" t="s">
        <v>628</v>
      </c>
      <c r="I928" t="s">
        <v>740</v>
      </c>
      <c r="M928" t="s">
        <v>678</v>
      </c>
      <c r="Y928" t="s">
        <v>546</v>
      </c>
    </row>
    <row r="929" spans="1:25">
      <c r="A929" t="s">
        <v>688</v>
      </c>
      <c r="B929">
        <v>3340.6890171139798</v>
      </c>
      <c r="C929">
        <v>35.807041963319499</v>
      </c>
      <c r="D929" t="s">
        <v>32</v>
      </c>
      <c r="E929">
        <v>32</v>
      </c>
      <c r="R929" t="s">
        <v>20</v>
      </c>
      <c r="Y929" t="s">
        <v>546</v>
      </c>
    </row>
    <row r="930" spans="1:25">
      <c r="A930" t="s">
        <v>688</v>
      </c>
      <c r="B930">
        <v>3342.29606843599</v>
      </c>
      <c r="C930">
        <v>20</v>
      </c>
      <c r="D930" t="s">
        <v>649</v>
      </c>
      <c r="E930">
        <v>48</v>
      </c>
      <c r="I930" t="s">
        <v>439</v>
      </c>
      <c r="M930" t="s">
        <v>607</v>
      </c>
      <c r="Y930" t="s">
        <v>546</v>
      </c>
    </row>
    <row r="931" spans="1:25">
      <c r="A931" t="s">
        <v>688</v>
      </c>
      <c r="B931">
        <v>3342.4972098356502</v>
      </c>
      <c r="C931">
        <v>48.615707229343997</v>
      </c>
      <c r="D931" t="s">
        <v>19</v>
      </c>
      <c r="E931">
        <v>69</v>
      </c>
      <c r="Y931" t="s">
        <v>546</v>
      </c>
    </row>
    <row r="932" spans="1:25">
      <c r="A932" t="s">
        <v>688</v>
      </c>
      <c r="B932">
        <v>3344.3849142650001</v>
      </c>
      <c r="C932">
        <v>20</v>
      </c>
      <c r="D932" t="s">
        <v>761</v>
      </c>
      <c r="E932">
        <v>15</v>
      </c>
      <c r="H932" t="s">
        <v>445</v>
      </c>
      <c r="I932" t="s">
        <v>442</v>
      </c>
      <c r="M932" t="s">
        <v>607</v>
      </c>
      <c r="Y932" t="s">
        <v>546</v>
      </c>
    </row>
    <row r="933" spans="1:25">
      <c r="A933" t="s">
        <v>688</v>
      </c>
      <c r="B933">
        <v>3348.2913372243102</v>
      </c>
      <c r="C933">
        <v>20</v>
      </c>
      <c r="D933" t="s">
        <v>651</v>
      </c>
      <c r="E933">
        <v>14</v>
      </c>
      <c r="H933" t="s">
        <v>623</v>
      </c>
      <c r="I933" t="s">
        <v>442</v>
      </c>
      <c r="M933" t="s">
        <v>629</v>
      </c>
      <c r="Y933" t="s">
        <v>546</v>
      </c>
    </row>
    <row r="934" spans="1:25">
      <c r="A934" t="s">
        <v>688</v>
      </c>
      <c r="B934">
        <v>3353.396265933</v>
      </c>
      <c r="C934">
        <v>20</v>
      </c>
      <c r="D934" t="s">
        <v>645</v>
      </c>
      <c r="E934">
        <v>35</v>
      </c>
      <c r="I934" t="s">
        <v>646</v>
      </c>
      <c r="M934" t="s">
        <v>607</v>
      </c>
      <c r="Y934" t="s">
        <v>546</v>
      </c>
    </row>
    <row r="935" spans="1:25">
      <c r="A935" t="s">
        <v>688</v>
      </c>
      <c r="B935">
        <v>3356.3943153856599</v>
      </c>
      <c r="C935">
        <v>20</v>
      </c>
      <c r="D935" t="s">
        <v>33</v>
      </c>
      <c r="E935">
        <v>19</v>
      </c>
      <c r="Y935" t="s">
        <v>546</v>
      </c>
    </row>
    <row r="936" spans="1:25">
      <c r="A936" t="s">
        <v>688</v>
      </c>
      <c r="B936">
        <v>3357.6606663500002</v>
      </c>
      <c r="C936">
        <v>20</v>
      </c>
      <c r="D936" t="s">
        <v>654</v>
      </c>
      <c r="E936">
        <v>19</v>
      </c>
      <c r="H936" t="s">
        <v>681</v>
      </c>
      <c r="I936" t="s">
        <v>53</v>
      </c>
      <c r="M936" t="s">
        <v>731</v>
      </c>
      <c r="Y936" t="s">
        <v>546</v>
      </c>
    </row>
    <row r="937" spans="1:25">
      <c r="A937" t="s">
        <v>688</v>
      </c>
      <c r="B937">
        <v>3358.29505830997</v>
      </c>
      <c r="C937">
        <v>20</v>
      </c>
      <c r="D937" t="s">
        <v>135</v>
      </c>
      <c r="E937">
        <v>16</v>
      </c>
      <c r="Y937" t="s">
        <v>546</v>
      </c>
    </row>
    <row r="938" spans="1:25">
      <c r="A938" t="s">
        <v>688</v>
      </c>
      <c r="B938">
        <v>3359.4965524069798</v>
      </c>
      <c r="C938">
        <v>20</v>
      </c>
      <c r="D938" t="s">
        <v>34</v>
      </c>
      <c r="E938">
        <v>9</v>
      </c>
      <c r="R938" t="s">
        <v>23</v>
      </c>
      <c r="Y938" t="s">
        <v>546</v>
      </c>
    </row>
    <row r="939" spans="1:25">
      <c r="A939" t="s">
        <v>688</v>
      </c>
      <c r="B939">
        <v>3364.7959270219899</v>
      </c>
      <c r="C939">
        <v>20</v>
      </c>
      <c r="D939" t="s">
        <v>658</v>
      </c>
      <c r="E939">
        <v>14</v>
      </c>
      <c r="I939" t="s">
        <v>750</v>
      </c>
      <c r="M939" t="s">
        <v>757</v>
      </c>
      <c r="Y939" t="s">
        <v>546</v>
      </c>
    </row>
    <row r="940" spans="1:25">
      <c r="A940" t="s">
        <v>688</v>
      </c>
      <c r="B940">
        <v>3367.3924621886499</v>
      </c>
      <c r="C940">
        <v>20</v>
      </c>
      <c r="D940" t="s">
        <v>651</v>
      </c>
      <c r="E940">
        <v>15</v>
      </c>
      <c r="I940" t="s">
        <v>773</v>
      </c>
      <c r="M940" t="s">
        <v>748</v>
      </c>
      <c r="Y940" t="s">
        <v>546</v>
      </c>
    </row>
    <row r="941" spans="1:25">
      <c r="A941" t="s">
        <v>688</v>
      </c>
      <c r="B941">
        <v>3370.59832385764</v>
      </c>
      <c r="C941">
        <v>20</v>
      </c>
      <c r="D941" t="s">
        <v>652</v>
      </c>
      <c r="E941">
        <v>18</v>
      </c>
      <c r="I941" t="s">
        <v>447</v>
      </c>
      <c r="M941" t="s">
        <v>608</v>
      </c>
      <c r="Y941" t="s">
        <v>546</v>
      </c>
    </row>
    <row r="942" spans="1:25">
      <c r="A942" t="s">
        <v>688</v>
      </c>
      <c r="B942">
        <v>3379.2976985940099</v>
      </c>
      <c r="C942">
        <v>17</v>
      </c>
      <c r="D942" t="s">
        <v>40</v>
      </c>
      <c r="E942">
        <v>28</v>
      </c>
      <c r="U942" t="s">
        <v>14</v>
      </c>
      <c r="Y942" t="s">
        <v>546</v>
      </c>
    </row>
    <row r="943" spans="1:25">
      <c r="A943" t="s">
        <v>688</v>
      </c>
      <c r="B943">
        <v>3383.2976985940099</v>
      </c>
      <c r="C943">
        <v>7.8152184709838304</v>
      </c>
      <c r="D943" t="s">
        <v>9</v>
      </c>
      <c r="E943">
        <v>76</v>
      </c>
      <c r="Y943" t="s">
        <v>546</v>
      </c>
    </row>
    <row r="944" spans="1:25">
      <c r="A944" t="s">
        <v>688</v>
      </c>
      <c r="B944">
        <v>3391.1129170650001</v>
      </c>
      <c r="C944">
        <v>40.582587218660102</v>
      </c>
      <c r="D944" t="s">
        <v>10</v>
      </c>
      <c r="E944">
        <v>70</v>
      </c>
      <c r="Y944" t="s">
        <v>546</v>
      </c>
    </row>
    <row r="945" spans="1:25">
      <c r="A945" t="s">
        <v>688</v>
      </c>
      <c r="B945">
        <v>3422.2175864770002</v>
      </c>
      <c r="C945">
        <v>20</v>
      </c>
      <c r="D945" t="s">
        <v>645</v>
      </c>
      <c r="E945">
        <v>36</v>
      </c>
      <c r="I945" t="s">
        <v>446</v>
      </c>
      <c r="Y945" t="s">
        <v>546</v>
      </c>
    </row>
    <row r="946" spans="1:25">
      <c r="A946" t="s">
        <v>688</v>
      </c>
      <c r="B946">
        <v>3424.6955042836598</v>
      </c>
      <c r="C946">
        <v>17</v>
      </c>
      <c r="D946" t="s">
        <v>6</v>
      </c>
      <c r="E946">
        <v>23</v>
      </c>
      <c r="T946" t="s">
        <v>22</v>
      </c>
      <c r="Y946" t="s">
        <v>546</v>
      </c>
    </row>
    <row r="947" spans="1:25">
      <c r="A947" t="s">
        <v>688</v>
      </c>
      <c r="B947">
        <v>3425.5956496906601</v>
      </c>
      <c r="C947">
        <v>20</v>
      </c>
      <c r="D947" t="s">
        <v>651</v>
      </c>
      <c r="E947">
        <v>16</v>
      </c>
      <c r="L947" t="s">
        <v>37</v>
      </c>
      <c r="Y947" t="s">
        <v>546</v>
      </c>
    </row>
    <row r="948" spans="1:25">
      <c r="A948" t="s">
        <v>688</v>
      </c>
      <c r="B948">
        <v>3428.6955042836598</v>
      </c>
      <c r="C948">
        <v>8.1006334149774304</v>
      </c>
      <c r="D948" t="s">
        <v>18</v>
      </c>
      <c r="E948">
        <v>73</v>
      </c>
      <c r="Y948" t="s">
        <v>546</v>
      </c>
    </row>
    <row r="949" spans="1:25">
      <c r="A949" t="s">
        <v>688</v>
      </c>
      <c r="B949">
        <v>3429.79613769863</v>
      </c>
      <c r="C949">
        <v>17</v>
      </c>
      <c r="D949" t="s">
        <v>40</v>
      </c>
      <c r="E949">
        <v>29</v>
      </c>
      <c r="U949" t="s">
        <v>191</v>
      </c>
      <c r="Y949" t="s">
        <v>546</v>
      </c>
    </row>
    <row r="950" spans="1:25">
      <c r="A950" t="s">
        <v>688</v>
      </c>
      <c r="B950">
        <v>3431.038666896</v>
      </c>
      <c r="C950">
        <v>20</v>
      </c>
      <c r="D950" t="s">
        <v>653</v>
      </c>
      <c r="E950">
        <v>15</v>
      </c>
      <c r="K950" t="s">
        <v>444</v>
      </c>
      <c r="M950" t="s">
        <v>617</v>
      </c>
      <c r="Y950" t="s">
        <v>546</v>
      </c>
    </row>
    <row r="951" spans="1:25">
      <c r="A951" t="s">
        <v>688</v>
      </c>
      <c r="B951">
        <v>3431.6955042836598</v>
      </c>
      <c r="C951">
        <v>21.274104498339501</v>
      </c>
      <c r="D951" t="s">
        <v>19</v>
      </c>
      <c r="E951">
        <v>70</v>
      </c>
      <c r="Y951" t="s">
        <v>546</v>
      </c>
    </row>
    <row r="952" spans="1:25">
      <c r="A952" t="s">
        <v>688</v>
      </c>
      <c r="B952">
        <v>3433.79613769863</v>
      </c>
      <c r="C952">
        <v>16.000152232681501</v>
      </c>
      <c r="D952" t="s">
        <v>9</v>
      </c>
      <c r="E952">
        <v>77</v>
      </c>
      <c r="Y952" t="s">
        <v>546</v>
      </c>
    </row>
    <row r="953" spans="1:25">
      <c r="A953" t="s">
        <v>688</v>
      </c>
      <c r="B953">
        <v>3436.0584440950001</v>
      </c>
      <c r="C953">
        <v>20</v>
      </c>
      <c r="D953" t="s">
        <v>652</v>
      </c>
      <c r="E953">
        <v>19</v>
      </c>
      <c r="G953" t="s">
        <v>449</v>
      </c>
      <c r="M953" t="s">
        <v>635</v>
      </c>
      <c r="Y953" t="s">
        <v>546</v>
      </c>
    </row>
    <row r="954" spans="1:25">
      <c r="A954" t="s">
        <v>688</v>
      </c>
      <c r="B954">
        <v>3439.9952592306499</v>
      </c>
      <c r="C954">
        <v>20</v>
      </c>
      <c r="D954" t="s">
        <v>651</v>
      </c>
      <c r="E954">
        <v>17</v>
      </c>
      <c r="K954" t="s">
        <v>444</v>
      </c>
      <c r="M954" t="s">
        <v>620</v>
      </c>
      <c r="Y954" t="s">
        <v>546</v>
      </c>
    </row>
    <row r="955" spans="1:25">
      <c r="A955" t="s">
        <v>688</v>
      </c>
      <c r="B955">
        <v>3440.09619822996</v>
      </c>
      <c r="C955">
        <v>20</v>
      </c>
      <c r="D955" t="s">
        <v>649</v>
      </c>
      <c r="E955">
        <v>49</v>
      </c>
      <c r="H955" t="s">
        <v>5</v>
      </c>
      <c r="J955" t="s">
        <v>222</v>
      </c>
      <c r="M955" t="s">
        <v>631</v>
      </c>
      <c r="Y955" t="s">
        <v>546</v>
      </c>
    </row>
    <row r="956" spans="1:25">
      <c r="A956" t="s">
        <v>688</v>
      </c>
      <c r="B956">
        <v>3442.7962899313102</v>
      </c>
      <c r="C956">
        <v>17</v>
      </c>
      <c r="D956" t="s">
        <v>27</v>
      </c>
      <c r="E956">
        <v>44</v>
      </c>
      <c r="U956" t="s">
        <v>195</v>
      </c>
      <c r="Y956" t="s">
        <v>546</v>
      </c>
    </row>
    <row r="957" spans="1:25">
      <c r="A957" t="s">
        <v>688</v>
      </c>
      <c r="B957">
        <v>3446.7962899313102</v>
      </c>
      <c r="C957">
        <v>6.1733188506805101</v>
      </c>
      <c r="D957" t="s">
        <v>18</v>
      </c>
      <c r="E957">
        <v>74</v>
      </c>
      <c r="Y957" t="s">
        <v>546</v>
      </c>
    </row>
    <row r="958" spans="1:25">
      <c r="A958" t="s">
        <v>688</v>
      </c>
      <c r="B958">
        <v>3452.9696087819998</v>
      </c>
      <c r="C958">
        <v>9.2186838680004204</v>
      </c>
      <c r="D958" t="s">
        <v>10</v>
      </c>
      <c r="E958">
        <v>71</v>
      </c>
      <c r="Y958" t="s">
        <v>546</v>
      </c>
    </row>
    <row r="959" spans="1:25">
      <c r="A959" t="s">
        <v>688</v>
      </c>
      <c r="B959">
        <v>3453.3895939356498</v>
      </c>
      <c r="C959">
        <v>20</v>
      </c>
      <c r="D959" t="s">
        <v>653</v>
      </c>
      <c r="E959">
        <v>16</v>
      </c>
      <c r="I959" t="s">
        <v>723</v>
      </c>
      <c r="M959" t="s">
        <v>634</v>
      </c>
      <c r="Y959" t="s">
        <v>546</v>
      </c>
    </row>
    <row r="960" spans="1:25">
      <c r="A960" t="s">
        <v>688</v>
      </c>
      <c r="B960">
        <v>3455.1882926500002</v>
      </c>
      <c r="C960">
        <v>17</v>
      </c>
      <c r="D960" t="s">
        <v>6</v>
      </c>
      <c r="E960">
        <v>24</v>
      </c>
      <c r="T960" t="s">
        <v>24</v>
      </c>
      <c r="Y960" t="s">
        <v>546</v>
      </c>
    </row>
    <row r="961" spans="1:25">
      <c r="A961" t="s">
        <v>688</v>
      </c>
      <c r="B961">
        <v>3455.5943808106399</v>
      </c>
      <c r="C961">
        <v>20</v>
      </c>
      <c r="D961" t="s">
        <v>652</v>
      </c>
      <c r="E961">
        <v>20</v>
      </c>
      <c r="I961" t="s">
        <v>442</v>
      </c>
      <c r="M961" t="s">
        <v>607</v>
      </c>
      <c r="Y961" t="s">
        <v>546</v>
      </c>
    </row>
    <row r="962" spans="1:25">
      <c r="A962" t="s">
        <v>688</v>
      </c>
      <c r="B962">
        <v>3459.1882926500002</v>
      </c>
      <c r="C962">
        <v>23.210006744648101</v>
      </c>
      <c r="D962" t="s">
        <v>18</v>
      </c>
      <c r="E962">
        <v>75</v>
      </c>
      <c r="Y962" t="s">
        <v>546</v>
      </c>
    </row>
    <row r="963" spans="1:25">
      <c r="A963" t="s">
        <v>688</v>
      </c>
      <c r="B963">
        <v>3461.49648989865</v>
      </c>
      <c r="C963">
        <v>20</v>
      </c>
      <c r="D963" t="s">
        <v>658</v>
      </c>
      <c r="E963">
        <v>15</v>
      </c>
      <c r="I963" t="s">
        <v>439</v>
      </c>
      <c r="M963" t="s">
        <v>607</v>
      </c>
      <c r="Y963" t="s">
        <v>546</v>
      </c>
    </row>
    <row r="964" spans="1:25">
      <c r="A964" t="s">
        <v>688</v>
      </c>
      <c r="B964">
        <v>3462.1882926500002</v>
      </c>
      <c r="C964">
        <v>20.210006744648101</v>
      </c>
      <c r="D964" t="s">
        <v>19</v>
      </c>
      <c r="E964">
        <v>71</v>
      </c>
      <c r="Y964" t="s">
        <v>546</v>
      </c>
    </row>
    <row r="965" spans="1:25">
      <c r="A965" t="s">
        <v>688</v>
      </c>
      <c r="B965">
        <v>3462.9728590240002</v>
      </c>
      <c r="C965">
        <v>20</v>
      </c>
      <c r="D965" t="s">
        <v>645</v>
      </c>
      <c r="E965">
        <v>37</v>
      </c>
      <c r="H965" t="s">
        <v>445</v>
      </c>
      <c r="I965" t="s">
        <v>439</v>
      </c>
      <c r="M965" t="s">
        <v>607</v>
      </c>
      <c r="Y965" t="s">
        <v>546</v>
      </c>
    </row>
    <row r="966" spans="1:25">
      <c r="A966" t="s">
        <v>688</v>
      </c>
      <c r="B966">
        <v>3465.1915773762998</v>
      </c>
      <c r="C966">
        <v>17.2067220183439</v>
      </c>
      <c r="D966" t="s">
        <v>32</v>
      </c>
      <c r="E966">
        <v>33</v>
      </c>
      <c r="R966" t="s">
        <v>20</v>
      </c>
      <c r="Y966" t="s">
        <v>546</v>
      </c>
    </row>
    <row r="967" spans="1:25">
      <c r="A967" t="s">
        <v>688</v>
      </c>
      <c r="B967">
        <v>3465.4959361279698</v>
      </c>
      <c r="C967">
        <v>20</v>
      </c>
      <c r="D967" t="s">
        <v>654</v>
      </c>
      <c r="E967">
        <v>20</v>
      </c>
      <c r="H967" t="s">
        <v>628</v>
      </c>
      <c r="I967" t="s">
        <v>621</v>
      </c>
      <c r="M967" t="s">
        <v>610</v>
      </c>
      <c r="Y967" t="s">
        <v>546</v>
      </c>
    </row>
    <row r="968" spans="1:25">
      <c r="A968" t="s">
        <v>688</v>
      </c>
      <c r="B968">
        <v>3466.8905003233099</v>
      </c>
      <c r="C968">
        <v>20</v>
      </c>
      <c r="D968" t="s">
        <v>33</v>
      </c>
      <c r="E968">
        <v>20</v>
      </c>
      <c r="Y968" t="s">
        <v>546</v>
      </c>
    </row>
    <row r="969" spans="1:25">
      <c r="A969" t="s">
        <v>688</v>
      </c>
      <c r="B969">
        <v>3467.3982993946402</v>
      </c>
      <c r="C969">
        <v>20</v>
      </c>
      <c r="D969" t="s">
        <v>36</v>
      </c>
      <c r="E969">
        <v>18</v>
      </c>
      <c r="N969">
        <v>98</v>
      </c>
      <c r="O969">
        <v>57</v>
      </c>
      <c r="Q969" t="s">
        <v>709</v>
      </c>
      <c r="Y969" t="s">
        <v>546</v>
      </c>
    </row>
    <row r="970" spans="1:25">
      <c r="A970" t="s">
        <v>688</v>
      </c>
      <c r="B970">
        <v>3467.3982993946402</v>
      </c>
      <c r="C970">
        <v>20</v>
      </c>
      <c r="D970" t="s">
        <v>453</v>
      </c>
      <c r="E970">
        <v>4</v>
      </c>
      <c r="Y970" t="s">
        <v>546</v>
      </c>
    </row>
    <row r="971" spans="1:25">
      <c r="A971" t="s">
        <v>688</v>
      </c>
      <c r="B971">
        <v>3468.7956616043002</v>
      </c>
      <c r="C971">
        <v>20</v>
      </c>
      <c r="D971" t="s">
        <v>135</v>
      </c>
      <c r="E971">
        <v>17</v>
      </c>
      <c r="Y971" t="s">
        <v>546</v>
      </c>
    </row>
    <row r="972" spans="1:25">
      <c r="A972" t="s">
        <v>688</v>
      </c>
      <c r="B972">
        <v>3469.0318513140001</v>
      </c>
      <c r="C972">
        <v>20</v>
      </c>
      <c r="D972" t="s">
        <v>764</v>
      </c>
      <c r="E972">
        <v>6</v>
      </c>
      <c r="H972" t="s">
        <v>609</v>
      </c>
      <c r="I972" t="s">
        <v>53</v>
      </c>
      <c r="M972" t="s">
        <v>765</v>
      </c>
      <c r="Y972" t="s">
        <v>546</v>
      </c>
    </row>
    <row r="973" spans="1:25">
      <c r="A973" t="s">
        <v>688</v>
      </c>
      <c r="B973">
        <v>3470.5955042809701</v>
      </c>
      <c r="C973">
        <v>20</v>
      </c>
      <c r="D973" t="s">
        <v>34</v>
      </c>
      <c r="E973">
        <v>10</v>
      </c>
      <c r="R973" t="s">
        <v>20</v>
      </c>
      <c r="Y973" t="s">
        <v>546</v>
      </c>
    </row>
    <row r="974" spans="1:25">
      <c r="A974" t="s">
        <v>688</v>
      </c>
      <c r="B974">
        <v>3471.3965257709901</v>
      </c>
      <c r="C974">
        <v>20</v>
      </c>
      <c r="D974" t="s">
        <v>761</v>
      </c>
      <c r="E974">
        <v>16</v>
      </c>
      <c r="M974" t="s">
        <v>739</v>
      </c>
      <c r="Y974" t="s">
        <v>546</v>
      </c>
    </row>
    <row r="975" spans="1:25">
      <c r="A975" t="s">
        <v>688</v>
      </c>
      <c r="B975">
        <v>3472.3982993946402</v>
      </c>
      <c r="C975">
        <v>15</v>
      </c>
      <c r="D975" t="s">
        <v>35</v>
      </c>
      <c r="E975">
        <v>18</v>
      </c>
      <c r="Y975" t="s">
        <v>546</v>
      </c>
    </row>
    <row r="976" spans="1:25">
      <c r="A976" t="s">
        <v>688</v>
      </c>
      <c r="B976">
        <v>3482.3982993946402</v>
      </c>
      <c r="C976">
        <v>49.338739862351702</v>
      </c>
      <c r="D976" t="s">
        <v>10</v>
      </c>
      <c r="E976">
        <v>72</v>
      </c>
      <c r="Y976" t="s">
        <v>546</v>
      </c>
    </row>
    <row r="977" spans="1:25">
      <c r="A977" t="s">
        <v>688</v>
      </c>
      <c r="B977">
        <v>3528.7370392570001</v>
      </c>
      <c r="C977">
        <v>15.5617232196555</v>
      </c>
      <c r="D977" t="s">
        <v>9</v>
      </c>
      <c r="E977">
        <v>78</v>
      </c>
      <c r="Y977" t="s">
        <v>546</v>
      </c>
    </row>
    <row r="978" spans="1:25">
      <c r="A978" t="s">
        <v>688</v>
      </c>
      <c r="B978">
        <v>3531.7370392570001</v>
      </c>
      <c r="C978">
        <v>1</v>
      </c>
      <c r="D978" t="s">
        <v>17</v>
      </c>
      <c r="E978">
        <v>5</v>
      </c>
      <c r="Y978" t="s">
        <v>546</v>
      </c>
    </row>
    <row r="979" spans="1:25">
      <c r="A979" t="s">
        <v>688</v>
      </c>
      <c r="B979">
        <v>3531.7370392570001</v>
      </c>
      <c r="C979">
        <v>12.5617232196555</v>
      </c>
      <c r="D979" t="s">
        <v>19</v>
      </c>
      <c r="E979">
        <v>72</v>
      </c>
      <c r="Y979" t="s">
        <v>546</v>
      </c>
    </row>
    <row r="980" spans="1:25">
      <c r="A980" t="s">
        <v>688</v>
      </c>
      <c r="B980">
        <v>3532.3489015670002</v>
      </c>
      <c r="C980">
        <v>20</v>
      </c>
      <c r="D980" t="s">
        <v>654</v>
      </c>
      <c r="E980">
        <v>21</v>
      </c>
      <c r="J980" t="s">
        <v>223</v>
      </c>
      <c r="K980" t="s">
        <v>441</v>
      </c>
      <c r="M980" t="s">
        <v>617</v>
      </c>
      <c r="Y980" t="s">
        <v>546</v>
      </c>
    </row>
    <row r="981" spans="1:25">
      <c r="A981" t="s">
        <v>688</v>
      </c>
      <c r="B981">
        <v>3544.2987624766502</v>
      </c>
      <c r="C981">
        <v>8.2978317453393995</v>
      </c>
      <c r="D981" t="s">
        <v>10</v>
      </c>
      <c r="E981">
        <v>73</v>
      </c>
      <c r="Y981" t="s">
        <v>546</v>
      </c>
    </row>
    <row r="982" spans="1:25">
      <c r="A982" t="s">
        <v>688</v>
      </c>
      <c r="B982">
        <v>3545.59659422199</v>
      </c>
      <c r="C982">
        <v>17</v>
      </c>
      <c r="D982" t="s">
        <v>11</v>
      </c>
      <c r="E982">
        <v>41</v>
      </c>
      <c r="T982" t="s">
        <v>13</v>
      </c>
      <c r="Y982" t="s">
        <v>546</v>
      </c>
    </row>
    <row r="983" spans="1:25">
      <c r="A983" t="s">
        <v>688</v>
      </c>
      <c r="B983">
        <v>3549.59659422199</v>
      </c>
      <c r="C983">
        <v>16.8005191326592</v>
      </c>
      <c r="D983" t="s">
        <v>9</v>
      </c>
      <c r="E983">
        <v>79</v>
      </c>
      <c r="Y983" t="s">
        <v>546</v>
      </c>
    </row>
    <row r="984" spans="1:25">
      <c r="A984" t="s">
        <v>688</v>
      </c>
      <c r="B984">
        <v>3550.6959091666599</v>
      </c>
      <c r="C984">
        <v>15.7012041879875</v>
      </c>
      <c r="D984" t="s">
        <v>42</v>
      </c>
      <c r="E984">
        <v>6</v>
      </c>
      <c r="R984" t="s">
        <v>20</v>
      </c>
      <c r="Y984" t="s">
        <v>546</v>
      </c>
    </row>
    <row r="985" spans="1:25">
      <c r="A985" t="s">
        <v>688</v>
      </c>
      <c r="B985">
        <v>3552.59659422199</v>
      </c>
      <c r="C985">
        <v>50.601267016981097</v>
      </c>
      <c r="D985" t="s">
        <v>19</v>
      </c>
      <c r="E985">
        <v>73</v>
      </c>
      <c r="Y985" t="s">
        <v>546</v>
      </c>
    </row>
    <row r="986" spans="1:25">
      <c r="A986" t="s">
        <v>688</v>
      </c>
      <c r="B986">
        <v>3556.3862720249999</v>
      </c>
      <c r="C986">
        <v>20</v>
      </c>
      <c r="D986" t="s">
        <v>649</v>
      </c>
      <c r="E986">
        <v>50</v>
      </c>
      <c r="I986" t="s">
        <v>440</v>
      </c>
      <c r="J986" t="s">
        <v>627</v>
      </c>
      <c r="M986" t="s">
        <v>438</v>
      </c>
      <c r="Y986" t="s">
        <v>546</v>
      </c>
    </row>
    <row r="987" spans="1:25">
      <c r="A987" t="s">
        <v>688</v>
      </c>
      <c r="B987">
        <v>3557.8959009013201</v>
      </c>
      <c r="C987">
        <v>20</v>
      </c>
      <c r="D987" t="s">
        <v>652</v>
      </c>
      <c r="E987">
        <v>21</v>
      </c>
      <c r="I987" t="s">
        <v>439</v>
      </c>
      <c r="M987" t="s">
        <v>607</v>
      </c>
      <c r="Y987" t="s">
        <v>546</v>
      </c>
    </row>
    <row r="988" spans="1:25">
      <c r="A988" t="s">
        <v>688</v>
      </c>
      <c r="B988">
        <v>3559.1959075653399</v>
      </c>
      <c r="C988">
        <v>20</v>
      </c>
      <c r="D988" t="s">
        <v>651</v>
      </c>
      <c r="E988">
        <v>18</v>
      </c>
      <c r="I988" t="s">
        <v>442</v>
      </c>
      <c r="M988" t="s">
        <v>607</v>
      </c>
      <c r="Y988" t="s">
        <v>546</v>
      </c>
    </row>
    <row r="989" spans="1:25">
      <c r="A989" t="s">
        <v>688</v>
      </c>
      <c r="B989">
        <v>3559.3971133546502</v>
      </c>
      <c r="C989">
        <v>17</v>
      </c>
      <c r="D989" t="s">
        <v>27</v>
      </c>
      <c r="E989">
        <v>45</v>
      </c>
      <c r="U989" t="s">
        <v>28</v>
      </c>
      <c r="Y989" t="s">
        <v>546</v>
      </c>
    </row>
    <row r="990" spans="1:25">
      <c r="A990" t="s">
        <v>688</v>
      </c>
      <c r="B990">
        <v>3561.1881503589998</v>
      </c>
      <c r="C990">
        <v>20</v>
      </c>
      <c r="D990" t="s">
        <v>645</v>
      </c>
      <c r="E990">
        <v>38</v>
      </c>
      <c r="M990" t="s">
        <v>682</v>
      </c>
      <c r="Y990" t="s">
        <v>546</v>
      </c>
    </row>
    <row r="991" spans="1:25">
      <c r="A991" t="s">
        <v>688</v>
      </c>
      <c r="B991">
        <v>3563.3971133546502</v>
      </c>
      <c r="C991">
        <v>9.6064710913456093</v>
      </c>
      <c r="D991" t="s">
        <v>18</v>
      </c>
      <c r="E991">
        <v>76</v>
      </c>
      <c r="Y991" t="s">
        <v>546</v>
      </c>
    </row>
    <row r="992" spans="1:25">
      <c r="A992" t="s">
        <v>688</v>
      </c>
      <c r="B992">
        <v>3565.8968077976601</v>
      </c>
      <c r="C992">
        <v>20</v>
      </c>
      <c r="D992" t="s">
        <v>41</v>
      </c>
      <c r="E992">
        <v>5</v>
      </c>
      <c r="Y992" t="s">
        <v>546</v>
      </c>
    </row>
    <row r="993" spans="1:25">
      <c r="A993" t="s">
        <v>688</v>
      </c>
      <c r="B993">
        <v>3566.0035844459999</v>
      </c>
      <c r="C993">
        <v>17</v>
      </c>
      <c r="D993" t="s">
        <v>40</v>
      </c>
      <c r="E993">
        <v>30</v>
      </c>
      <c r="U993" t="s">
        <v>195</v>
      </c>
      <c r="Y993" t="s">
        <v>546</v>
      </c>
    </row>
    <row r="994" spans="1:25">
      <c r="A994" t="s">
        <v>688</v>
      </c>
      <c r="B994">
        <v>3570.0035844459999</v>
      </c>
      <c r="C994">
        <v>16.995550069637801</v>
      </c>
      <c r="D994" t="s">
        <v>9</v>
      </c>
      <c r="E994">
        <v>80</v>
      </c>
      <c r="Y994" t="s">
        <v>546</v>
      </c>
    </row>
    <row r="995" spans="1:25">
      <c r="A995" t="s">
        <v>688</v>
      </c>
      <c r="B995">
        <v>3575.5978596509599</v>
      </c>
      <c r="C995">
        <v>20</v>
      </c>
      <c r="D995" t="s">
        <v>626</v>
      </c>
      <c r="E995">
        <v>24</v>
      </c>
      <c r="I995" t="s">
        <v>439</v>
      </c>
      <c r="K995" t="s">
        <v>432</v>
      </c>
      <c r="M995" t="s">
        <v>624</v>
      </c>
      <c r="Y995" t="s">
        <v>546</v>
      </c>
    </row>
    <row r="996" spans="1:25">
      <c r="A996" t="s">
        <v>688</v>
      </c>
      <c r="B996">
        <v>3579.99913451563</v>
      </c>
      <c r="C996">
        <v>17</v>
      </c>
      <c r="D996" t="s">
        <v>27</v>
      </c>
      <c r="E996">
        <v>46</v>
      </c>
      <c r="U996" t="s">
        <v>190</v>
      </c>
      <c r="Y996" t="s">
        <v>546</v>
      </c>
    </row>
    <row r="997" spans="1:25">
      <c r="A997" t="s">
        <v>688</v>
      </c>
      <c r="B997">
        <v>3583.99913451563</v>
      </c>
      <c r="C997">
        <v>19.1987267233384</v>
      </c>
      <c r="D997" t="s">
        <v>18</v>
      </c>
      <c r="E997">
        <v>77</v>
      </c>
      <c r="Y997" t="s">
        <v>546</v>
      </c>
    </row>
    <row r="998" spans="1:25">
      <c r="A998" t="s">
        <v>688</v>
      </c>
      <c r="B998">
        <v>3584.3493299430002</v>
      </c>
      <c r="C998">
        <v>20</v>
      </c>
      <c r="D998" t="s">
        <v>645</v>
      </c>
      <c r="E998">
        <v>39</v>
      </c>
      <c r="H998" t="s">
        <v>5</v>
      </c>
      <c r="I998" t="s">
        <v>621</v>
      </c>
      <c r="M998" t="s">
        <v>614</v>
      </c>
      <c r="Y998" t="s">
        <v>546</v>
      </c>
    </row>
    <row r="999" spans="1:25">
      <c r="A999" t="s">
        <v>688</v>
      </c>
      <c r="B999">
        <v>3593.8265959079999</v>
      </c>
      <c r="C999">
        <v>15</v>
      </c>
      <c r="D999" t="s">
        <v>605</v>
      </c>
      <c r="E999">
        <v>4</v>
      </c>
      <c r="Y999" t="s">
        <v>546</v>
      </c>
    </row>
    <row r="1000" spans="1:25">
      <c r="A1000" t="s">
        <v>688</v>
      </c>
      <c r="B1000">
        <v>3603.1978612389698</v>
      </c>
      <c r="C1000">
        <v>29.623691615023699</v>
      </c>
      <c r="D1000" t="s">
        <v>10</v>
      </c>
      <c r="E1000">
        <v>74</v>
      </c>
      <c r="Y1000" t="s">
        <v>546</v>
      </c>
    </row>
    <row r="1001" spans="1:25">
      <c r="A1001" t="s">
        <v>688</v>
      </c>
      <c r="B1001">
        <v>3625.59477929065</v>
      </c>
      <c r="C1001">
        <v>20</v>
      </c>
      <c r="D1001" t="s">
        <v>41</v>
      </c>
      <c r="E1001">
        <v>6</v>
      </c>
      <c r="Y1001" t="s">
        <v>546</v>
      </c>
    </row>
    <row r="1002" spans="1:25">
      <c r="A1002" t="s">
        <v>688</v>
      </c>
      <c r="B1002">
        <v>3625.8215528539999</v>
      </c>
      <c r="C1002">
        <v>17</v>
      </c>
      <c r="D1002" t="s">
        <v>11</v>
      </c>
      <c r="E1002">
        <v>42</v>
      </c>
      <c r="T1002" t="s">
        <v>13</v>
      </c>
      <c r="Y1002" t="s">
        <v>546</v>
      </c>
    </row>
    <row r="1003" spans="1:25">
      <c r="A1003" t="s">
        <v>688</v>
      </c>
      <c r="B1003">
        <v>3629.6969728709801</v>
      </c>
      <c r="C1003">
        <v>20</v>
      </c>
      <c r="D1003" t="s">
        <v>645</v>
      </c>
      <c r="E1003">
        <v>40</v>
      </c>
      <c r="K1003" t="s">
        <v>444</v>
      </c>
      <c r="M1003" t="s">
        <v>617</v>
      </c>
      <c r="Y1003" t="s">
        <v>546</v>
      </c>
    </row>
    <row r="1004" spans="1:25">
      <c r="A1004" t="s">
        <v>688</v>
      </c>
      <c r="B1004">
        <v>3629.8215528539999</v>
      </c>
      <c r="C1004">
        <v>16.574338130004801</v>
      </c>
      <c r="D1004" t="s">
        <v>9</v>
      </c>
      <c r="E1004">
        <v>81</v>
      </c>
      <c r="Y1004" t="s">
        <v>546</v>
      </c>
    </row>
    <row r="1005" spans="1:25">
      <c r="A1005" t="s">
        <v>688</v>
      </c>
      <c r="B1005">
        <v>3631.4960878626598</v>
      </c>
      <c r="C1005">
        <v>20</v>
      </c>
      <c r="D1005" t="s">
        <v>626</v>
      </c>
      <c r="E1005">
        <v>25</v>
      </c>
      <c r="J1005" t="s">
        <v>627</v>
      </c>
      <c r="Y1005" t="s">
        <v>546</v>
      </c>
    </row>
    <row r="1006" spans="1:25">
      <c r="A1006" t="s">
        <v>688</v>
      </c>
      <c r="B1006">
        <v>3632.4959909756499</v>
      </c>
      <c r="C1006">
        <v>20</v>
      </c>
      <c r="D1006" t="s">
        <v>46</v>
      </c>
      <c r="E1006">
        <v>1</v>
      </c>
      <c r="R1006" t="s">
        <v>23</v>
      </c>
      <c r="Y1006" t="s">
        <v>546</v>
      </c>
    </row>
    <row r="1007" spans="1:25">
      <c r="A1007" t="s">
        <v>688</v>
      </c>
      <c r="B1007">
        <v>3632.8215528539999</v>
      </c>
      <c r="C1007">
        <v>36.174810485978398</v>
      </c>
      <c r="D1007" t="s">
        <v>19</v>
      </c>
      <c r="E1007">
        <v>74</v>
      </c>
      <c r="Y1007" t="s">
        <v>546</v>
      </c>
    </row>
    <row r="1008" spans="1:25">
      <c r="A1008" t="s">
        <v>688</v>
      </c>
      <c r="B1008">
        <v>3633.511488052</v>
      </c>
      <c r="C1008">
        <v>20</v>
      </c>
      <c r="D1008" t="s">
        <v>136</v>
      </c>
      <c r="E1008">
        <v>2</v>
      </c>
      <c r="Y1008" t="s">
        <v>546</v>
      </c>
    </row>
    <row r="1009" spans="1:25">
      <c r="A1009" t="s">
        <v>688</v>
      </c>
      <c r="B1009">
        <v>3638.5957583189802</v>
      </c>
      <c r="C1009">
        <v>20</v>
      </c>
      <c r="D1009" t="s">
        <v>652</v>
      </c>
      <c r="E1009">
        <v>22</v>
      </c>
      <c r="H1009" t="s">
        <v>5</v>
      </c>
      <c r="I1009" t="s">
        <v>644</v>
      </c>
      <c r="M1009" t="s">
        <v>770</v>
      </c>
      <c r="Y1009" t="s">
        <v>546</v>
      </c>
    </row>
    <row r="1010" spans="1:25">
      <c r="A1010" t="s">
        <v>688</v>
      </c>
      <c r="B1010">
        <v>3639.3958909839998</v>
      </c>
      <c r="C1010">
        <v>17</v>
      </c>
      <c r="D1010" t="s">
        <v>27</v>
      </c>
      <c r="E1010">
        <v>47</v>
      </c>
      <c r="U1010" t="s">
        <v>28</v>
      </c>
      <c r="Y1010" t="s">
        <v>546</v>
      </c>
    </row>
    <row r="1011" spans="1:25">
      <c r="A1011" t="s">
        <v>688</v>
      </c>
      <c r="B1011">
        <v>3640.2953541943102</v>
      </c>
      <c r="C1011">
        <v>20</v>
      </c>
      <c r="D1011" t="s">
        <v>649</v>
      </c>
      <c r="E1011">
        <v>51</v>
      </c>
      <c r="H1011" t="s">
        <v>5</v>
      </c>
      <c r="I1011" t="s">
        <v>754</v>
      </c>
      <c r="M1011" t="s">
        <v>755</v>
      </c>
      <c r="Y1011" t="s">
        <v>546</v>
      </c>
    </row>
    <row r="1012" spans="1:25">
      <c r="A1012" t="s">
        <v>688</v>
      </c>
      <c r="B1012">
        <v>3642.3967608606599</v>
      </c>
      <c r="C1012">
        <v>20</v>
      </c>
      <c r="D1012" t="s">
        <v>651</v>
      </c>
      <c r="E1012">
        <v>19</v>
      </c>
      <c r="H1012" t="s">
        <v>623</v>
      </c>
      <c r="I1012" t="s">
        <v>439</v>
      </c>
      <c r="M1012" t="s">
        <v>615</v>
      </c>
      <c r="Y1012" t="s">
        <v>546</v>
      </c>
    </row>
    <row r="1013" spans="1:25">
      <c r="A1013" t="s">
        <v>688</v>
      </c>
      <c r="B1013">
        <v>3643.3958909839998</v>
      </c>
      <c r="C1013">
        <v>17.094357797982401</v>
      </c>
      <c r="D1013" t="s">
        <v>18</v>
      </c>
      <c r="E1013">
        <v>78</v>
      </c>
      <c r="Y1013" t="s">
        <v>546</v>
      </c>
    </row>
    <row r="1014" spans="1:25">
      <c r="A1014" t="s">
        <v>688</v>
      </c>
      <c r="B1014">
        <v>3644.7849202379998</v>
      </c>
      <c r="C1014">
        <v>15.705328543987401</v>
      </c>
      <c r="D1014" t="s">
        <v>121</v>
      </c>
      <c r="E1014">
        <v>8</v>
      </c>
      <c r="R1014" t="s">
        <v>23</v>
      </c>
      <c r="Y1014" t="s">
        <v>546</v>
      </c>
    </row>
    <row r="1015" spans="1:25">
      <c r="A1015" t="s">
        <v>688</v>
      </c>
      <c r="B1015">
        <v>3651.969163404</v>
      </c>
      <c r="C1015">
        <v>20</v>
      </c>
      <c r="D1015" t="s">
        <v>658</v>
      </c>
      <c r="E1015">
        <v>16</v>
      </c>
      <c r="J1015" t="s">
        <v>733</v>
      </c>
      <c r="M1015" t="s">
        <v>620</v>
      </c>
      <c r="Y1015" t="s">
        <v>546</v>
      </c>
    </row>
    <row r="1016" spans="1:25">
      <c r="A1016" t="s">
        <v>688</v>
      </c>
      <c r="B1016">
        <v>3653.49024878198</v>
      </c>
      <c r="C1016">
        <v>17</v>
      </c>
      <c r="D1016" t="s">
        <v>40</v>
      </c>
      <c r="E1016">
        <v>31</v>
      </c>
      <c r="U1016" t="s">
        <v>195</v>
      </c>
      <c r="Y1016" t="s">
        <v>546</v>
      </c>
    </row>
    <row r="1017" spans="1:25">
      <c r="A1017" t="s">
        <v>688</v>
      </c>
      <c r="B1017">
        <v>3656.2925565886599</v>
      </c>
      <c r="C1017">
        <v>17</v>
      </c>
      <c r="D1017" t="s">
        <v>27</v>
      </c>
      <c r="E1017">
        <v>48</v>
      </c>
      <c r="U1017" t="s">
        <v>195</v>
      </c>
      <c r="Y1017" t="s">
        <v>546</v>
      </c>
    </row>
    <row r="1018" spans="1:25">
      <c r="A1018" t="s">
        <v>688</v>
      </c>
      <c r="B1018">
        <v>3657.49024878198</v>
      </c>
      <c r="C1018">
        <v>5.8023078066762501</v>
      </c>
      <c r="D1018" t="s">
        <v>9</v>
      </c>
      <c r="E1018">
        <v>82</v>
      </c>
      <c r="Y1018" t="s">
        <v>546</v>
      </c>
    </row>
    <row r="1019" spans="1:25">
      <c r="A1019" t="s">
        <v>688</v>
      </c>
      <c r="B1019">
        <v>3658.6960916926701</v>
      </c>
      <c r="C1019">
        <v>20</v>
      </c>
      <c r="D1019" t="s">
        <v>653</v>
      </c>
      <c r="E1019">
        <v>17</v>
      </c>
      <c r="H1019" t="s">
        <v>336</v>
      </c>
      <c r="J1019" t="s">
        <v>222</v>
      </c>
      <c r="M1019" t="s">
        <v>434</v>
      </c>
      <c r="Y1019" t="s">
        <v>546</v>
      </c>
    </row>
    <row r="1020" spans="1:25">
      <c r="A1020" t="s">
        <v>688</v>
      </c>
      <c r="B1020">
        <v>3660.2925565886599</v>
      </c>
      <c r="C1020">
        <v>8.7038067513149109</v>
      </c>
      <c r="D1020" t="s">
        <v>18</v>
      </c>
      <c r="E1020">
        <v>79</v>
      </c>
      <c r="Y1020" t="s">
        <v>546</v>
      </c>
    </row>
    <row r="1021" spans="1:25">
      <c r="A1021" t="s">
        <v>688</v>
      </c>
      <c r="B1021">
        <v>3668.9963633399698</v>
      </c>
      <c r="C1021">
        <v>15.3794849200216</v>
      </c>
      <c r="D1021" t="s">
        <v>10</v>
      </c>
      <c r="E1021">
        <v>75</v>
      </c>
      <c r="Y1021" t="s">
        <v>546</v>
      </c>
    </row>
    <row r="1022" spans="1:25">
      <c r="A1022" t="s">
        <v>688</v>
      </c>
      <c r="B1022">
        <v>3674.19082423797</v>
      </c>
      <c r="C1022">
        <v>20</v>
      </c>
      <c r="D1022" t="s">
        <v>649</v>
      </c>
      <c r="E1022">
        <v>52</v>
      </c>
      <c r="I1022" t="s">
        <v>442</v>
      </c>
      <c r="M1022" t="s">
        <v>438</v>
      </c>
      <c r="Y1022" t="s">
        <v>546</v>
      </c>
    </row>
    <row r="1023" spans="1:25">
      <c r="A1023" t="s">
        <v>688</v>
      </c>
      <c r="B1023">
        <v>3676.0962737786699</v>
      </c>
      <c r="C1023">
        <v>20</v>
      </c>
      <c r="D1023" t="s">
        <v>658</v>
      </c>
      <c r="E1023">
        <v>17</v>
      </c>
      <c r="I1023" t="s">
        <v>442</v>
      </c>
      <c r="M1023" t="s">
        <v>607</v>
      </c>
      <c r="Y1023" t="s">
        <v>546</v>
      </c>
    </row>
    <row r="1024" spans="1:25">
      <c r="A1024" t="s">
        <v>688</v>
      </c>
      <c r="B1024">
        <v>3677.1949947336602</v>
      </c>
      <c r="C1024">
        <v>20</v>
      </c>
      <c r="D1024" t="s">
        <v>649</v>
      </c>
      <c r="E1024">
        <v>53</v>
      </c>
      <c r="I1024" t="s">
        <v>439</v>
      </c>
      <c r="M1024" t="s">
        <v>607</v>
      </c>
      <c r="Y1024" t="s">
        <v>546</v>
      </c>
    </row>
    <row r="1025" spans="1:25">
      <c r="A1025" t="s">
        <v>688</v>
      </c>
      <c r="B1025">
        <v>3677.3758482600001</v>
      </c>
      <c r="C1025">
        <v>17</v>
      </c>
      <c r="D1025" t="s">
        <v>6</v>
      </c>
      <c r="E1025">
        <v>25</v>
      </c>
      <c r="T1025" t="s">
        <v>24</v>
      </c>
      <c r="Y1025" t="s">
        <v>546</v>
      </c>
    </row>
    <row r="1026" spans="1:25">
      <c r="A1026" t="s">
        <v>688</v>
      </c>
      <c r="B1026">
        <v>3678.6958019456301</v>
      </c>
      <c r="C1026">
        <v>20</v>
      </c>
      <c r="D1026" t="s">
        <v>653</v>
      </c>
      <c r="E1026">
        <v>18</v>
      </c>
      <c r="H1026" t="s">
        <v>445</v>
      </c>
      <c r="I1026" t="s">
        <v>440</v>
      </c>
      <c r="M1026" t="s">
        <v>607</v>
      </c>
      <c r="Y1026" t="s">
        <v>546</v>
      </c>
    </row>
    <row r="1027" spans="1:25">
      <c r="A1027" t="s">
        <v>688</v>
      </c>
      <c r="B1027">
        <v>3679.6891196889901</v>
      </c>
      <c r="C1027">
        <v>40.508011750979598</v>
      </c>
      <c r="D1027" t="s">
        <v>32</v>
      </c>
      <c r="E1027">
        <v>34</v>
      </c>
      <c r="R1027" t="s">
        <v>23</v>
      </c>
      <c r="Y1027" t="s">
        <v>546</v>
      </c>
    </row>
    <row r="1028" spans="1:25">
      <c r="A1028" t="s">
        <v>688</v>
      </c>
      <c r="B1028">
        <v>3680.2967571126301</v>
      </c>
      <c r="C1028">
        <v>20</v>
      </c>
      <c r="D1028" t="s">
        <v>658</v>
      </c>
      <c r="E1028">
        <v>18</v>
      </c>
      <c r="I1028" t="s">
        <v>442</v>
      </c>
      <c r="M1028" t="s">
        <v>607</v>
      </c>
      <c r="Y1028" t="s">
        <v>546</v>
      </c>
    </row>
    <row r="1029" spans="1:25">
      <c r="A1029" t="s">
        <v>688</v>
      </c>
      <c r="B1029">
        <v>3681.3758482600001</v>
      </c>
      <c r="C1029">
        <v>38.821283179979197</v>
      </c>
      <c r="D1029" t="s">
        <v>18</v>
      </c>
      <c r="E1029">
        <v>80</v>
      </c>
      <c r="Y1029" t="s">
        <v>546</v>
      </c>
    </row>
    <row r="1030" spans="1:25">
      <c r="A1030" t="s">
        <v>688</v>
      </c>
      <c r="B1030">
        <v>3684.3758482600001</v>
      </c>
      <c r="C1030">
        <v>35.821283179979197</v>
      </c>
      <c r="D1030" t="s">
        <v>19</v>
      </c>
      <c r="E1030">
        <v>75</v>
      </c>
      <c r="Y1030" t="s">
        <v>546</v>
      </c>
    </row>
    <row r="1031" spans="1:25">
      <c r="A1031" t="s">
        <v>688</v>
      </c>
      <c r="B1031">
        <v>3685.3964161133099</v>
      </c>
      <c r="C1031">
        <v>20</v>
      </c>
      <c r="D1031" t="s">
        <v>649</v>
      </c>
      <c r="E1031">
        <v>54</v>
      </c>
      <c r="I1031" t="s">
        <v>442</v>
      </c>
      <c r="M1031" t="s">
        <v>607</v>
      </c>
      <c r="Y1031" t="s">
        <v>546</v>
      </c>
    </row>
    <row r="1032" spans="1:25">
      <c r="A1032" t="s">
        <v>688</v>
      </c>
      <c r="B1032">
        <v>3687.8967344463299</v>
      </c>
      <c r="C1032">
        <v>20</v>
      </c>
      <c r="D1032" t="s">
        <v>764</v>
      </c>
      <c r="E1032">
        <v>7</v>
      </c>
      <c r="H1032" t="s">
        <v>445</v>
      </c>
      <c r="I1032" t="s">
        <v>439</v>
      </c>
      <c r="M1032" t="s">
        <v>608</v>
      </c>
      <c r="Y1032" t="s">
        <v>546</v>
      </c>
    </row>
    <row r="1033" spans="1:25">
      <c r="A1033" t="s">
        <v>688</v>
      </c>
      <c r="B1033">
        <v>3688.0976830712998</v>
      </c>
      <c r="C1033">
        <v>20</v>
      </c>
      <c r="D1033" t="s">
        <v>658</v>
      </c>
      <c r="E1033">
        <v>19</v>
      </c>
      <c r="I1033" t="s">
        <v>439</v>
      </c>
      <c r="M1033" t="s">
        <v>607</v>
      </c>
      <c r="Y1033" t="s">
        <v>546</v>
      </c>
    </row>
    <row r="1034" spans="1:25">
      <c r="A1034" t="s">
        <v>688</v>
      </c>
      <c r="B1034">
        <v>3692.3956641566401</v>
      </c>
      <c r="C1034">
        <v>20</v>
      </c>
      <c r="D1034" t="s">
        <v>764</v>
      </c>
      <c r="E1034">
        <v>8</v>
      </c>
      <c r="H1034" t="s">
        <v>336</v>
      </c>
      <c r="I1034" t="s">
        <v>442</v>
      </c>
      <c r="M1034" t="s">
        <v>648</v>
      </c>
      <c r="Y1034" t="s">
        <v>546</v>
      </c>
    </row>
    <row r="1035" spans="1:25">
      <c r="A1035" t="s">
        <v>688</v>
      </c>
      <c r="B1035">
        <v>3695.8959895316498</v>
      </c>
      <c r="C1035">
        <v>20</v>
      </c>
      <c r="D1035" t="s">
        <v>658</v>
      </c>
      <c r="E1035">
        <v>20</v>
      </c>
      <c r="M1035" t="s">
        <v>633</v>
      </c>
      <c r="Y1035" t="s">
        <v>546</v>
      </c>
    </row>
    <row r="1036" spans="1:25">
      <c r="A1036" t="s">
        <v>688</v>
      </c>
      <c r="B1036">
        <v>3696.6949658159601</v>
      </c>
      <c r="C1036">
        <v>20</v>
      </c>
      <c r="D1036" t="s">
        <v>645</v>
      </c>
      <c r="E1036">
        <v>41</v>
      </c>
      <c r="I1036" t="s">
        <v>440</v>
      </c>
      <c r="M1036" t="s">
        <v>607</v>
      </c>
      <c r="Y1036" t="s">
        <v>546</v>
      </c>
    </row>
    <row r="1037" spans="1:25">
      <c r="A1037" t="s">
        <v>688</v>
      </c>
      <c r="B1037">
        <v>3699.89689282566</v>
      </c>
      <c r="C1037">
        <v>20</v>
      </c>
      <c r="D1037" t="s">
        <v>645</v>
      </c>
      <c r="E1037">
        <v>42</v>
      </c>
      <c r="I1037" t="s">
        <v>440</v>
      </c>
      <c r="M1037" t="s">
        <v>438</v>
      </c>
      <c r="Y1037" t="s">
        <v>546</v>
      </c>
    </row>
    <row r="1038" spans="1:25">
      <c r="A1038" t="s">
        <v>688</v>
      </c>
      <c r="B1038">
        <v>3702.8956676103098</v>
      </c>
      <c r="C1038">
        <v>20</v>
      </c>
      <c r="D1038" t="s">
        <v>652</v>
      </c>
      <c r="E1038">
        <v>23</v>
      </c>
      <c r="I1038" t="s">
        <v>447</v>
      </c>
      <c r="M1038" t="s">
        <v>608</v>
      </c>
      <c r="Y1038" t="s">
        <v>546</v>
      </c>
    </row>
    <row r="1039" spans="1:25">
      <c r="A1039" t="s">
        <v>688</v>
      </c>
      <c r="B1039">
        <v>3705.5036314079998</v>
      </c>
      <c r="C1039">
        <v>20</v>
      </c>
      <c r="D1039" t="s">
        <v>761</v>
      </c>
      <c r="E1039">
        <v>17</v>
      </c>
      <c r="K1039" t="s">
        <v>48</v>
      </c>
      <c r="M1039" t="s">
        <v>617</v>
      </c>
      <c r="Y1039" t="s">
        <v>546</v>
      </c>
    </row>
    <row r="1040" spans="1:25">
      <c r="A1040" t="s">
        <v>688</v>
      </c>
      <c r="B1040">
        <v>3707.2111734919999</v>
      </c>
      <c r="C1040">
        <v>20</v>
      </c>
      <c r="D1040" t="s">
        <v>653</v>
      </c>
      <c r="E1040">
        <v>19</v>
      </c>
      <c r="H1040" t="s">
        <v>336</v>
      </c>
      <c r="J1040" t="s">
        <v>222</v>
      </c>
      <c r="K1040" t="s">
        <v>444</v>
      </c>
      <c r="M1040" t="s">
        <v>724</v>
      </c>
      <c r="Y1040" t="s">
        <v>546</v>
      </c>
    </row>
    <row r="1041" spans="1:25">
      <c r="A1041" t="s">
        <v>688</v>
      </c>
      <c r="B1041">
        <v>3720.1971314399698</v>
      </c>
      <c r="C1041">
        <v>37.2996736930208</v>
      </c>
      <c r="D1041" t="s">
        <v>10</v>
      </c>
      <c r="E1041">
        <v>76</v>
      </c>
      <c r="Y1041" t="s">
        <v>546</v>
      </c>
    </row>
    <row r="1042" spans="1:25">
      <c r="A1042" t="s">
        <v>688</v>
      </c>
      <c r="B1042">
        <v>3747.8967718546401</v>
      </c>
      <c r="C1042">
        <v>20</v>
      </c>
      <c r="D1042" t="s">
        <v>653</v>
      </c>
      <c r="E1042">
        <v>20</v>
      </c>
      <c r="I1042" t="s">
        <v>440</v>
      </c>
      <c r="M1042" t="s">
        <v>438</v>
      </c>
      <c r="Y1042" t="s">
        <v>546</v>
      </c>
    </row>
    <row r="1043" spans="1:25">
      <c r="A1043" t="s">
        <v>688</v>
      </c>
      <c r="B1043">
        <v>3750.4968051330002</v>
      </c>
      <c r="C1043">
        <v>17</v>
      </c>
      <c r="D1043" t="s">
        <v>6</v>
      </c>
      <c r="E1043">
        <v>26</v>
      </c>
      <c r="T1043" t="s">
        <v>24</v>
      </c>
      <c r="Y1043" t="s">
        <v>546</v>
      </c>
    </row>
    <row r="1044" spans="1:25">
      <c r="A1044" t="s">
        <v>688</v>
      </c>
      <c r="B1044">
        <v>3752.59667778332</v>
      </c>
      <c r="C1044">
        <v>20</v>
      </c>
      <c r="D1044" t="s">
        <v>658</v>
      </c>
      <c r="E1044">
        <v>21</v>
      </c>
      <c r="I1044" t="s">
        <v>774</v>
      </c>
      <c r="M1044" t="s">
        <v>744</v>
      </c>
      <c r="Y1044" t="s">
        <v>546</v>
      </c>
    </row>
    <row r="1045" spans="1:25">
      <c r="A1045" t="s">
        <v>688</v>
      </c>
      <c r="B1045">
        <v>3754.3972409920002</v>
      </c>
      <c r="C1045">
        <v>20</v>
      </c>
      <c r="D1045" t="s">
        <v>645</v>
      </c>
      <c r="E1045">
        <v>43</v>
      </c>
      <c r="I1045" t="s">
        <v>440</v>
      </c>
      <c r="M1045" t="s">
        <v>607</v>
      </c>
      <c r="Y1045" t="s">
        <v>546</v>
      </c>
    </row>
    <row r="1046" spans="1:25">
      <c r="A1046" t="s">
        <v>688</v>
      </c>
      <c r="B1046">
        <v>3754.4968051330002</v>
      </c>
      <c r="C1046">
        <v>36.6894081809996</v>
      </c>
      <c r="D1046" t="s">
        <v>18</v>
      </c>
      <c r="E1046">
        <v>81</v>
      </c>
      <c r="Y1046" t="s">
        <v>546</v>
      </c>
    </row>
    <row r="1047" spans="1:25">
      <c r="A1047" t="s">
        <v>688</v>
      </c>
      <c r="B1047">
        <v>3755.2954576033098</v>
      </c>
      <c r="C1047">
        <v>35.890755710683997</v>
      </c>
      <c r="D1047" t="s">
        <v>32</v>
      </c>
      <c r="E1047">
        <v>35</v>
      </c>
      <c r="R1047" t="s">
        <v>23</v>
      </c>
      <c r="Y1047" t="s">
        <v>546</v>
      </c>
    </row>
    <row r="1048" spans="1:25">
      <c r="A1048" t="s">
        <v>688</v>
      </c>
      <c r="B1048">
        <v>3755.8959205663</v>
      </c>
      <c r="C1048">
        <v>20</v>
      </c>
      <c r="D1048" t="s">
        <v>658</v>
      </c>
      <c r="E1048">
        <v>22</v>
      </c>
      <c r="I1048" t="s">
        <v>440</v>
      </c>
      <c r="M1048" t="s">
        <v>607</v>
      </c>
      <c r="Y1048" t="s">
        <v>546</v>
      </c>
    </row>
    <row r="1049" spans="1:25">
      <c r="A1049" t="s">
        <v>688</v>
      </c>
      <c r="B1049">
        <v>3757.4968051330002</v>
      </c>
      <c r="C1049">
        <v>40.016794957999899</v>
      </c>
      <c r="D1049" t="s">
        <v>19</v>
      </c>
      <c r="E1049">
        <v>76</v>
      </c>
      <c r="Y1049" t="s">
        <v>546</v>
      </c>
    </row>
    <row r="1050" spans="1:25">
      <c r="A1050" t="s">
        <v>688</v>
      </c>
      <c r="B1050">
        <v>3762.89000516229</v>
      </c>
      <c r="C1050">
        <v>20</v>
      </c>
      <c r="D1050" t="s">
        <v>652</v>
      </c>
      <c r="E1050">
        <v>24</v>
      </c>
      <c r="I1050" t="s">
        <v>442</v>
      </c>
      <c r="M1050" t="s">
        <v>607</v>
      </c>
      <c r="Y1050" t="s">
        <v>546</v>
      </c>
    </row>
    <row r="1051" spans="1:25">
      <c r="A1051" t="s">
        <v>688</v>
      </c>
      <c r="B1051">
        <v>3770.1967794082898</v>
      </c>
      <c r="C1051">
        <v>25.800686792339501</v>
      </c>
      <c r="D1051" t="s">
        <v>649</v>
      </c>
      <c r="E1051">
        <v>55</v>
      </c>
      <c r="I1051" t="s">
        <v>756</v>
      </c>
      <c r="M1051" t="s">
        <v>748</v>
      </c>
      <c r="Y1051" t="s">
        <v>546</v>
      </c>
    </row>
    <row r="1052" spans="1:25">
      <c r="A1052" t="s">
        <v>688</v>
      </c>
      <c r="B1052">
        <v>3774.5963030749899</v>
      </c>
      <c r="C1052">
        <v>20</v>
      </c>
      <c r="D1052" t="s">
        <v>652</v>
      </c>
      <c r="E1052">
        <v>25</v>
      </c>
      <c r="I1052" t="s">
        <v>771</v>
      </c>
      <c r="M1052" t="s">
        <v>772</v>
      </c>
      <c r="Y1052" t="s">
        <v>546</v>
      </c>
    </row>
    <row r="1053" spans="1:25">
      <c r="A1053" t="s">
        <v>688</v>
      </c>
      <c r="B1053">
        <v>3784.1862133139998</v>
      </c>
      <c r="C1053">
        <v>17</v>
      </c>
      <c r="D1053" t="s">
        <v>40</v>
      </c>
      <c r="E1053">
        <v>32</v>
      </c>
      <c r="U1053" t="s">
        <v>14</v>
      </c>
      <c r="Y1053" t="s">
        <v>546</v>
      </c>
    </row>
    <row r="1054" spans="1:25">
      <c r="A1054" t="s">
        <v>688</v>
      </c>
      <c r="B1054">
        <v>3788.1862133139998</v>
      </c>
      <c r="C1054">
        <v>9.3273867770003491</v>
      </c>
      <c r="D1054" t="s">
        <v>9</v>
      </c>
      <c r="E1054">
        <v>83</v>
      </c>
      <c r="Y1054" t="s">
        <v>546</v>
      </c>
    </row>
    <row r="1055" spans="1:25">
      <c r="A1055" t="s">
        <v>688</v>
      </c>
      <c r="B1055">
        <v>3797.1973074942998</v>
      </c>
      <c r="C1055">
        <v>20</v>
      </c>
      <c r="D1055" t="s">
        <v>658</v>
      </c>
      <c r="E1055">
        <v>23</v>
      </c>
      <c r="I1055" t="s">
        <v>440</v>
      </c>
      <c r="M1055" t="s">
        <v>607</v>
      </c>
      <c r="Y1055" t="s">
        <v>546</v>
      </c>
    </row>
    <row r="1056" spans="1:25">
      <c r="A1056" t="s">
        <v>688</v>
      </c>
      <c r="B1056">
        <v>3797.5126840419998</v>
      </c>
      <c r="C1056">
        <v>17</v>
      </c>
      <c r="D1056" t="s">
        <v>6</v>
      </c>
      <c r="E1056">
        <v>27</v>
      </c>
      <c r="T1056" t="s">
        <v>21</v>
      </c>
      <c r="U1056" t="s">
        <v>28</v>
      </c>
      <c r="Y1056" t="s">
        <v>546</v>
      </c>
    </row>
    <row r="1057" spans="1:25">
      <c r="A1057" t="s">
        <v>688</v>
      </c>
      <c r="B1057">
        <v>3797.5136000910002</v>
      </c>
      <c r="C1057">
        <v>6.9990839509996396</v>
      </c>
      <c r="D1057" t="s">
        <v>10</v>
      </c>
      <c r="E1057">
        <v>77</v>
      </c>
      <c r="Y1057" t="s">
        <v>546</v>
      </c>
    </row>
    <row r="1058" spans="1:25">
      <c r="A1058" t="s">
        <v>688</v>
      </c>
      <c r="B1058">
        <v>3799.8962327429699</v>
      </c>
      <c r="C1058">
        <v>20</v>
      </c>
      <c r="D1058" t="s">
        <v>652</v>
      </c>
      <c r="E1058">
        <v>26</v>
      </c>
      <c r="I1058" t="s">
        <v>439</v>
      </c>
      <c r="M1058" t="s">
        <v>607</v>
      </c>
      <c r="Y1058" t="s">
        <v>546</v>
      </c>
    </row>
    <row r="1059" spans="1:25">
      <c r="A1059" t="s">
        <v>688</v>
      </c>
      <c r="B1059">
        <v>3801.39815386496</v>
      </c>
      <c r="C1059">
        <v>20</v>
      </c>
      <c r="D1059" t="s">
        <v>658</v>
      </c>
      <c r="E1059">
        <v>24</v>
      </c>
      <c r="I1059" t="s">
        <v>440</v>
      </c>
      <c r="M1059" t="s">
        <v>607</v>
      </c>
      <c r="Y1059" t="s">
        <v>546</v>
      </c>
    </row>
    <row r="1060" spans="1:25">
      <c r="A1060" t="s">
        <v>688</v>
      </c>
      <c r="B1060">
        <v>3801.5126840419998</v>
      </c>
      <c r="C1060">
        <v>33.878982396682602</v>
      </c>
      <c r="D1060" t="s">
        <v>18</v>
      </c>
      <c r="E1060">
        <v>82</v>
      </c>
      <c r="Y1060" t="s">
        <v>546</v>
      </c>
    </row>
    <row r="1061" spans="1:25">
      <c r="A1061" t="s">
        <v>688</v>
      </c>
      <c r="B1061">
        <v>3804.5126840419998</v>
      </c>
      <c r="C1061">
        <v>40.357948011000097</v>
      </c>
      <c r="D1061" t="s">
        <v>19</v>
      </c>
      <c r="E1061">
        <v>77</v>
      </c>
      <c r="Y1061" t="s">
        <v>546</v>
      </c>
    </row>
    <row r="1062" spans="1:25">
      <c r="A1062" t="s">
        <v>688</v>
      </c>
      <c r="B1062">
        <v>3808.9951775766499</v>
      </c>
      <c r="C1062">
        <v>20</v>
      </c>
      <c r="D1062" t="s">
        <v>652</v>
      </c>
      <c r="E1062">
        <v>27</v>
      </c>
      <c r="I1062" t="s">
        <v>442</v>
      </c>
      <c r="M1062" t="s">
        <v>607</v>
      </c>
      <c r="Y1062" t="s">
        <v>546</v>
      </c>
    </row>
    <row r="1063" spans="1:25">
      <c r="A1063" t="s">
        <v>688</v>
      </c>
      <c r="B1063">
        <v>3811.2963424179802</v>
      </c>
      <c r="C1063">
        <v>24.0953240206963</v>
      </c>
      <c r="D1063" t="s">
        <v>121</v>
      </c>
      <c r="E1063">
        <v>9</v>
      </c>
      <c r="P1063" t="s">
        <v>30</v>
      </c>
      <c r="R1063" t="s">
        <v>23</v>
      </c>
      <c r="Y1063" t="s">
        <v>546</v>
      </c>
    </row>
    <row r="1064" spans="1:25">
      <c r="A1064" t="s">
        <v>688</v>
      </c>
      <c r="B1064">
        <v>3814.1690383720002</v>
      </c>
      <c r="C1064">
        <v>20</v>
      </c>
      <c r="D1064" t="s">
        <v>649</v>
      </c>
      <c r="E1064">
        <v>56</v>
      </c>
      <c r="I1064" t="s">
        <v>439</v>
      </c>
      <c r="M1064" t="s">
        <v>607</v>
      </c>
      <c r="Y1064" t="s">
        <v>546</v>
      </c>
    </row>
    <row r="1065" spans="1:25">
      <c r="A1065" t="s">
        <v>688</v>
      </c>
      <c r="B1065">
        <v>3816.8948306746602</v>
      </c>
      <c r="C1065">
        <v>20</v>
      </c>
      <c r="D1065" t="s">
        <v>651</v>
      </c>
      <c r="E1065">
        <v>20</v>
      </c>
      <c r="H1065" t="s">
        <v>628</v>
      </c>
      <c r="I1065" t="s">
        <v>440</v>
      </c>
      <c r="M1065" t="s">
        <v>607</v>
      </c>
      <c r="Y1065" t="s">
        <v>546</v>
      </c>
    </row>
    <row r="1066" spans="1:25">
      <c r="A1066" t="s">
        <v>688</v>
      </c>
      <c r="B1066">
        <v>3820.09650663296</v>
      </c>
      <c r="C1066">
        <v>20</v>
      </c>
      <c r="D1066" t="s">
        <v>649</v>
      </c>
      <c r="E1066">
        <v>57</v>
      </c>
      <c r="H1066" t="s">
        <v>450</v>
      </c>
      <c r="I1066" t="s">
        <v>439</v>
      </c>
      <c r="M1066" t="s">
        <v>608</v>
      </c>
      <c r="Y1066" t="s">
        <v>546</v>
      </c>
    </row>
    <row r="1067" spans="1:25">
      <c r="A1067" t="s">
        <v>688</v>
      </c>
      <c r="B1067">
        <v>3827.4928291063102</v>
      </c>
      <c r="C1067">
        <v>20</v>
      </c>
      <c r="D1067" t="s">
        <v>41</v>
      </c>
      <c r="E1067">
        <v>7</v>
      </c>
      <c r="Y1067" t="s">
        <v>546</v>
      </c>
    </row>
    <row r="1068" spans="1:25">
      <c r="A1068" t="s">
        <v>688</v>
      </c>
      <c r="B1068">
        <v>3828.3916664386802</v>
      </c>
      <c r="C1068">
        <v>17</v>
      </c>
      <c r="D1068" t="s">
        <v>40</v>
      </c>
      <c r="E1068">
        <v>33</v>
      </c>
      <c r="U1068" t="s">
        <v>195</v>
      </c>
      <c r="Y1068" t="s">
        <v>546</v>
      </c>
    </row>
    <row r="1069" spans="1:25">
      <c r="A1069" t="s">
        <v>688</v>
      </c>
      <c r="B1069">
        <v>3830.523822702</v>
      </c>
      <c r="C1069">
        <v>20</v>
      </c>
      <c r="D1069" t="s">
        <v>649</v>
      </c>
      <c r="E1069">
        <v>58</v>
      </c>
      <c r="K1069" t="s">
        <v>432</v>
      </c>
      <c r="M1069" t="s">
        <v>617</v>
      </c>
      <c r="Y1069" t="s">
        <v>546</v>
      </c>
    </row>
    <row r="1070" spans="1:25">
      <c r="A1070" t="s">
        <v>688</v>
      </c>
      <c r="B1070">
        <v>3831.9958047813202</v>
      </c>
      <c r="C1070">
        <v>20</v>
      </c>
      <c r="D1070" t="s">
        <v>651</v>
      </c>
      <c r="E1070">
        <v>21</v>
      </c>
      <c r="J1070" t="s">
        <v>223</v>
      </c>
      <c r="K1070" t="s">
        <v>441</v>
      </c>
      <c r="M1070" t="s">
        <v>617</v>
      </c>
      <c r="Y1070" t="s">
        <v>546</v>
      </c>
    </row>
    <row r="1071" spans="1:25">
      <c r="A1071" t="s">
        <v>688</v>
      </c>
      <c r="B1071">
        <v>3832.3916664386802</v>
      </c>
      <c r="C1071">
        <v>12.478965614317501</v>
      </c>
      <c r="D1071" t="s">
        <v>9</v>
      </c>
      <c r="E1071">
        <v>84</v>
      </c>
      <c r="Y1071" t="s">
        <v>546</v>
      </c>
    </row>
    <row r="1072" spans="1:25">
      <c r="A1072" t="s">
        <v>688</v>
      </c>
      <c r="B1072">
        <v>3844.870632053</v>
      </c>
      <c r="C1072">
        <v>65.492999026999698</v>
      </c>
      <c r="D1072" t="s">
        <v>10</v>
      </c>
      <c r="E1072">
        <v>78</v>
      </c>
      <c r="Y1072" t="s">
        <v>546</v>
      </c>
    </row>
    <row r="1073" spans="1:25">
      <c r="A1073" t="s">
        <v>688</v>
      </c>
      <c r="B1073">
        <v>3895.3636310799998</v>
      </c>
      <c r="C1073">
        <v>20</v>
      </c>
      <c r="D1073" t="s">
        <v>45</v>
      </c>
      <c r="E1073">
        <v>4</v>
      </c>
      <c r="N1073">
        <v>82</v>
      </c>
      <c r="O1073">
        <v>31</v>
      </c>
      <c r="Q1073" t="s">
        <v>715</v>
      </c>
      <c r="Y1073" t="s">
        <v>546</v>
      </c>
    </row>
    <row r="1074" spans="1:25">
      <c r="A1074" t="s">
        <v>688</v>
      </c>
      <c r="B1074">
        <v>3902.3914933829701</v>
      </c>
      <c r="C1074">
        <v>20</v>
      </c>
      <c r="D1074" t="s">
        <v>45</v>
      </c>
      <c r="E1074">
        <v>5</v>
      </c>
      <c r="N1074">
        <v>87</v>
      </c>
      <c r="O1074">
        <v>72</v>
      </c>
      <c r="Q1074" t="s">
        <v>716</v>
      </c>
      <c r="Y1074" t="s">
        <v>546</v>
      </c>
    </row>
    <row r="1075" spans="1:25">
      <c r="A1075" t="s">
        <v>688</v>
      </c>
      <c r="B1075">
        <v>3903.3636310799998</v>
      </c>
      <c r="C1075">
        <v>17</v>
      </c>
      <c r="D1075" t="s">
        <v>11</v>
      </c>
      <c r="E1075">
        <v>43</v>
      </c>
      <c r="T1075" t="s">
        <v>13</v>
      </c>
      <c r="Y1075" t="s">
        <v>546</v>
      </c>
    </row>
    <row r="1076" spans="1:25">
      <c r="A1076" t="s">
        <v>688</v>
      </c>
      <c r="B1076">
        <v>3903.6950412569699</v>
      </c>
      <c r="C1076">
        <v>20</v>
      </c>
      <c r="D1076" t="s">
        <v>136</v>
      </c>
      <c r="E1076">
        <v>3</v>
      </c>
      <c r="Y1076" t="s">
        <v>546</v>
      </c>
    </row>
    <row r="1077" spans="1:25">
      <c r="A1077" t="s">
        <v>688</v>
      </c>
      <c r="B1077">
        <v>3907.3636310799998</v>
      </c>
      <c r="C1077">
        <v>11.4339915109858</v>
      </c>
      <c r="D1077" t="s">
        <v>9</v>
      </c>
      <c r="E1077">
        <v>85</v>
      </c>
      <c r="Y1077" t="s">
        <v>546</v>
      </c>
    </row>
    <row r="1078" spans="1:25">
      <c r="A1078" t="s">
        <v>688</v>
      </c>
      <c r="B1078">
        <v>3907.5959468266601</v>
      </c>
      <c r="C1078">
        <v>20</v>
      </c>
      <c r="D1078" t="s">
        <v>652</v>
      </c>
      <c r="E1078">
        <v>28</v>
      </c>
      <c r="G1078" t="s">
        <v>51</v>
      </c>
      <c r="Y1078" t="s">
        <v>546</v>
      </c>
    </row>
    <row r="1079" spans="1:25">
      <c r="A1079" t="s">
        <v>688</v>
      </c>
      <c r="B1079">
        <v>3910.3636310799998</v>
      </c>
      <c r="C1079">
        <v>49.732319971000798</v>
      </c>
      <c r="D1079" t="s">
        <v>19</v>
      </c>
      <c r="E1079">
        <v>78</v>
      </c>
      <c r="Y1079" t="s">
        <v>546</v>
      </c>
    </row>
    <row r="1080" spans="1:25">
      <c r="A1080" t="s">
        <v>688</v>
      </c>
      <c r="B1080">
        <v>3911.7976225909802</v>
      </c>
      <c r="C1080">
        <v>17</v>
      </c>
      <c r="D1080" t="s">
        <v>27</v>
      </c>
      <c r="E1080">
        <v>49</v>
      </c>
      <c r="U1080" t="s">
        <v>28</v>
      </c>
      <c r="Y1080" t="s">
        <v>546</v>
      </c>
    </row>
    <row r="1081" spans="1:25">
      <c r="A1081" t="s">
        <v>688</v>
      </c>
      <c r="B1081">
        <v>3915.7976225909802</v>
      </c>
      <c r="C1081">
        <v>23.599830140339201</v>
      </c>
      <c r="D1081" t="s">
        <v>18</v>
      </c>
      <c r="E1081">
        <v>83</v>
      </c>
      <c r="Y1081" t="s">
        <v>546</v>
      </c>
    </row>
    <row r="1082" spans="1:25">
      <c r="A1082" t="s">
        <v>688</v>
      </c>
      <c r="B1082">
        <v>3921.4965962913402</v>
      </c>
      <c r="C1082">
        <v>20</v>
      </c>
      <c r="D1082" t="s">
        <v>652</v>
      </c>
      <c r="E1082">
        <v>29</v>
      </c>
      <c r="I1082" t="s">
        <v>644</v>
      </c>
      <c r="M1082" t="s">
        <v>634</v>
      </c>
      <c r="Y1082" t="s">
        <v>546</v>
      </c>
    </row>
    <row r="1083" spans="1:25">
      <c r="A1083" t="s">
        <v>688</v>
      </c>
      <c r="B1083">
        <v>3922.99586766533</v>
      </c>
      <c r="C1083">
        <v>20</v>
      </c>
      <c r="D1083" t="s">
        <v>658</v>
      </c>
      <c r="E1083">
        <v>25</v>
      </c>
      <c r="I1083" t="s">
        <v>439</v>
      </c>
      <c r="M1083" t="s">
        <v>607</v>
      </c>
      <c r="Y1083" t="s">
        <v>546</v>
      </c>
    </row>
    <row r="1084" spans="1:25">
      <c r="A1084" t="s">
        <v>688</v>
      </c>
      <c r="B1084">
        <v>3924.7961941006602</v>
      </c>
      <c r="C1084">
        <v>20</v>
      </c>
      <c r="D1084" t="s">
        <v>626</v>
      </c>
      <c r="E1084">
        <v>26</v>
      </c>
      <c r="H1084" t="s">
        <v>623</v>
      </c>
      <c r="M1084" t="s">
        <v>631</v>
      </c>
      <c r="Y1084" t="s">
        <v>546</v>
      </c>
    </row>
    <row r="1085" spans="1:25">
      <c r="A1085" t="s">
        <v>688</v>
      </c>
      <c r="B1085">
        <v>3925.3960003723</v>
      </c>
      <c r="C1085">
        <v>20</v>
      </c>
      <c r="D1085" t="s">
        <v>645</v>
      </c>
      <c r="E1085">
        <v>44</v>
      </c>
      <c r="J1085" t="s">
        <v>335</v>
      </c>
      <c r="M1085" t="s">
        <v>759</v>
      </c>
      <c r="Y1085" t="s">
        <v>546</v>
      </c>
    </row>
    <row r="1086" spans="1:25">
      <c r="A1086" t="s">
        <v>688</v>
      </c>
      <c r="B1086">
        <v>3926.5880028930001</v>
      </c>
      <c r="C1086">
        <v>12.809449838324699</v>
      </c>
      <c r="D1086" t="s">
        <v>121</v>
      </c>
      <c r="E1086">
        <v>10</v>
      </c>
      <c r="P1086" t="s">
        <v>30</v>
      </c>
      <c r="R1086" t="s">
        <v>23</v>
      </c>
      <c r="Y1086" t="s">
        <v>546</v>
      </c>
    </row>
    <row r="1087" spans="1:25">
      <c r="A1087" t="s">
        <v>688</v>
      </c>
      <c r="B1087">
        <v>3932.3974527313198</v>
      </c>
      <c r="C1087">
        <v>17</v>
      </c>
      <c r="D1087" t="s">
        <v>40</v>
      </c>
      <c r="E1087">
        <v>34</v>
      </c>
      <c r="U1087" t="s">
        <v>28</v>
      </c>
      <c r="Y1087" t="s">
        <v>546</v>
      </c>
    </row>
    <row r="1088" spans="1:25">
      <c r="A1088" t="s">
        <v>688</v>
      </c>
      <c r="B1088">
        <v>3935.6112713339999</v>
      </c>
      <c r="C1088">
        <v>20</v>
      </c>
      <c r="D1088" t="s">
        <v>647</v>
      </c>
      <c r="E1088">
        <v>25</v>
      </c>
      <c r="I1088" t="s">
        <v>440</v>
      </c>
      <c r="M1088" t="s">
        <v>438</v>
      </c>
      <c r="Y1088" t="s">
        <v>546</v>
      </c>
    </row>
    <row r="1089" spans="1:25">
      <c r="A1089" t="s">
        <v>688</v>
      </c>
      <c r="B1089">
        <v>3936.3974527313198</v>
      </c>
      <c r="C1089">
        <v>9.1246270496749204</v>
      </c>
      <c r="D1089" t="s">
        <v>9</v>
      </c>
      <c r="E1089">
        <v>86</v>
      </c>
      <c r="Y1089" t="s">
        <v>546</v>
      </c>
    </row>
    <row r="1090" spans="1:25">
      <c r="A1090" t="s">
        <v>688</v>
      </c>
      <c r="B1090">
        <v>3938.5220797809998</v>
      </c>
      <c r="C1090">
        <v>17</v>
      </c>
      <c r="D1090" t="s">
        <v>27</v>
      </c>
      <c r="E1090">
        <v>50</v>
      </c>
      <c r="U1090" t="s">
        <v>195</v>
      </c>
      <c r="Y1090" t="s">
        <v>546</v>
      </c>
    </row>
    <row r="1091" spans="1:25">
      <c r="A1091" t="s">
        <v>688</v>
      </c>
      <c r="B1091">
        <v>3941.4957992089599</v>
      </c>
      <c r="C1091">
        <v>20</v>
      </c>
      <c r="D1091" t="s">
        <v>651</v>
      </c>
      <c r="E1091">
        <v>22</v>
      </c>
      <c r="I1091" t="s">
        <v>439</v>
      </c>
      <c r="M1091" t="s">
        <v>607</v>
      </c>
      <c r="Y1091" t="s">
        <v>546</v>
      </c>
    </row>
    <row r="1092" spans="1:25">
      <c r="A1092" t="s">
        <v>688</v>
      </c>
      <c r="B1092">
        <v>3942.5220797809998</v>
      </c>
      <c r="C1092">
        <v>17.573871270000801</v>
      </c>
      <c r="D1092" t="s">
        <v>18</v>
      </c>
      <c r="E1092">
        <v>84</v>
      </c>
      <c r="Y1092" t="s">
        <v>546</v>
      </c>
    </row>
    <row r="1093" spans="1:25">
      <c r="A1093" t="s">
        <v>688</v>
      </c>
      <c r="B1093">
        <v>3943.3893774993198</v>
      </c>
      <c r="C1093">
        <v>20</v>
      </c>
      <c r="D1093" t="s">
        <v>33</v>
      </c>
      <c r="E1093">
        <v>21</v>
      </c>
      <c r="Y1093" t="s">
        <v>546</v>
      </c>
    </row>
    <row r="1094" spans="1:25">
      <c r="A1094" t="s">
        <v>688</v>
      </c>
      <c r="B1094">
        <v>3943.3977163966401</v>
      </c>
      <c r="C1094">
        <v>20</v>
      </c>
      <c r="D1094" t="s">
        <v>36</v>
      </c>
      <c r="E1094">
        <v>19</v>
      </c>
      <c r="N1094">
        <v>92</v>
      </c>
      <c r="O1094">
        <v>46</v>
      </c>
      <c r="Q1094" t="s">
        <v>710</v>
      </c>
      <c r="Y1094" t="s">
        <v>546</v>
      </c>
    </row>
    <row r="1095" spans="1:25">
      <c r="A1095" t="s">
        <v>688</v>
      </c>
      <c r="B1095">
        <v>3944.6989846679999</v>
      </c>
      <c r="C1095">
        <v>20</v>
      </c>
      <c r="D1095" t="s">
        <v>764</v>
      </c>
      <c r="E1095">
        <v>9</v>
      </c>
      <c r="H1095" t="s">
        <v>628</v>
      </c>
      <c r="I1095" t="s">
        <v>766</v>
      </c>
      <c r="M1095" t="s">
        <v>610</v>
      </c>
      <c r="Y1095" t="s">
        <v>546</v>
      </c>
    </row>
    <row r="1096" spans="1:25">
      <c r="A1096" t="s">
        <v>688</v>
      </c>
      <c r="B1096">
        <v>3945.7969001716701</v>
      </c>
      <c r="C1096">
        <v>12.600816224966801</v>
      </c>
      <c r="D1096" t="s">
        <v>32</v>
      </c>
      <c r="E1096">
        <v>36</v>
      </c>
      <c r="R1096" t="s">
        <v>20</v>
      </c>
      <c r="Y1096" t="s">
        <v>546</v>
      </c>
    </row>
    <row r="1097" spans="1:25">
      <c r="A1097" t="s">
        <v>688</v>
      </c>
      <c r="B1097">
        <v>3948.3977163966401</v>
      </c>
      <c r="C1097">
        <v>15</v>
      </c>
      <c r="D1097" t="s">
        <v>35</v>
      </c>
      <c r="E1097">
        <v>19</v>
      </c>
      <c r="Y1097" t="s">
        <v>546</v>
      </c>
    </row>
    <row r="1098" spans="1:25">
      <c r="A1098" t="s">
        <v>688</v>
      </c>
      <c r="B1098">
        <v>3950.4979579283399</v>
      </c>
      <c r="C1098">
        <v>20</v>
      </c>
      <c r="D1098" t="s">
        <v>761</v>
      </c>
      <c r="E1098">
        <v>18</v>
      </c>
      <c r="L1098" t="s">
        <v>448</v>
      </c>
      <c r="Y1098" t="s">
        <v>546</v>
      </c>
    </row>
    <row r="1099" spans="1:25">
      <c r="A1099" t="s">
        <v>688</v>
      </c>
      <c r="B1099">
        <v>3960.0959510510002</v>
      </c>
      <c r="C1099">
        <v>13.701085043312499</v>
      </c>
      <c r="D1099" t="s">
        <v>10</v>
      </c>
      <c r="E1099">
        <v>79</v>
      </c>
      <c r="Y1099" t="s">
        <v>546</v>
      </c>
    </row>
    <row r="1100" spans="1:25">
      <c r="A1100" t="s">
        <v>688</v>
      </c>
      <c r="B1100">
        <v>4078.8989039456701</v>
      </c>
      <c r="C1100">
        <v>14.6012107913234</v>
      </c>
      <c r="D1100" t="s">
        <v>196</v>
      </c>
      <c r="E1100">
        <v>4</v>
      </c>
      <c r="W1100" t="s">
        <v>720</v>
      </c>
      <c r="Y1100" t="s">
        <v>546</v>
      </c>
    </row>
    <row r="1101" spans="1:25">
      <c r="A1101" t="s">
        <v>688</v>
      </c>
      <c r="B1101">
        <v>4108.4116719459998</v>
      </c>
      <c r="C1101">
        <v>17</v>
      </c>
      <c r="D1101" t="s">
        <v>11</v>
      </c>
      <c r="E1101">
        <v>44</v>
      </c>
      <c r="T1101" t="s">
        <v>16</v>
      </c>
      <c r="Y1101" t="s">
        <v>546</v>
      </c>
    </row>
    <row r="1102" spans="1:25">
      <c r="A1102" t="s">
        <v>688</v>
      </c>
      <c r="B1102">
        <v>4111.2949464936401</v>
      </c>
      <c r="C1102">
        <v>11.558477632352099</v>
      </c>
      <c r="D1102" t="s">
        <v>427</v>
      </c>
      <c r="E1102">
        <v>22</v>
      </c>
      <c r="P1102" t="s">
        <v>31</v>
      </c>
      <c r="R1102" t="s">
        <v>20</v>
      </c>
      <c r="Y1102" t="s">
        <v>546</v>
      </c>
    </row>
    <row r="1103" spans="1:25">
      <c r="A1103" t="s">
        <v>688</v>
      </c>
      <c r="B1103">
        <v>4112.4116719459998</v>
      </c>
      <c r="C1103">
        <v>10.441752180000501</v>
      </c>
      <c r="D1103" t="s">
        <v>9</v>
      </c>
      <c r="E1103">
        <v>87</v>
      </c>
      <c r="Y1103" t="s">
        <v>546</v>
      </c>
    </row>
    <row r="1104" spans="1:25">
      <c r="A1104" t="s">
        <v>688</v>
      </c>
      <c r="B1104">
        <v>4114.8651993479998</v>
      </c>
      <c r="C1104">
        <v>20</v>
      </c>
      <c r="D1104" t="s">
        <v>649</v>
      </c>
      <c r="E1104">
        <v>59</v>
      </c>
      <c r="M1104" t="s">
        <v>436</v>
      </c>
      <c r="Y1104" t="s">
        <v>546</v>
      </c>
    </row>
    <row r="1105" spans="1:25">
      <c r="A1105" t="s">
        <v>688</v>
      </c>
      <c r="B1105">
        <v>4115.4116719459998</v>
      </c>
      <c r="C1105">
        <v>34.283357517972902</v>
      </c>
      <c r="D1105" t="s">
        <v>19</v>
      </c>
      <c r="E1105">
        <v>79</v>
      </c>
      <c r="Y1105" t="s">
        <v>546</v>
      </c>
    </row>
    <row r="1106" spans="1:25">
      <c r="A1106" t="s">
        <v>688</v>
      </c>
      <c r="B1106">
        <v>4115.8534241260004</v>
      </c>
      <c r="C1106">
        <v>17</v>
      </c>
      <c r="D1106" t="s">
        <v>27</v>
      </c>
      <c r="E1106">
        <v>51</v>
      </c>
      <c r="U1106" t="s">
        <v>195</v>
      </c>
      <c r="Y1106" t="s">
        <v>546</v>
      </c>
    </row>
    <row r="1107" spans="1:25">
      <c r="A1107" t="s">
        <v>688</v>
      </c>
      <c r="B1107">
        <v>4116.797996112</v>
      </c>
      <c r="C1107">
        <v>20</v>
      </c>
      <c r="D1107" t="s">
        <v>651</v>
      </c>
      <c r="E1107">
        <v>23</v>
      </c>
      <c r="I1107" t="s">
        <v>442</v>
      </c>
      <c r="M1107" t="s">
        <v>438</v>
      </c>
      <c r="Y1107" t="s">
        <v>546</v>
      </c>
    </row>
    <row r="1108" spans="1:25">
      <c r="A1108" t="s">
        <v>688</v>
      </c>
      <c r="B1108">
        <v>4119.8534241260004</v>
      </c>
      <c r="C1108">
        <v>15.1405420113269</v>
      </c>
      <c r="D1108" t="s">
        <v>18</v>
      </c>
      <c r="E1108">
        <v>85</v>
      </c>
      <c r="Y1108" t="s">
        <v>546</v>
      </c>
    </row>
    <row r="1109" spans="1:25">
      <c r="A1109" t="s">
        <v>688</v>
      </c>
      <c r="B1109">
        <v>4120.6970259719901</v>
      </c>
      <c r="C1109">
        <v>20</v>
      </c>
      <c r="D1109" t="s">
        <v>653</v>
      </c>
      <c r="E1109">
        <v>21</v>
      </c>
      <c r="I1109" t="s">
        <v>621</v>
      </c>
      <c r="M1109" t="s">
        <v>608</v>
      </c>
      <c r="Y1109" t="s">
        <v>546</v>
      </c>
    </row>
    <row r="1110" spans="1:25">
      <c r="A1110" t="s">
        <v>688</v>
      </c>
      <c r="B1110">
        <v>4121.5966049286599</v>
      </c>
      <c r="C1110">
        <v>13.3973612086674</v>
      </c>
      <c r="D1110" t="s">
        <v>32</v>
      </c>
      <c r="E1110">
        <v>37</v>
      </c>
      <c r="R1110" t="s">
        <v>23</v>
      </c>
      <c r="Y1110" t="s">
        <v>546</v>
      </c>
    </row>
    <row r="1111" spans="1:25">
      <c r="A1111" t="s">
        <v>688</v>
      </c>
      <c r="B1111">
        <v>4127.9939661373201</v>
      </c>
      <c r="C1111">
        <v>17</v>
      </c>
      <c r="D1111" t="s">
        <v>40</v>
      </c>
      <c r="E1111">
        <v>35</v>
      </c>
      <c r="U1111" t="s">
        <v>14</v>
      </c>
      <c r="Y1111" t="s">
        <v>546</v>
      </c>
    </row>
    <row r="1112" spans="1:25">
      <c r="A1112" t="s">
        <v>688</v>
      </c>
      <c r="B1112">
        <v>4131.9939661373201</v>
      </c>
      <c r="C1112">
        <v>12.1022452673341</v>
      </c>
      <c r="D1112" t="s">
        <v>9</v>
      </c>
      <c r="E1112">
        <v>88</v>
      </c>
      <c r="Y1112" t="s">
        <v>546</v>
      </c>
    </row>
    <row r="1113" spans="1:25">
      <c r="A1113" t="s">
        <v>688</v>
      </c>
      <c r="B1113">
        <v>4138.5984664296602</v>
      </c>
      <c r="C1113">
        <v>15</v>
      </c>
      <c r="D1113" t="s">
        <v>328</v>
      </c>
      <c r="E1113">
        <v>2</v>
      </c>
      <c r="Y1113" t="s">
        <v>546</v>
      </c>
    </row>
    <row r="1114" spans="1:25">
      <c r="A1114" t="s">
        <v>688</v>
      </c>
      <c r="B1114">
        <v>4141.0962114046597</v>
      </c>
      <c r="C1114">
        <v>8.5988180593112702</v>
      </c>
      <c r="D1114" t="s">
        <v>18</v>
      </c>
      <c r="E1114">
        <v>86</v>
      </c>
      <c r="Y1114" t="s">
        <v>546</v>
      </c>
    </row>
    <row r="1115" spans="1:25">
      <c r="A1115" t="s">
        <v>688</v>
      </c>
      <c r="B1115">
        <v>4149.6950294639701</v>
      </c>
      <c r="C1115">
        <v>22.201816906028299</v>
      </c>
      <c r="D1115" t="s">
        <v>10</v>
      </c>
      <c r="E1115">
        <v>80</v>
      </c>
      <c r="Y1115" t="s">
        <v>546</v>
      </c>
    </row>
    <row r="1116" spans="1:25">
      <c r="A1116" t="s">
        <v>688</v>
      </c>
      <c r="B1116">
        <v>4162.9962379376602</v>
      </c>
      <c r="C1116">
        <v>20</v>
      </c>
      <c r="D1116" t="s">
        <v>649</v>
      </c>
      <c r="E1116">
        <v>60</v>
      </c>
      <c r="I1116" t="s">
        <v>442</v>
      </c>
      <c r="M1116" t="s">
        <v>757</v>
      </c>
      <c r="Y1116" t="s">
        <v>546</v>
      </c>
    </row>
    <row r="1117" spans="1:25">
      <c r="A1117" t="s">
        <v>688</v>
      </c>
      <c r="B1117">
        <v>4164.8968463700003</v>
      </c>
      <c r="C1117">
        <v>17</v>
      </c>
      <c r="D1117" t="s">
        <v>6</v>
      </c>
      <c r="E1117">
        <v>28</v>
      </c>
      <c r="T1117" t="s">
        <v>24</v>
      </c>
      <c r="Y1117" t="s">
        <v>546</v>
      </c>
    </row>
    <row r="1118" spans="1:25">
      <c r="A1118" t="s">
        <v>688</v>
      </c>
      <c r="B1118">
        <v>4165.3984831463304</v>
      </c>
      <c r="C1118">
        <v>20</v>
      </c>
      <c r="D1118" t="s">
        <v>658</v>
      </c>
      <c r="E1118">
        <v>26</v>
      </c>
      <c r="I1118" t="s">
        <v>447</v>
      </c>
      <c r="M1118" t="s">
        <v>608</v>
      </c>
      <c r="Y1118" t="s">
        <v>546</v>
      </c>
    </row>
    <row r="1119" spans="1:25">
      <c r="A1119" t="s">
        <v>688</v>
      </c>
      <c r="B1119">
        <v>4168.8968463700003</v>
      </c>
      <c r="C1119">
        <v>12.3163142599987</v>
      </c>
      <c r="D1119" t="s">
        <v>18</v>
      </c>
      <c r="E1119">
        <v>87</v>
      </c>
      <c r="Y1119" t="s">
        <v>546</v>
      </c>
    </row>
    <row r="1120" spans="1:25">
      <c r="A1120" t="s">
        <v>688</v>
      </c>
      <c r="B1120">
        <v>4170.0963629949701</v>
      </c>
      <c r="C1120">
        <v>11.1167976350225</v>
      </c>
      <c r="D1120" t="s">
        <v>32</v>
      </c>
      <c r="E1120">
        <v>38</v>
      </c>
      <c r="R1120" t="s">
        <v>23</v>
      </c>
      <c r="Y1120" t="s">
        <v>546</v>
      </c>
    </row>
    <row r="1121" spans="1:25">
      <c r="A1121" t="s">
        <v>688</v>
      </c>
      <c r="B1121">
        <v>4171.8968463700003</v>
      </c>
      <c r="C1121">
        <v>9.3163142599987605</v>
      </c>
      <c r="D1121" t="s">
        <v>19</v>
      </c>
      <c r="E1121">
        <v>80</v>
      </c>
      <c r="Y1121" t="s">
        <v>546</v>
      </c>
    </row>
    <row r="1122" spans="1:25">
      <c r="A1122" t="s">
        <v>688</v>
      </c>
      <c r="B1122">
        <v>4181.2131606299999</v>
      </c>
      <c r="C1122">
        <v>17.118413957000399</v>
      </c>
      <c r="D1122" t="s">
        <v>10</v>
      </c>
      <c r="E1122">
        <v>81</v>
      </c>
      <c r="Y1122" t="s">
        <v>546</v>
      </c>
    </row>
    <row r="1123" spans="1:25">
      <c r="A1123" t="s">
        <v>688</v>
      </c>
      <c r="B1123">
        <v>4191.3315745870004</v>
      </c>
      <c r="C1123">
        <v>17</v>
      </c>
      <c r="D1123" t="s">
        <v>6</v>
      </c>
      <c r="E1123">
        <v>29</v>
      </c>
      <c r="T1123" t="s">
        <v>21</v>
      </c>
      <c r="U1123" t="s">
        <v>28</v>
      </c>
      <c r="Y1123" t="s">
        <v>546</v>
      </c>
    </row>
    <row r="1124" spans="1:25">
      <c r="A1124" t="s">
        <v>688</v>
      </c>
      <c r="B1124">
        <v>4191.7961582303296</v>
      </c>
      <c r="C1124">
        <v>20</v>
      </c>
      <c r="D1124" t="s">
        <v>642</v>
      </c>
      <c r="E1124">
        <v>22</v>
      </c>
      <c r="I1124" t="s">
        <v>442</v>
      </c>
      <c r="M1124" t="s">
        <v>607</v>
      </c>
      <c r="Y1124" t="s">
        <v>546</v>
      </c>
    </row>
    <row r="1125" spans="1:25">
      <c r="A1125" t="s">
        <v>688</v>
      </c>
      <c r="B1125">
        <v>4195.3315745870004</v>
      </c>
      <c r="C1125">
        <v>87.428972645999195</v>
      </c>
      <c r="D1125" t="s">
        <v>18</v>
      </c>
      <c r="E1125">
        <v>88</v>
      </c>
      <c r="Y1125" t="s">
        <v>546</v>
      </c>
    </row>
    <row r="1126" spans="1:25">
      <c r="A1126" t="s">
        <v>688</v>
      </c>
      <c r="B1126">
        <v>4198.3315745870004</v>
      </c>
      <c r="C1126">
        <v>84.428972645999195</v>
      </c>
      <c r="D1126" t="s">
        <v>19</v>
      </c>
      <c r="E1126">
        <v>81</v>
      </c>
      <c r="Y1126" t="s">
        <v>546</v>
      </c>
    </row>
    <row r="1127" spans="1:25">
      <c r="A1127" t="s">
        <v>688</v>
      </c>
      <c r="B1127">
        <v>4198.6975146036402</v>
      </c>
      <c r="C1127">
        <v>20</v>
      </c>
      <c r="D1127" t="s">
        <v>658</v>
      </c>
      <c r="E1127">
        <v>27</v>
      </c>
      <c r="I1127" t="s">
        <v>440</v>
      </c>
      <c r="M1127" t="s">
        <v>607</v>
      </c>
      <c r="Y1127" t="s">
        <v>546</v>
      </c>
    </row>
    <row r="1128" spans="1:25">
      <c r="A1128" t="s">
        <v>688</v>
      </c>
      <c r="B1128">
        <v>4200.7972511016496</v>
      </c>
      <c r="C1128">
        <v>28.699091888979599</v>
      </c>
      <c r="D1128" t="s">
        <v>32</v>
      </c>
      <c r="E1128">
        <v>39</v>
      </c>
      <c r="R1128" t="s">
        <v>20</v>
      </c>
      <c r="Y1128" t="s">
        <v>546</v>
      </c>
    </row>
    <row r="1129" spans="1:25">
      <c r="A1129" t="s">
        <v>688</v>
      </c>
      <c r="B1129">
        <v>4202.0960955636501</v>
      </c>
      <c r="C1129">
        <v>20</v>
      </c>
      <c r="D1129" t="s">
        <v>642</v>
      </c>
      <c r="E1129">
        <v>23</v>
      </c>
      <c r="I1129" t="s">
        <v>447</v>
      </c>
      <c r="M1129" t="s">
        <v>610</v>
      </c>
      <c r="Y1129" t="s">
        <v>546</v>
      </c>
    </row>
    <row r="1130" spans="1:25">
      <c r="A1130" t="s">
        <v>688</v>
      </c>
      <c r="B1130">
        <v>4211.1972807063203</v>
      </c>
      <c r="C1130">
        <v>20</v>
      </c>
      <c r="D1130" t="s">
        <v>33</v>
      </c>
      <c r="E1130">
        <v>22</v>
      </c>
      <c r="Y1130" t="s">
        <v>546</v>
      </c>
    </row>
    <row r="1131" spans="1:25">
      <c r="A1131" t="s">
        <v>688</v>
      </c>
      <c r="B1131">
        <v>4211.59633220864</v>
      </c>
      <c r="C1131">
        <v>20</v>
      </c>
      <c r="D1131" t="s">
        <v>647</v>
      </c>
      <c r="E1131">
        <v>26</v>
      </c>
      <c r="H1131" t="s">
        <v>623</v>
      </c>
      <c r="I1131" t="s">
        <v>621</v>
      </c>
      <c r="M1131" t="s">
        <v>614</v>
      </c>
      <c r="Y1131" t="s">
        <v>546</v>
      </c>
    </row>
    <row r="1132" spans="1:25">
      <c r="A1132" t="s">
        <v>688</v>
      </c>
      <c r="B1132">
        <v>4215.3957220316497</v>
      </c>
      <c r="C1132">
        <v>20</v>
      </c>
      <c r="D1132" t="s">
        <v>34</v>
      </c>
      <c r="E1132">
        <v>11</v>
      </c>
      <c r="R1132" t="s">
        <v>23</v>
      </c>
      <c r="Y1132" t="s">
        <v>546</v>
      </c>
    </row>
    <row r="1133" spans="1:25">
      <c r="A1133" t="s">
        <v>688</v>
      </c>
      <c r="B1133">
        <v>4215.7916350213</v>
      </c>
      <c r="C1133">
        <v>20</v>
      </c>
      <c r="D1133" t="s">
        <v>651</v>
      </c>
      <c r="E1133">
        <v>24</v>
      </c>
      <c r="H1133" t="s">
        <v>580</v>
      </c>
      <c r="I1133" t="s">
        <v>53</v>
      </c>
      <c r="M1133" t="s">
        <v>608</v>
      </c>
      <c r="Y1133" t="s">
        <v>546</v>
      </c>
    </row>
    <row r="1134" spans="1:25">
      <c r="A1134" t="s">
        <v>688</v>
      </c>
      <c r="B1134">
        <v>4223.2899683223104</v>
      </c>
      <c r="C1134">
        <v>20</v>
      </c>
      <c r="D1134" t="s">
        <v>653</v>
      </c>
      <c r="E1134">
        <v>22</v>
      </c>
      <c r="I1134" t="s">
        <v>440</v>
      </c>
      <c r="M1134" t="s">
        <v>438</v>
      </c>
      <c r="Y1134" t="s">
        <v>546</v>
      </c>
    </row>
    <row r="1135" spans="1:25">
      <c r="A1135" t="s">
        <v>688</v>
      </c>
      <c r="B1135">
        <v>4225.7972983970003</v>
      </c>
      <c r="C1135">
        <v>20</v>
      </c>
      <c r="D1135" t="s">
        <v>649</v>
      </c>
      <c r="E1135">
        <v>61</v>
      </c>
      <c r="I1135" t="s">
        <v>442</v>
      </c>
      <c r="M1135" t="s">
        <v>607</v>
      </c>
      <c r="Y1135" t="s">
        <v>546</v>
      </c>
    </row>
    <row r="1136" spans="1:25">
      <c r="A1136" t="s">
        <v>688</v>
      </c>
      <c r="B1136">
        <v>4230.4957155682996</v>
      </c>
      <c r="C1136">
        <v>20</v>
      </c>
      <c r="D1136" t="s">
        <v>658</v>
      </c>
      <c r="E1136">
        <v>28</v>
      </c>
      <c r="I1136" t="s">
        <v>440</v>
      </c>
      <c r="M1136" t="s">
        <v>607</v>
      </c>
      <c r="Y1136" t="s">
        <v>546</v>
      </c>
    </row>
    <row r="1137" spans="1:25">
      <c r="A1137" t="s">
        <v>688</v>
      </c>
      <c r="B1137">
        <v>4233.2974199406499</v>
      </c>
      <c r="C1137">
        <v>20</v>
      </c>
      <c r="D1137" t="s">
        <v>642</v>
      </c>
      <c r="E1137">
        <v>24</v>
      </c>
      <c r="I1137" t="s">
        <v>750</v>
      </c>
      <c r="M1137" t="s">
        <v>748</v>
      </c>
      <c r="Y1137" t="s">
        <v>546</v>
      </c>
    </row>
    <row r="1138" spans="1:25">
      <c r="A1138" t="s">
        <v>688</v>
      </c>
      <c r="B1138">
        <v>4235.6976431482999</v>
      </c>
      <c r="C1138">
        <v>20</v>
      </c>
      <c r="D1138" t="s">
        <v>658</v>
      </c>
      <c r="E1138">
        <v>29</v>
      </c>
      <c r="I1138" t="s">
        <v>447</v>
      </c>
      <c r="M1138" t="s">
        <v>608</v>
      </c>
      <c r="Y1138" t="s">
        <v>546</v>
      </c>
    </row>
    <row r="1139" spans="1:25">
      <c r="A1139" t="s">
        <v>688</v>
      </c>
      <c r="B1139">
        <v>4236.7955699556596</v>
      </c>
      <c r="C1139">
        <v>18.001610801983499</v>
      </c>
      <c r="D1139" t="s">
        <v>32</v>
      </c>
      <c r="E1139">
        <v>40</v>
      </c>
      <c r="R1139" t="s">
        <v>23</v>
      </c>
      <c r="Y1139" t="s">
        <v>546</v>
      </c>
    </row>
    <row r="1140" spans="1:25">
      <c r="A1140" t="s">
        <v>688</v>
      </c>
      <c r="B1140">
        <v>4241.4960119509897</v>
      </c>
      <c r="C1140">
        <v>20</v>
      </c>
      <c r="D1140" t="s">
        <v>645</v>
      </c>
      <c r="E1140">
        <v>45</v>
      </c>
      <c r="I1140" t="s">
        <v>440</v>
      </c>
      <c r="M1140" t="s">
        <v>438</v>
      </c>
      <c r="Y1140" t="s">
        <v>546</v>
      </c>
    </row>
    <row r="1141" spans="1:25">
      <c r="A1141" t="s">
        <v>688</v>
      </c>
      <c r="B1141">
        <v>4245.0954777479801</v>
      </c>
      <c r="C1141">
        <v>20</v>
      </c>
      <c r="D1141" t="s">
        <v>626</v>
      </c>
      <c r="E1141">
        <v>27</v>
      </c>
      <c r="I1141" t="s">
        <v>440</v>
      </c>
      <c r="M1141" t="s">
        <v>438</v>
      </c>
      <c r="Y1141" t="s">
        <v>546</v>
      </c>
    </row>
    <row r="1142" spans="1:25">
      <c r="A1142" t="s">
        <v>688</v>
      </c>
      <c r="B1142">
        <v>4249.4896329579997</v>
      </c>
      <c r="C1142">
        <v>20</v>
      </c>
      <c r="D1142" t="s">
        <v>642</v>
      </c>
      <c r="E1142">
        <v>25</v>
      </c>
      <c r="I1142" t="s">
        <v>439</v>
      </c>
      <c r="M1142" t="s">
        <v>544</v>
      </c>
      <c r="Y1142" t="s">
        <v>546</v>
      </c>
    </row>
    <row r="1143" spans="1:25">
      <c r="A1143" t="s">
        <v>688</v>
      </c>
      <c r="B1143">
        <v>4250.10866811298</v>
      </c>
      <c r="C1143">
        <v>20</v>
      </c>
      <c r="D1143" t="s">
        <v>653</v>
      </c>
      <c r="E1143">
        <v>23</v>
      </c>
      <c r="H1143" t="s">
        <v>445</v>
      </c>
      <c r="I1143" t="s">
        <v>677</v>
      </c>
      <c r="M1143" t="s">
        <v>678</v>
      </c>
      <c r="Y1143" t="s">
        <v>546</v>
      </c>
    </row>
    <row r="1144" spans="1:25">
      <c r="A1144" t="s">
        <v>688</v>
      </c>
      <c r="B1144">
        <v>4252.0953725843201</v>
      </c>
      <c r="C1144">
        <v>30.665174648677699</v>
      </c>
      <c r="D1144" t="s">
        <v>121</v>
      </c>
      <c r="E1144">
        <v>11</v>
      </c>
      <c r="R1144" t="s">
        <v>23</v>
      </c>
      <c r="Y1144" t="s">
        <v>546</v>
      </c>
    </row>
    <row r="1145" spans="1:25">
      <c r="A1145" t="s">
        <v>688</v>
      </c>
      <c r="B1145">
        <v>4254.4927604873101</v>
      </c>
      <c r="C1145">
        <v>20</v>
      </c>
      <c r="D1145" t="s">
        <v>651</v>
      </c>
      <c r="E1145">
        <v>25</v>
      </c>
      <c r="H1145" t="s">
        <v>628</v>
      </c>
      <c r="I1145" t="s">
        <v>440</v>
      </c>
      <c r="M1145" t="s">
        <v>607</v>
      </c>
      <c r="Y1145" t="s">
        <v>546</v>
      </c>
    </row>
    <row r="1146" spans="1:25">
      <c r="A1146" t="s">
        <v>688</v>
      </c>
      <c r="B1146">
        <v>4257.7959492899799</v>
      </c>
      <c r="C1146">
        <v>20</v>
      </c>
      <c r="D1146" t="s">
        <v>649</v>
      </c>
      <c r="E1146">
        <v>62</v>
      </c>
      <c r="H1146" t="s">
        <v>5</v>
      </c>
      <c r="I1146" t="s">
        <v>439</v>
      </c>
      <c r="M1146" t="s">
        <v>629</v>
      </c>
      <c r="Y1146" t="s">
        <v>546</v>
      </c>
    </row>
    <row r="1147" spans="1:25">
      <c r="A1147" t="s">
        <v>688</v>
      </c>
      <c r="B1147">
        <v>4261.5903062583102</v>
      </c>
      <c r="C1147">
        <v>20</v>
      </c>
      <c r="D1147" t="s">
        <v>651</v>
      </c>
      <c r="E1147">
        <v>26</v>
      </c>
      <c r="H1147" t="s">
        <v>628</v>
      </c>
      <c r="M1147" t="s">
        <v>633</v>
      </c>
      <c r="Y1147" t="s">
        <v>546</v>
      </c>
    </row>
    <row r="1148" spans="1:25">
      <c r="A1148" t="s">
        <v>688</v>
      </c>
      <c r="B1148">
        <v>4266.89743286667</v>
      </c>
      <c r="C1148">
        <v>20</v>
      </c>
      <c r="D1148" t="s">
        <v>649</v>
      </c>
      <c r="E1148">
        <v>63</v>
      </c>
      <c r="J1148" t="s">
        <v>47</v>
      </c>
      <c r="K1148" t="s">
        <v>444</v>
      </c>
      <c r="M1148" t="s">
        <v>620</v>
      </c>
      <c r="Y1148" t="s">
        <v>546</v>
      </c>
    </row>
    <row r="1149" spans="1:25">
      <c r="A1149" t="s">
        <v>688</v>
      </c>
      <c r="B1149">
        <v>4282.7605472329997</v>
      </c>
      <c r="C1149">
        <v>66.945655268000294</v>
      </c>
      <c r="D1149" t="s">
        <v>10</v>
      </c>
      <c r="E1149">
        <v>82</v>
      </c>
      <c r="Y1149" t="s">
        <v>546</v>
      </c>
    </row>
    <row r="1150" spans="1:25">
      <c r="A1150" t="s">
        <v>688</v>
      </c>
      <c r="B1150">
        <v>4342.706202501</v>
      </c>
      <c r="C1150">
        <v>17</v>
      </c>
      <c r="D1150" t="s">
        <v>11</v>
      </c>
      <c r="E1150">
        <v>45</v>
      </c>
      <c r="T1150" t="s">
        <v>12</v>
      </c>
      <c r="U1150" t="s">
        <v>28</v>
      </c>
      <c r="Y1150" t="s">
        <v>546</v>
      </c>
    </row>
    <row r="1151" spans="1:25">
      <c r="A1151" t="s">
        <v>688</v>
      </c>
      <c r="B1151">
        <v>4342.8959264360101</v>
      </c>
      <c r="C1151">
        <v>20</v>
      </c>
      <c r="D1151" t="s">
        <v>46</v>
      </c>
      <c r="E1151">
        <v>2</v>
      </c>
      <c r="R1151" t="s">
        <v>20</v>
      </c>
      <c r="Y1151" t="s">
        <v>546</v>
      </c>
    </row>
    <row r="1152" spans="1:25">
      <c r="A1152" t="s">
        <v>688</v>
      </c>
      <c r="B1152">
        <v>4345.59547352133</v>
      </c>
      <c r="C1152">
        <v>20</v>
      </c>
      <c r="D1152" t="s">
        <v>136</v>
      </c>
      <c r="E1152">
        <v>4</v>
      </c>
      <c r="Y1152" t="s">
        <v>546</v>
      </c>
    </row>
    <row r="1153" spans="1:25">
      <c r="A1153" t="s">
        <v>688</v>
      </c>
      <c r="B1153">
        <v>4346.706202501</v>
      </c>
      <c r="C1153">
        <v>22.091181683665098</v>
      </c>
      <c r="D1153" t="s">
        <v>9</v>
      </c>
      <c r="E1153">
        <v>89</v>
      </c>
      <c r="Y1153" t="s">
        <v>546</v>
      </c>
    </row>
    <row r="1154" spans="1:25">
      <c r="A1154" t="s">
        <v>688</v>
      </c>
      <c r="B1154">
        <v>4349.706202501</v>
      </c>
      <c r="C1154">
        <v>46.206317860999597</v>
      </c>
      <c r="D1154" t="s">
        <v>19</v>
      </c>
      <c r="E1154">
        <v>82</v>
      </c>
      <c r="Y1154" t="s">
        <v>546</v>
      </c>
    </row>
    <row r="1155" spans="1:25">
      <c r="A1155" t="s">
        <v>688</v>
      </c>
      <c r="B1155">
        <v>4349.9959350013296</v>
      </c>
      <c r="C1155">
        <v>20</v>
      </c>
      <c r="D1155" t="s">
        <v>136</v>
      </c>
      <c r="E1155">
        <v>5</v>
      </c>
      <c r="Y1155" t="s">
        <v>546</v>
      </c>
    </row>
    <row r="1156" spans="1:25">
      <c r="A1156" t="s">
        <v>688</v>
      </c>
      <c r="B1156">
        <v>4351.1752471150003</v>
      </c>
      <c r="C1156">
        <v>20</v>
      </c>
      <c r="D1156" t="s">
        <v>645</v>
      </c>
      <c r="E1156">
        <v>46</v>
      </c>
      <c r="K1156" t="s">
        <v>432</v>
      </c>
      <c r="M1156" t="s">
        <v>617</v>
      </c>
      <c r="Y1156" t="s">
        <v>546</v>
      </c>
    </row>
    <row r="1157" spans="1:25">
      <c r="A1157" t="s">
        <v>688</v>
      </c>
      <c r="B1157">
        <v>4353.6940936786496</v>
      </c>
      <c r="C1157">
        <v>20</v>
      </c>
      <c r="D1157" t="s">
        <v>46</v>
      </c>
      <c r="E1157">
        <v>3</v>
      </c>
      <c r="R1157" t="s">
        <v>23</v>
      </c>
      <c r="Y1157" t="s">
        <v>546</v>
      </c>
    </row>
    <row r="1158" spans="1:25">
      <c r="A1158" t="s">
        <v>688</v>
      </c>
      <c r="B1158">
        <v>4355.1807182029997</v>
      </c>
      <c r="C1158">
        <v>20</v>
      </c>
      <c r="D1158" t="s">
        <v>653</v>
      </c>
      <c r="E1158">
        <v>24</v>
      </c>
      <c r="I1158" t="s">
        <v>440</v>
      </c>
      <c r="M1158" t="s">
        <v>438</v>
      </c>
      <c r="Y1158" t="s">
        <v>546</v>
      </c>
    </row>
    <row r="1159" spans="1:25">
      <c r="A1159" t="s">
        <v>688</v>
      </c>
      <c r="B1159">
        <v>4356.69534159265</v>
      </c>
      <c r="C1159">
        <v>20</v>
      </c>
      <c r="D1159" t="s">
        <v>642</v>
      </c>
      <c r="E1159">
        <v>26</v>
      </c>
      <c r="I1159" t="s">
        <v>439</v>
      </c>
      <c r="M1159" t="s">
        <v>607</v>
      </c>
      <c r="Y1159" t="s">
        <v>546</v>
      </c>
    </row>
    <row r="1160" spans="1:25">
      <c r="A1160" t="s">
        <v>688</v>
      </c>
      <c r="B1160">
        <v>4360.8738430940002</v>
      </c>
      <c r="C1160">
        <v>20</v>
      </c>
      <c r="D1160" t="s">
        <v>647</v>
      </c>
      <c r="E1160">
        <v>27</v>
      </c>
      <c r="I1160" t="s">
        <v>440</v>
      </c>
      <c r="M1160" t="s">
        <v>607</v>
      </c>
      <c r="Y1160" t="s">
        <v>546</v>
      </c>
    </row>
    <row r="1161" spans="1:25">
      <c r="A1161" t="s">
        <v>688</v>
      </c>
      <c r="B1161">
        <v>4361.7973841846597</v>
      </c>
      <c r="C1161">
        <v>17</v>
      </c>
      <c r="D1161" t="s">
        <v>27</v>
      </c>
      <c r="E1161">
        <v>52</v>
      </c>
      <c r="U1161" t="s">
        <v>28</v>
      </c>
      <c r="Y1161" t="s">
        <v>546</v>
      </c>
    </row>
    <row r="1162" spans="1:25">
      <c r="A1162" t="s">
        <v>688</v>
      </c>
      <c r="B1162">
        <v>4365.7973841846597</v>
      </c>
      <c r="C1162">
        <v>30.115136177334499</v>
      </c>
      <c r="D1162" t="s">
        <v>18</v>
      </c>
      <c r="E1162">
        <v>89</v>
      </c>
      <c r="Y1162" t="s">
        <v>546</v>
      </c>
    </row>
    <row r="1163" spans="1:25">
      <c r="A1163" t="s">
        <v>688</v>
      </c>
      <c r="B1163">
        <v>4366.7659196353097</v>
      </c>
      <c r="C1163">
        <v>20</v>
      </c>
      <c r="D1163" t="s">
        <v>645</v>
      </c>
      <c r="E1163">
        <v>47</v>
      </c>
      <c r="I1163" t="s">
        <v>440</v>
      </c>
      <c r="M1163" t="s">
        <v>607</v>
      </c>
      <c r="Y1163" t="s">
        <v>546</v>
      </c>
    </row>
    <row r="1164" spans="1:25">
      <c r="A1164" t="s">
        <v>688</v>
      </c>
      <c r="B1164">
        <v>4370.4973045309698</v>
      </c>
      <c r="C1164">
        <v>20</v>
      </c>
      <c r="D1164" t="s">
        <v>642</v>
      </c>
      <c r="E1164">
        <v>27</v>
      </c>
      <c r="I1164" t="s">
        <v>439</v>
      </c>
      <c r="M1164" t="s">
        <v>678</v>
      </c>
      <c r="Y1164" t="s">
        <v>546</v>
      </c>
    </row>
    <row r="1165" spans="1:25">
      <c r="A1165" t="s">
        <v>688</v>
      </c>
      <c r="B1165">
        <v>4372.5972501153101</v>
      </c>
      <c r="C1165">
        <v>20</v>
      </c>
      <c r="D1165" t="s">
        <v>645</v>
      </c>
      <c r="E1165">
        <v>48</v>
      </c>
      <c r="H1165" t="s">
        <v>445</v>
      </c>
      <c r="I1165" t="s">
        <v>439</v>
      </c>
      <c r="M1165" t="s">
        <v>678</v>
      </c>
      <c r="Y1165" t="s">
        <v>546</v>
      </c>
    </row>
    <row r="1166" spans="1:25">
      <c r="A1166" t="s">
        <v>688</v>
      </c>
      <c r="B1166">
        <v>4375.2987589903096</v>
      </c>
      <c r="C1166">
        <v>20.3740318162927</v>
      </c>
      <c r="D1166" t="s">
        <v>121</v>
      </c>
      <c r="E1166">
        <v>12</v>
      </c>
      <c r="P1166" t="s">
        <v>29</v>
      </c>
      <c r="R1166" t="s">
        <v>20</v>
      </c>
      <c r="Y1166" t="s">
        <v>546</v>
      </c>
    </row>
    <row r="1167" spans="1:25">
      <c r="A1167" t="s">
        <v>688</v>
      </c>
      <c r="B1167">
        <v>4375.7926650310001</v>
      </c>
      <c r="C1167">
        <v>20</v>
      </c>
      <c r="D1167" t="s">
        <v>651</v>
      </c>
      <c r="E1167">
        <v>27</v>
      </c>
      <c r="H1167" t="s">
        <v>628</v>
      </c>
      <c r="I1167" t="s">
        <v>543</v>
      </c>
      <c r="M1167" t="s">
        <v>607</v>
      </c>
      <c r="Y1167" t="s">
        <v>546</v>
      </c>
    </row>
    <row r="1168" spans="1:25">
      <c r="A1168" t="s">
        <v>688</v>
      </c>
      <c r="B1168">
        <v>4379.39535592434</v>
      </c>
      <c r="C1168">
        <v>20</v>
      </c>
      <c r="D1168" t="s">
        <v>33</v>
      </c>
      <c r="E1168">
        <v>23</v>
      </c>
      <c r="Y1168" t="s">
        <v>546</v>
      </c>
    </row>
    <row r="1169" spans="1:25">
      <c r="A1169" t="s">
        <v>688</v>
      </c>
      <c r="B1169">
        <v>4381.2841554349998</v>
      </c>
      <c r="C1169">
        <v>20</v>
      </c>
      <c r="D1169" t="s">
        <v>135</v>
      </c>
      <c r="E1169">
        <v>18</v>
      </c>
      <c r="Y1169" t="s">
        <v>546</v>
      </c>
    </row>
    <row r="1170" spans="1:25">
      <c r="A1170" t="s">
        <v>688</v>
      </c>
      <c r="B1170">
        <v>4381.3751095030002</v>
      </c>
      <c r="C1170">
        <v>20</v>
      </c>
      <c r="D1170" t="s">
        <v>647</v>
      </c>
      <c r="E1170">
        <v>28</v>
      </c>
      <c r="H1170" t="s">
        <v>461</v>
      </c>
      <c r="I1170" t="s">
        <v>53</v>
      </c>
      <c r="M1170" t="s">
        <v>610</v>
      </c>
      <c r="Y1170" t="s">
        <v>546</v>
      </c>
    </row>
    <row r="1171" spans="1:25">
      <c r="A1171" t="s">
        <v>688</v>
      </c>
      <c r="B1171">
        <v>4381.7381666666597</v>
      </c>
      <c r="C1171">
        <v>14.1743536953326</v>
      </c>
      <c r="D1171" t="s">
        <v>32</v>
      </c>
      <c r="E1171">
        <v>41</v>
      </c>
      <c r="R1171" t="s">
        <v>20</v>
      </c>
      <c r="Y1171" t="s">
        <v>546</v>
      </c>
    </row>
    <row r="1172" spans="1:25">
      <c r="A1172" t="s">
        <v>688</v>
      </c>
      <c r="B1172">
        <v>4382.3915061059797</v>
      </c>
      <c r="C1172">
        <v>20</v>
      </c>
      <c r="D1172" t="s">
        <v>34</v>
      </c>
      <c r="E1172">
        <v>12</v>
      </c>
      <c r="R1172" t="s">
        <v>20</v>
      </c>
      <c r="Y1172" t="s">
        <v>546</v>
      </c>
    </row>
    <row r="1173" spans="1:25">
      <c r="A1173" t="s">
        <v>688</v>
      </c>
      <c r="B1173">
        <v>4395.9125203619997</v>
      </c>
      <c r="C1173">
        <v>38.582634322990998</v>
      </c>
      <c r="D1173" t="s">
        <v>10</v>
      </c>
      <c r="E1173">
        <v>83</v>
      </c>
      <c r="Y1173" t="s">
        <v>546</v>
      </c>
    </row>
    <row r="1174" spans="1:25">
      <c r="A1174" t="s">
        <v>688</v>
      </c>
      <c r="B1174">
        <v>4427.4951546849898</v>
      </c>
      <c r="C1174">
        <v>17</v>
      </c>
      <c r="D1174" t="s">
        <v>11</v>
      </c>
      <c r="E1174">
        <v>46</v>
      </c>
      <c r="T1174" t="s">
        <v>16</v>
      </c>
      <c r="Y1174" t="s">
        <v>546</v>
      </c>
    </row>
    <row r="1175" spans="1:25">
      <c r="A1175" t="s">
        <v>688</v>
      </c>
      <c r="B1175">
        <v>4428.3967495496399</v>
      </c>
      <c r="C1175">
        <v>20</v>
      </c>
      <c r="D1175" t="s">
        <v>658</v>
      </c>
      <c r="E1175">
        <v>30</v>
      </c>
      <c r="J1175" t="s">
        <v>47</v>
      </c>
      <c r="Y1175" t="s">
        <v>546</v>
      </c>
    </row>
    <row r="1176" spans="1:25">
      <c r="A1176" t="s">
        <v>688</v>
      </c>
      <c r="B1176">
        <v>4431.4951546849898</v>
      </c>
      <c r="C1176">
        <v>7.7002430096727004</v>
      </c>
      <c r="D1176" t="s">
        <v>9</v>
      </c>
      <c r="E1176">
        <v>90</v>
      </c>
      <c r="Y1176" t="s">
        <v>546</v>
      </c>
    </row>
    <row r="1177" spans="1:25">
      <c r="A1177" t="s">
        <v>688</v>
      </c>
      <c r="B1177">
        <v>4434.4951546849898</v>
      </c>
      <c r="C1177">
        <v>4.7002430096727004</v>
      </c>
      <c r="D1177" t="s">
        <v>19</v>
      </c>
      <c r="E1177">
        <v>83</v>
      </c>
      <c r="Y1177" t="s">
        <v>546</v>
      </c>
    </row>
    <row r="1178" spans="1:25">
      <c r="A1178" t="s">
        <v>688</v>
      </c>
      <c r="B1178">
        <v>4437.1854437430002</v>
      </c>
      <c r="C1178">
        <v>17</v>
      </c>
      <c r="D1178" t="s">
        <v>11</v>
      </c>
      <c r="E1178">
        <v>47</v>
      </c>
      <c r="T1178" t="s">
        <v>12</v>
      </c>
      <c r="Y1178" t="s">
        <v>546</v>
      </c>
    </row>
    <row r="1179" spans="1:25">
      <c r="A1179" t="s">
        <v>688</v>
      </c>
      <c r="B1179">
        <v>4437.2963082650003</v>
      </c>
      <c r="C1179">
        <v>20</v>
      </c>
      <c r="D1179" t="s">
        <v>626</v>
      </c>
      <c r="E1179">
        <v>28</v>
      </c>
      <c r="J1179" t="s">
        <v>47</v>
      </c>
      <c r="K1179" t="s">
        <v>441</v>
      </c>
      <c r="M1179" t="s">
        <v>620</v>
      </c>
      <c r="Y1179" t="s">
        <v>546</v>
      </c>
    </row>
    <row r="1180" spans="1:25">
      <c r="A1180" t="s">
        <v>688</v>
      </c>
      <c r="B1180">
        <v>4439.1953976946597</v>
      </c>
      <c r="C1180">
        <v>4.9900460483367999</v>
      </c>
      <c r="D1180" t="s">
        <v>10</v>
      </c>
      <c r="E1180">
        <v>84</v>
      </c>
      <c r="Y1180" t="s">
        <v>546</v>
      </c>
    </row>
    <row r="1181" spans="1:25">
      <c r="A1181" t="s">
        <v>688</v>
      </c>
      <c r="B1181">
        <v>4441.1854437430002</v>
      </c>
      <c r="C1181">
        <v>7.4561600509996397</v>
      </c>
      <c r="D1181" t="s">
        <v>9</v>
      </c>
      <c r="E1181">
        <v>91</v>
      </c>
      <c r="Y1181" t="s">
        <v>546</v>
      </c>
    </row>
    <row r="1182" spans="1:25">
      <c r="A1182" t="s">
        <v>688</v>
      </c>
      <c r="B1182">
        <v>4444.1854437430002</v>
      </c>
      <c r="C1182">
        <v>4.4561600509996397</v>
      </c>
      <c r="D1182" t="s">
        <v>19</v>
      </c>
      <c r="E1182">
        <v>84</v>
      </c>
      <c r="Y1182" t="s">
        <v>546</v>
      </c>
    </row>
    <row r="1183" spans="1:25">
      <c r="A1183" t="s">
        <v>688</v>
      </c>
      <c r="B1183">
        <v>4448.6416037939998</v>
      </c>
      <c r="C1183">
        <v>26.4038636490004</v>
      </c>
      <c r="D1183" t="s">
        <v>10</v>
      </c>
      <c r="E1183">
        <v>85</v>
      </c>
      <c r="Y1183" t="s">
        <v>546</v>
      </c>
    </row>
    <row r="1184" spans="1:25">
      <c r="A1184" t="s">
        <v>688</v>
      </c>
      <c r="B1184">
        <v>4467.5112335539998</v>
      </c>
      <c r="C1184">
        <v>20</v>
      </c>
      <c r="D1184" t="s">
        <v>647</v>
      </c>
      <c r="E1184">
        <v>29</v>
      </c>
      <c r="J1184" t="s">
        <v>47</v>
      </c>
      <c r="K1184" t="s">
        <v>48</v>
      </c>
      <c r="M1184" t="s">
        <v>620</v>
      </c>
      <c r="Y1184" t="s">
        <v>546</v>
      </c>
    </row>
    <row r="1185" spans="1:25">
      <c r="A1185" t="s">
        <v>688</v>
      </c>
      <c r="B1185">
        <v>4468.0454674430002</v>
      </c>
      <c r="C1185">
        <v>17</v>
      </c>
      <c r="D1185" t="s">
        <v>11</v>
      </c>
      <c r="E1185">
        <v>48</v>
      </c>
      <c r="T1185" t="s">
        <v>15</v>
      </c>
      <c r="Y1185" t="s">
        <v>546</v>
      </c>
    </row>
    <row r="1186" spans="1:25">
      <c r="A1186" t="s">
        <v>688</v>
      </c>
      <c r="B1186">
        <v>4470.9550809740003</v>
      </c>
      <c r="C1186">
        <v>20</v>
      </c>
      <c r="D1186" t="s">
        <v>645</v>
      </c>
      <c r="E1186">
        <v>49</v>
      </c>
      <c r="I1186" t="s">
        <v>439</v>
      </c>
      <c r="K1186" t="s">
        <v>48</v>
      </c>
      <c r="M1186" t="s">
        <v>760</v>
      </c>
      <c r="Y1186" t="s">
        <v>546</v>
      </c>
    </row>
    <row r="1187" spans="1:25">
      <c r="A1187" t="s">
        <v>688</v>
      </c>
      <c r="B1187">
        <v>4472.0454674430002</v>
      </c>
      <c r="C1187">
        <v>10.5671797909999</v>
      </c>
      <c r="D1187" t="s">
        <v>9</v>
      </c>
      <c r="E1187">
        <v>92</v>
      </c>
      <c r="Y1187" t="s">
        <v>546</v>
      </c>
    </row>
    <row r="1188" spans="1:25">
      <c r="A1188" t="s">
        <v>688</v>
      </c>
      <c r="B1188">
        <v>4472.0958410186604</v>
      </c>
      <c r="C1188">
        <v>20</v>
      </c>
      <c r="D1188" t="s">
        <v>761</v>
      </c>
      <c r="E1188">
        <v>19</v>
      </c>
      <c r="I1188" t="s">
        <v>442</v>
      </c>
      <c r="M1188" t="s">
        <v>607</v>
      </c>
      <c r="Y1188" t="s">
        <v>546</v>
      </c>
    </row>
    <row r="1189" spans="1:25">
      <c r="A1189" t="s">
        <v>688</v>
      </c>
      <c r="B1189">
        <v>4475.0454674430002</v>
      </c>
      <c r="C1189">
        <v>35.802787192999801</v>
      </c>
      <c r="D1189" t="s">
        <v>19</v>
      </c>
      <c r="E1189">
        <v>85</v>
      </c>
      <c r="Y1189" t="s">
        <v>546</v>
      </c>
    </row>
    <row r="1190" spans="1:25">
      <c r="A1190" t="s">
        <v>688</v>
      </c>
      <c r="B1190">
        <v>4475.6126472340002</v>
      </c>
      <c r="C1190">
        <v>17</v>
      </c>
      <c r="D1190" t="s">
        <v>27</v>
      </c>
      <c r="E1190">
        <v>53</v>
      </c>
      <c r="U1190" t="s">
        <v>190</v>
      </c>
      <c r="Y1190" t="s">
        <v>546</v>
      </c>
    </row>
    <row r="1191" spans="1:25">
      <c r="A1191" t="s">
        <v>688</v>
      </c>
      <c r="B1191">
        <v>4477.958535318</v>
      </c>
      <c r="C1191">
        <v>20</v>
      </c>
      <c r="D1191" t="s">
        <v>653</v>
      </c>
      <c r="E1191">
        <v>25</v>
      </c>
      <c r="H1191" t="s">
        <v>623</v>
      </c>
      <c r="I1191" t="s">
        <v>439</v>
      </c>
      <c r="M1191" t="s">
        <v>629</v>
      </c>
      <c r="Y1191" t="s">
        <v>546</v>
      </c>
    </row>
    <row r="1192" spans="1:25">
      <c r="A1192" t="s">
        <v>688</v>
      </c>
      <c r="B1192">
        <v>4479.6126472340002</v>
      </c>
      <c r="C1192">
        <v>18.783649021635899</v>
      </c>
      <c r="D1192" t="s">
        <v>18</v>
      </c>
      <c r="E1192">
        <v>90</v>
      </c>
      <c r="Y1192" t="s">
        <v>546</v>
      </c>
    </row>
    <row r="1193" spans="1:25">
      <c r="A1193" t="s">
        <v>688</v>
      </c>
      <c r="B1193">
        <v>4481.2960738413003</v>
      </c>
      <c r="C1193">
        <v>20</v>
      </c>
      <c r="D1193" t="s">
        <v>654</v>
      </c>
      <c r="E1193">
        <v>22</v>
      </c>
      <c r="H1193" t="s">
        <v>623</v>
      </c>
      <c r="M1193" t="s">
        <v>676</v>
      </c>
      <c r="Y1193" t="s">
        <v>546</v>
      </c>
    </row>
    <row r="1194" spans="1:25">
      <c r="A1194" t="s">
        <v>688</v>
      </c>
      <c r="B1194">
        <v>4481.4959002366604</v>
      </c>
      <c r="C1194">
        <v>20</v>
      </c>
      <c r="D1194" t="s">
        <v>33</v>
      </c>
      <c r="E1194">
        <v>24</v>
      </c>
      <c r="Y1194" t="s">
        <v>546</v>
      </c>
    </row>
    <row r="1195" spans="1:25">
      <c r="A1195" t="s">
        <v>688</v>
      </c>
      <c r="B1195">
        <v>4491.3962962556297</v>
      </c>
      <c r="C1195">
        <v>17</v>
      </c>
      <c r="D1195" t="s">
        <v>40</v>
      </c>
      <c r="E1195">
        <v>36</v>
      </c>
      <c r="U1195" t="s">
        <v>191</v>
      </c>
      <c r="Y1195" t="s">
        <v>546</v>
      </c>
    </row>
    <row r="1196" spans="1:25">
      <c r="A1196" t="s">
        <v>688</v>
      </c>
      <c r="B1196">
        <v>4495.3962962556297</v>
      </c>
      <c r="C1196">
        <v>15.4519583803639</v>
      </c>
      <c r="D1196" t="s">
        <v>9</v>
      </c>
      <c r="E1196">
        <v>93</v>
      </c>
      <c r="Y1196" t="s">
        <v>546</v>
      </c>
    </row>
    <row r="1197" spans="1:25">
      <c r="A1197" t="s">
        <v>688</v>
      </c>
      <c r="B1197">
        <v>4495.6919892743199</v>
      </c>
      <c r="C1197">
        <v>20</v>
      </c>
      <c r="D1197" t="s">
        <v>41</v>
      </c>
      <c r="E1197">
        <v>8</v>
      </c>
      <c r="Y1197" t="s">
        <v>546</v>
      </c>
    </row>
    <row r="1198" spans="1:25">
      <c r="A1198" t="s">
        <v>688</v>
      </c>
      <c r="B1198">
        <v>4499.7956201973102</v>
      </c>
      <c r="C1198">
        <v>20</v>
      </c>
      <c r="D1198" t="s">
        <v>651</v>
      </c>
      <c r="E1198">
        <v>28</v>
      </c>
      <c r="K1198" t="s">
        <v>441</v>
      </c>
      <c r="M1198" t="s">
        <v>620</v>
      </c>
      <c r="Y1198" t="s">
        <v>546</v>
      </c>
    </row>
    <row r="1199" spans="1:25">
      <c r="A1199" t="s">
        <v>688</v>
      </c>
      <c r="B1199">
        <v>4510.8482546360001</v>
      </c>
      <c r="C1199">
        <v>14.9483676416639</v>
      </c>
      <c r="D1199" t="s">
        <v>10</v>
      </c>
      <c r="E1199">
        <v>86</v>
      </c>
      <c r="Y1199" t="s">
        <v>546</v>
      </c>
    </row>
    <row r="1200" spans="1:25">
      <c r="A1200" t="s">
        <v>688</v>
      </c>
      <c r="B1200">
        <v>4518.7966222776604</v>
      </c>
      <c r="C1200">
        <v>17</v>
      </c>
      <c r="D1200" t="s">
        <v>6</v>
      </c>
      <c r="E1200">
        <v>30</v>
      </c>
      <c r="T1200" t="s">
        <v>21</v>
      </c>
      <c r="U1200" t="s">
        <v>28</v>
      </c>
      <c r="Y1200" t="s">
        <v>546</v>
      </c>
    </row>
    <row r="1201" spans="1:25">
      <c r="A1201" t="s">
        <v>688</v>
      </c>
      <c r="B1201">
        <v>4521.7412616900001</v>
      </c>
      <c r="C1201">
        <v>20</v>
      </c>
      <c r="D1201" t="s">
        <v>649</v>
      </c>
      <c r="E1201">
        <v>64</v>
      </c>
      <c r="I1201" t="s">
        <v>439</v>
      </c>
      <c r="M1201" t="s">
        <v>608</v>
      </c>
      <c r="Y1201" t="s">
        <v>546</v>
      </c>
    </row>
    <row r="1202" spans="1:25">
      <c r="A1202" t="s">
        <v>688</v>
      </c>
      <c r="B1202">
        <v>4522.7966222776604</v>
      </c>
      <c r="C1202">
        <v>11.1995297473104</v>
      </c>
      <c r="D1202" t="s">
        <v>18</v>
      </c>
      <c r="E1202">
        <v>91</v>
      </c>
      <c r="Y1202" t="s">
        <v>546</v>
      </c>
    </row>
    <row r="1203" spans="1:25">
      <c r="A1203" t="s">
        <v>688</v>
      </c>
      <c r="B1203">
        <v>4525.7966222776604</v>
      </c>
      <c r="C1203">
        <v>8.1995297473104003</v>
      </c>
      <c r="D1203" t="s">
        <v>19</v>
      </c>
      <c r="E1203">
        <v>86</v>
      </c>
      <c r="Y1203" t="s">
        <v>546</v>
      </c>
    </row>
    <row r="1204" spans="1:25">
      <c r="A1204" t="s">
        <v>688</v>
      </c>
      <c r="B1204">
        <v>4533.9961520249699</v>
      </c>
      <c r="C1204">
        <v>31.5999864266877</v>
      </c>
      <c r="D1204" t="s">
        <v>10</v>
      </c>
      <c r="E1204">
        <v>87</v>
      </c>
      <c r="Y1204" t="s">
        <v>546</v>
      </c>
    </row>
    <row r="1205" spans="1:25">
      <c r="A1205" t="s">
        <v>688</v>
      </c>
      <c r="B1205">
        <v>4558.0983828193102</v>
      </c>
      <c r="C1205">
        <v>20</v>
      </c>
      <c r="D1205" t="s">
        <v>651</v>
      </c>
      <c r="E1205">
        <v>29</v>
      </c>
      <c r="I1205" t="s">
        <v>439</v>
      </c>
      <c r="M1205" t="s">
        <v>438</v>
      </c>
      <c r="Y1205" t="s">
        <v>546</v>
      </c>
    </row>
    <row r="1206" spans="1:25">
      <c r="A1206" t="s">
        <v>688</v>
      </c>
      <c r="B1206">
        <v>4558.2403379460002</v>
      </c>
      <c r="C1206">
        <v>20</v>
      </c>
      <c r="D1206" t="s">
        <v>658</v>
      </c>
      <c r="E1206">
        <v>31</v>
      </c>
      <c r="J1206" t="s">
        <v>49</v>
      </c>
      <c r="Y1206" t="s">
        <v>546</v>
      </c>
    </row>
    <row r="1207" spans="1:25">
      <c r="A1207" t="s">
        <v>688</v>
      </c>
      <c r="B1207">
        <v>4558.5961384516604</v>
      </c>
      <c r="C1207">
        <v>17</v>
      </c>
      <c r="D1207" t="s">
        <v>11</v>
      </c>
      <c r="E1207">
        <v>49</v>
      </c>
      <c r="T1207" t="s">
        <v>12</v>
      </c>
      <c r="Y1207" t="s">
        <v>546</v>
      </c>
    </row>
    <row r="1208" spans="1:25">
      <c r="A1208" t="s">
        <v>688</v>
      </c>
      <c r="B1208">
        <v>4560.5948851923104</v>
      </c>
      <c r="C1208">
        <v>20</v>
      </c>
      <c r="D1208" t="s">
        <v>653</v>
      </c>
      <c r="E1208">
        <v>26</v>
      </c>
      <c r="I1208" t="s">
        <v>439</v>
      </c>
      <c r="M1208" t="s">
        <v>608</v>
      </c>
      <c r="Y1208" t="s">
        <v>546</v>
      </c>
    </row>
    <row r="1209" spans="1:25">
      <c r="A1209" t="s">
        <v>688</v>
      </c>
      <c r="B1209">
        <v>4561.5690624999997</v>
      </c>
      <c r="C1209">
        <v>20</v>
      </c>
      <c r="D1209" t="s">
        <v>651</v>
      </c>
      <c r="E1209">
        <v>30</v>
      </c>
      <c r="I1209" t="s">
        <v>439</v>
      </c>
      <c r="M1209" t="s">
        <v>443</v>
      </c>
      <c r="Y1209" t="s">
        <v>546</v>
      </c>
    </row>
    <row r="1210" spans="1:25">
      <c r="A1210" t="s">
        <v>688</v>
      </c>
      <c r="B1210">
        <v>4562.5961384516604</v>
      </c>
      <c r="C1210">
        <v>7.0653820943380197</v>
      </c>
      <c r="D1210" t="s">
        <v>9</v>
      </c>
      <c r="E1210">
        <v>94</v>
      </c>
      <c r="Y1210" t="s">
        <v>546</v>
      </c>
    </row>
    <row r="1211" spans="1:25">
      <c r="A1211" t="s">
        <v>688</v>
      </c>
      <c r="B1211">
        <v>4562.6615205460002</v>
      </c>
      <c r="C1211">
        <v>17</v>
      </c>
      <c r="D1211" t="s">
        <v>27</v>
      </c>
      <c r="E1211">
        <v>54</v>
      </c>
      <c r="U1211" t="s">
        <v>28</v>
      </c>
      <c r="Y1211" t="s">
        <v>546</v>
      </c>
    </row>
    <row r="1212" spans="1:25">
      <c r="A1212" t="s">
        <v>688</v>
      </c>
      <c r="B1212">
        <v>4565.3859824179999</v>
      </c>
      <c r="C1212">
        <v>20</v>
      </c>
      <c r="D1212" t="s">
        <v>653</v>
      </c>
      <c r="E1212">
        <v>27</v>
      </c>
      <c r="J1212" t="s">
        <v>611</v>
      </c>
      <c r="M1212" t="s">
        <v>725</v>
      </c>
      <c r="Y1212" t="s">
        <v>546</v>
      </c>
    </row>
    <row r="1213" spans="1:25">
      <c r="A1213" t="s">
        <v>688</v>
      </c>
      <c r="B1213">
        <v>4565.5961384516604</v>
      </c>
      <c r="C1213">
        <v>35.800021763009603</v>
      </c>
      <c r="D1213" t="s">
        <v>19</v>
      </c>
      <c r="E1213">
        <v>87</v>
      </c>
      <c r="Y1213" t="s">
        <v>546</v>
      </c>
    </row>
    <row r="1214" spans="1:25">
      <c r="A1214" t="s">
        <v>688</v>
      </c>
      <c r="B1214">
        <v>4565.5975284706501</v>
      </c>
      <c r="C1214">
        <v>20</v>
      </c>
      <c r="D1214" t="s">
        <v>45</v>
      </c>
      <c r="E1214">
        <v>6</v>
      </c>
      <c r="N1214">
        <v>82</v>
      </c>
      <c r="O1214">
        <v>38</v>
      </c>
      <c r="Q1214" t="s">
        <v>604</v>
      </c>
      <c r="Y1214" t="s">
        <v>546</v>
      </c>
    </row>
    <row r="1215" spans="1:25">
      <c r="A1215" t="s">
        <v>688</v>
      </c>
      <c r="B1215">
        <v>4566.5953514623397</v>
      </c>
      <c r="C1215">
        <v>17</v>
      </c>
      <c r="D1215" t="s">
        <v>40</v>
      </c>
      <c r="E1215">
        <v>37</v>
      </c>
      <c r="U1215" t="s">
        <v>28</v>
      </c>
      <c r="Y1215" t="s">
        <v>546</v>
      </c>
    </row>
    <row r="1216" spans="1:25">
      <c r="A1216" t="s">
        <v>688</v>
      </c>
      <c r="B1216">
        <v>4566.6615205460002</v>
      </c>
      <c r="C1216">
        <v>6.9338309163404102</v>
      </c>
      <c r="D1216" t="s">
        <v>18</v>
      </c>
      <c r="E1216">
        <v>92</v>
      </c>
      <c r="Y1216" t="s">
        <v>546</v>
      </c>
    </row>
    <row r="1217" spans="1:25">
      <c r="A1217" t="s">
        <v>688</v>
      </c>
      <c r="B1217">
        <v>4568.59407383496</v>
      </c>
      <c r="C1217">
        <v>17</v>
      </c>
      <c r="D1217" t="s">
        <v>27</v>
      </c>
      <c r="E1217">
        <v>55</v>
      </c>
      <c r="U1217" t="s">
        <v>675</v>
      </c>
      <c r="Y1217" t="s">
        <v>546</v>
      </c>
    </row>
    <row r="1218" spans="1:25">
      <c r="A1218" t="s">
        <v>688</v>
      </c>
      <c r="B1218">
        <v>4570.5953514623397</v>
      </c>
      <c r="C1218">
        <v>4.9987223726257</v>
      </c>
      <c r="D1218" t="s">
        <v>9</v>
      </c>
      <c r="E1218">
        <v>95</v>
      </c>
      <c r="Y1218" t="s">
        <v>546</v>
      </c>
    </row>
    <row r="1219" spans="1:25">
      <c r="A1219" t="s">
        <v>688</v>
      </c>
      <c r="B1219">
        <v>4571.3197159179999</v>
      </c>
      <c r="C1219">
        <v>17</v>
      </c>
      <c r="D1219" t="s">
        <v>40</v>
      </c>
      <c r="E1219">
        <v>38</v>
      </c>
      <c r="U1219" t="s">
        <v>28</v>
      </c>
      <c r="Y1219" t="s">
        <v>546</v>
      </c>
    </row>
    <row r="1220" spans="1:25">
      <c r="A1220" t="s">
        <v>688</v>
      </c>
      <c r="B1220">
        <v>4572.59407383496</v>
      </c>
      <c r="C1220">
        <v>5.7256420830335601</v>
      </c>
      <c r="D1220" t="s">
        <v>18</v>
      </c>
      <c r="E1220">
        <v>93</v>
      </c>
      <c r="Y1220" t="s">
        <v>546</v>
      </c>
    </row>
    <row r="1221" spans="1:25">
      <c r="A1221" t="s">
        <v>688</v>
      </c>
      <c r="B1221">
        <v>4575.3197159179999</v>
      </c>
      <c r="C1221">
        <v>8.1760115170018199</v>
      </c>
      <c r="D1221" t="s">
        <v>9</v>
      </c>
      <c r="E1221">
        <v>96</v>
      </c>
      <c r="Y1221" t="s">
        <v>546</v>
      </c>
    </row>
    <row r="1222" spans="1:25">
      <c r="A1222" t="s">
        <v>688</v>
      </c>
      <c r="B1222">
        <v>4576.4957274349999</v>
      </c>
      <c r="C1222">
        <v>17</v>
      </c>
      <c r="D1222" t="s">
        <v>27</v>
      </c>
      <c r="E1222">
        <v>56</v>
      </c>
      <c r="U1222" t="s">
        <v>28</v>
      </c>
      <c r="Y1222" t="s">
        <v>546</v>
      </c>
    </row>
    <row r="1223" spans="1:25">
      <c r="A1223" t="s">
        <v>688</v>
      </c>
      <c r="B1223">
        <v>4580.4957274349999</v>
      </c>
      <c r="C1223">
        <v>20.900432779670101</v>
      </c>
      <c r="D1223" t="s">
        <v>18</v>
      </c>
      <c r="E1223">
        <v>94</v>
      </c>
      <c r="Y1223" t="s">
        <v>546</v>
      </c>
    </row>
    <row r="1224" spans="1:25">
      <c r="A1224" t="s">
        <v>688</v>
      </c>
      <c r="B1224">
        <v>4584.7977315693197</v>
      </c>
      <c r="C1224">
        <v>20</v>
      </c>
      <c r="D1224" t="s">
        <v>642</v>
      </c>
      <c r="E1224">
        <v>28</v>
      </c>
      <c r="I1224" t="s">
        <v>442</v>
      </c>
      <c r="M1224" t="s">
        <v>438</v>
      </c>
      <c r="Y1224" t="s">
        <v>546</v>
      </c>
    </row>
    <row r="1225" spans="1:25">
      <c r="A1225" t="s">
        <v>688</v>
      </c>
      <c r="B1225">
        <v>4586.1963849993199</v>
      </c>
      <c r="C1225">
        <v>15.199775215349201</v>
      </c>
      <c r="D1225" t="s">
        <v>121</v>
      </c>
      <c r="E1225">
        <v>13</v>
      </c>
      <c r="R1225" t="s">
        <v>23</v>
      </c>
      <c r="Y1225" t="s">
        <v>546</v>
      </c>
    </row>
    <row r="1226" spans="1:25">
      <c r="A1226" t="s">
        <v>688</v>
      </c>
      <c r="B1226">
        <v>4586.4787244440004</v>
      </c>
      <c r="C1226">
        <v>20</v>
      </c>
      <c r="D1226" t="s">
        <v>658</v>
      </c>
      <c r="E1226">
        <v>32</v>
      </c>
      <c r="I1226" t="s">
        <v>439</v>
      </c>
      <c r="M1226" t="s">
        <v>607</v>
      </c>
      <c r="Y1226" t="s">
        <v>546</v>
      </c>
    </row>
    <row r="1227" spans="1:25">
      <c r="A1227" t="s">
        <v>688</v>
      </c>
      <c r="B1227">
        <v>4586.8716476099999</v>
      </c>
      <c r="C1227">
        <v>20</v>
      </c>
      <c r="D1227" t="s">
        <v>653</v>
      </c>
      <c r="E1227">
        <v>28</v>
      </c>
      <c r="H1227" t="s">
        <v>437</v>
      </c>
      <c r="I1227" t="s">
        <v>442</v>
      </c>
      <c r="M1227" t="s">
        <v>608</v>
      </c>
      <c r="Y1227" t="s">
        <v>546</v>
      </c>
    </row>
    <row r="1228" spans="1:25">
      <c r="A1228" t="s">
        <v>688</v>
      </c>
      <c r="B1228">
        <v>4601.3961602146701</v>
      </c>
      <c r="C1228">
        <v>5.89971525664168</v>
      </c>
      <c r="D1228" t="s">
        <v>10</v>
      </c>
      <c r="E1228">
        <v>88</v>
      </c>
      <c r="Y1228" t="s">
        <v>546</v>
      </c>
    </row>
    <row r="1229" spans="1:25">
      <c r="A1229" t="s">
        <v>688</v>
      </c>
      <c r="B1229">
        <v>4604.29587547131</v>
      </c>
      <c r="C1229">
        <v>6.9423332916867304</v>
      </c>
      <c r="D1229" t="s">
        <v>18</v>
      </c>
      <c r="E1229">
        <v>95</v>
      </c>
      <c r="Y1229" t="s">
        <v>546</v>
      </c>
    </row>
    <row r="1230" spans="1:25">
      <c r="A1230" t="s">
        <v>688</v>
      </c>
      <c r="B1230">
        <v>4607.29587547131</v>
      </c>
      <c r="C1230">
        <v>3.94233329168673</v>
      </c>
      <c r="D1230" t="s">
        <v>19</v>
      </c>
      <c r="E1230">
        <v>88</v>
      </c>
      <c r="Y1230" t="s">
        <v>546</v>
      </c>
    </row>
    <row r="1231" spans="1:25">
      <c r="A1231" t="s">
        <v>688</v>
      </c>
      <c r="B1231">
        <v>4611.2382087630003</v>
      </c>
      <c r="C1231">
        <v>19.432217124000001</v>
      </c>
      <c r="D1231" t="s">
        <v>10</v>
      </c>
      <c r="E1231">
        <v>89</v>
      </c>
      <c r="Y1231" t="s">
        <v>546</v>
      </c>
    </row>
    <row r="1232" spans="1:25">
      <c r="A1232" t="s">
        <v>688</v>
      </c>
      <c r="B1232">
        <v>4621.3108399499997</v>
      </c>
      <c r="C1232">
        <v>20</v>
      </c>
      <c r="D1232" t="s">
        <v>653</v>
      </c>
      <c r="E1232">
        <v>29</v>
      </c>
      <c r="I1232" t="s">
        <v>439</v>
      </c>
      <c r="M1232" t="s">
        <v>607</v>
      </c>
      <c r="Y1232" t="s">
        <v>546</v>
      </c>
    </row>
    <row r="1233" spans="1:25">
      <c r="A1233" t="s">
        <v>688</v>
      </c>
      <c r="B1233">
        <v>4623.6704258870004</v>
      </c>
      <c r="C1233">
        <v>17</v>
      </c>
      <c r="D1233" t="s">
        <v>6</v>
      </c>
      <c r="E1233">
        <v>31</v>
      </c>
      <c r="T1233" t="s">
        <v>21</v>
      </c>
      <c r="U1233" t="s">
        <v>195</v>
      </c>
      <c r="Y1233" t="s">
        <v>546</v>
      </c>
    </row>
    <row r="1234" spans="1:25">
      <c r="A1234" t="s">
        <v>688</v>
      </c>
      <c r="B1234">
        <v>4624.49655968363</v>
      </c>
      <c r="C1234">
        <v>20</v>
      </c>
      <c r="D1234" t="s">
        <v>647</v>
      </c>
      <c r="E1234">
        <v>30</v>
      </c>
      <c r="I1234" t="s">
        <v>440</v>
      </c>
      <c r="M1234" t="s">
        <v>438</v>
      </c>
      <c r="Y1234" t="s">
        <v>546</v>
      </c>
    </row>
    <row r="1235" spans="1:25">
      <c r="A1235" t="s">
        <v>688</v>
      </c>
      <c r="B1235">
        <v>4627.6704258870004</v>
      </c>
      <c r="C1235">
        <v>38.424327864337101</v>
      </c>
      <c r="D1235" t="s">
        <v>18</v>
      </c>
      <c r="E1235">
        <v>96</v>
      </c>
      <c r="Y1235" t="s">
        <v>546</v>
      </c>
    </row>
    <row r="1236" spans="1:25">
      <c r="A1236" t="s">
        <v>688</v>
      </c>
      <c r="B1236">
        <v>4628.6784644536701</v>
      </c>
      <c r="C1236">
        <v>20</v>
      </c>
      <c r="D1236" t="s">
        <v>645</v>
      </c>
      <c r="E1236">
        <v>50</v>
      </c>
      <c r="I1236" t="s">
        <v>440</v>
      </c>
      <c r="M1236" t="s">
        <v>607</v>
      </c>
      <c r="Y1236" t="s">
        <v>546</v>
      </c>
    </row>
    <row r="1237" spans="1:25">
      <c r="A1237" t="s">
        <v>688</v>
      </c>
      <c r="B1237">
        <v>4630.6704258870004</v>
      </c>
      <c r="C1237">
        <v>91.621759138001806</v>
      </c>
      <c r="D1237" t="s">
        <v>19</v>
      </c>
      <c r="E1237">
        <v>89</v>
      </c>
      <c r="Y1237" t="s">
        <v>546</v>
      </c>
    </row>
    <row r="1238" spans="1:25">
      <c r="A1238" t="s">
        <v>688</v>
      </c>
      <c r="B1238">
        <v>4631.2895360366401</v>
      </c>
      <c r="C1238">
        <v>20</v>
      </c>
      <c r="D1238" t="s">
        <v>642</v>
      </c>
      <c r="E1238">
        <v>29</v>
      </c>
      <c r="I1238" t="s">
        <v>439</v>
      </c>
      <c r="M1238" t="s">
        <v>607</v>
      </c>
      <c r="Y1238" t="s">
        <v>546</v>
      </c>
    </row>
    <row r="1239" spans="1:25">
      <c r="A1239" t="s">
        <v>688</v>
      </c>
      <c r="B1239">
        <v>4632.7970480803097</v>
      </c>
      <c r="C1239">
        <v>20</v>
      </c>
      <c r="D1239" t="s">
        <v>645</v>
      </c>
      <c r="E1239">
        <v>51</v>
      </c>
      <c r="H1239" t="s">
        <v>445</v>
      </c>
      <c r="I1239" t="s">
        <v>440</v>
      </c>
      <c r="M1239" t="s">
        <v>607</v>
      </c>
      <c r="Y1239" t="s">
        <v>546</v>
      </c>
    </row>
    <row r="1240" spans="1:25">
      <c r="A1240" t="s">
        <v>688</v>
      </c>
      <c r="B1240">
        <v>4633.8917956619898</v>
      </c>
      <c r="C1240">
        <v>26.471918102300101</v>
      </c>
      <c r="D1240" t="s">
        <v>121</v>
      </c>
      <c r="E1240">
        <v>14</v>
      </c>
      <c r="P1240" t="s">
        <v>29</v>
      </c>
      <c r="R1240" t="s">
        <v>20</v>
      </c>
      <c r="Y1240" t="s">
        <v>546</v>
      </c>
    </row>
    <row r="1241" spans="1:25">
      <c r="A1241" t="s">
        <v>688</v>
      </c>
      <c r="B1241">
        <v>4636.2340124149996</v>
      </c>
      <c r="C1241">
        <v>20</v>
      </c>
      <c r="D1241" t="s">
        <v>764</v>
      </c>
      <c r="E1241">
        <v>10</v>
      </c>
      <c r="I1241" t="s">
        <v>439</v>
      </c>
      <c r="M1241" t="s">
        <v>607</v>
      </c>
      <c r="Y1241" t="s">
        <v>546</v>
      </c>
    </row>
    <row r="1242" spans="1:25">
      <c r="A1242" t="s">
        <v>688</v>
      </c>
      <c r="B1242">
        <v>4637.1967302099902</v>
      </c>
      <c r="C1242">
        <v>20</v>
      </c>
      <c r="D1242" t="s">
        <v>645</v>
      </c>
      <c r="E1242">
        <v>52</v>
      </c>
      <c r="H1242" t="s">
        <v>445</v>
      </c>
      <c r="I1242" t="s">
        <v>439</v>
      </c>
      <c r="M1242" t="s">
        <v>607</v>
      </c>
      <c r="Y1242" t="s">
        <v>546</v>
      </c>
    </row>
    <row r="1243" spans="1:25">
      <c r="A1243" t="s">
        <v>688</v>
      </c>
      <c r="B1243">
        <v>4641.2961518786697</v>
      </c>
      <c r="C1243">
        <v>20</v>
      </c>
      <c r="D1243" t="s">
        <v>654</v>
      </c>
      <c r="E1243">
        <v>23</v>
      </c>
      <c r="H1243" t="s">
        <v>732</v>
      </c>
      <c r="M1243" t="s">
        <v>631</v>
      </c>
      <c r="Y1243" t="s">
        <v>546</v>
      </c>
    </row>
    <row r="1244" spans="1:25">
      <c r="A1244" t="s">
        <v>688</v>
      </c>
      <c r="B1244">
        <v>4649.5968557779697</v>
      </c>
      <c r="C1244">
        <v>16.497897973362299</v>
      </c>
      <c r="D1244" t="s">
        <v>32</v>
      </c>
      <c r="E1244">
        <v>42</v>
      </c>
      <c r="R1244" t="s">
        <v>23</v>
      </c>
      <c r="Y1244" t="s">
        <v>546</v>
      </c>
    </row>
    <row r="1245" spans="1:25">
      <c r="A1245" t="s">
        <v>688</v>
      </c>
      <c r="B1245">
        <v>4653.5682863789998</v>
      </c>
      <c r="C1245">
        <v>20</v>
      </c>
      <c r="D1245" t="s">
        <v>653</v>
      </c>
      <c r="E1245">
        <v>30</v>
      </c>
      <c r="M1245" t="s">
        <v>433</v>
      </c>
      <c r="Y1245" t="s">
        <v>546</v>
      </c>
    </row>
    <row r="1246" spans="1:25">
      <c r="A1246" t="s">
        <v>688</v>
      </c>
      <c r="B1246">
        <v>4659.0947537513302</v>
      </c>
      <c r="C1246">
        <v>17</v>
      </c>
      <c r="D1246" t="s">
        <v>40</v>
      </c>
      <c r="E1246">
        <v>39</v>
      </c>
      <c r="U1246" t="s">
        <v>195</v>
      </c>
      <c r="Y1246" t="s">
        <v>546</v>
      </c>
    </row>
    <row r="1247" spans="1:25">
      <c r="A1247" t="s">
        <v>688</v>
      </c>
      <c r="B1247">
        <v>4663.0947537513302</v>
      </c>
      <c r="C1247">
        <v>20.3011190132938</v>
      </c>
      <c r="D1247" t="s">
        <v>9</v>
      </c>
      <c r="E1247">
        <v>97</v>
      </c>
      <c r="Y1247" t="s">
        <v>546</v>
      </c>
    </row>
    <row r="1248" spans="1:25">
      <c r="A1248" t="s">
        <v>688</v>
      </c>
      <c r="B1248">
        <v>4671.3961088982996</v>
      </c>
      <c r="C1248">
        <v>11.999763866329801</v>
      </c>
      <c r="D1248" t="s">
        <v>42</v>
      </c>
      <c r="E1248">
        <v>7</v>
      </c>
      <c r="R1248" t="s">
        <v>20</v>
      </c>
      <c r="Y1248" t="s">
        <v>546</v>
      </c>
    </row>
    <row r="1249" spans="1:25">
      <c r="A1249" t="s">
        <v>688</v>
      </c>
      <c r="B1249">
        <v>4676.3958727646304</v>
      </c>
      <c r="C1249">
        <v>17</v>
      </c>
      <c r="D1249" t="s">
        <v>27</v>
      </c>
      <c r="E1249">
        <v>57</v>
      </c>
      <c r="U1249" t="s">
        <v>28</v>
      </c>
      <c r="Y1249" t="s">
        <v>546</v>
      </c>
    </row>
    <row r="1250" spans="1:25">
      <c r="A1250" t="s">
        <v>688</v>
      </c>
      <c r="B1250">
        <v>4677.0955307076401</v>
      </c>
      <c r="C1250">
        <v>20</v>
      </c>
      <c r="D1250" t="s">
        <v>642</v>
      </c>
      <c r="E1250">
        <v>30</v>
      </c>
      <c r="G1250" t="s">
        <v>449</v>
      </c>
      <c r="I1250" t="s">
        <v>442</v>
      </c>
      <c r="M1250" t="s">
        <v>438</v>
      </c>
      <c r="Y1250" t="s">
        <v>546</v>
      </c>
    </row>
    <row r="1251" spans="1:25">
      <c r="A1251" t="s">
        <v>688</v>
      </c>
      <c r="B1251">
        <v>4680.3958727646304</v>
      </c>
      <c r="C1251">
        <v>17.800165627365399</v>
      </c>
      <c r="D1251" t="s">
        <v>18</v>
      </c>
      <c r="E1251">
        <v>97</v>
      </c>
      <c r="Y1251" t="s">
        <v>546</v>
      </c>
    </row>
    <row r="1252" spans="1:25">
      <c r="A1252" t="s">
        <v>688</v>
      </c>
      <c r="B1252">
        <v>4682.2843318750001</v>
      </c>
      <c r="C1252">
        <v>20</v>
      </c>
      <c r="D1252" t="s">
        <v>764</v>
      </c>
      <c r="E1252">
        <v>11</v>
      </c>
      <c r="H1252" t="s">
        <v>450</v>
      </c>
      <c r="I1252" t="s">
        <v>442</v>
      </c>
      <c r="M1252" t="s">
        <v>608</v>
      </c>
      <c r="Y1252" t="s">
        <v>546</v>
      </c>
    </row>
    <row r="1253" spans="1:25">
      <c r="A1253" t="s">
        <v>688</v>
      </c>
      <c r="B1253">
        <v>4684.2913636863304</v>
      </c>
      <c r="C1253">
        <v>13.904674705661799</v>
      </c>
      <c r="D1253" t="s">
        <v>121</v>
      </c>
      <c r="E1253">
        <v>15</v>
      </c>
      <c r="P1253" t="s">
        <v>30</v>
      </c>
      <c r="R1253" t="s">
        <v>23</v>
      </c>
      <c r="Y1253" t="s">
        <v>546</v>
      </c>
    </row>
    <row r="1254" spans="1:25">
      <c r="A1254" t="s">
        <v>688</v>
      </c>
      <c r="B1254">
        <v>4690.2956497066698</v>
      </c>
      <c r="C1254">
        <v>20</v>
      </c>
      <c r="D1254" t="s">
        <v>653</v>
      </c>
      <c r="E1254">
        <v>31</v>
      </c>
      <c r="I1254" t="s">
        <v>543</v>
      </c>
      <c r="J1254" t="s">
        <v>639</v>
      </c>
      <c r="M1254" t="s">
        <v>443</v>
      </c>
      <c r="Y1254" t="s">
        <v>546</v>
      </c>
    </row>
    <row r="1255" spans="1:25">
      <c r="A1255" t="s">
        <v>688</v>
      </c>
      <c r="B1255">
        <v>4691.1960383919904</v>
      </c>
      <c r="C1255">
        <v>17</v>
      </c>
      <c r="D1255" t="s">
        <v>40</v>
      </c>
      <c r="E1255">
        <v>40</v>
      </c>
      <c r="U1255" t="s">
        <v>195</v>
      </c>
      <c r="Y1255" t="s">
        <v>546</v>
      </c>
    </row>
    <row r="1256" spans="1:25">
      <c r="A1256" t="s">
        <v>688</v>
      </c>
      <c r="B1256">
        <v>4693.9962655590098</v>
      </c>
      <c r="C1256">
        <v>17</v>
      </c>
      <c r="D1256" t="s">
        <v>27</v>
      </c>
      <c r="E1256">
        <v>58</v>
      </c>
      <c r="U1256" t="s">
        <v>601</v>
      </c>
      <c r="Y1256" t="s">
        <v>546</v>
      </c>
    </row>
    <row r="1257" spans="1:25">
      <c r="A1257" t="s">
        <v>688</v>
      </c>
      <c r="B1257">
        <v>4695.1960383919904</v>
      </c>
      <c r="C1257">
        <v>5.8002271670147802</v>
      </c>
      <c r="D1257" t="s">
        <v>9</v>
      </c>
      <c r="E1257">
        <v>98</v>
      </c>
      <c r="Y1257" t="s">
        <v>546</v>
      </c>
    </row>
    <row r="1258" spans="1:25">
      <c r="A1258" t="s">
        <v>688</v>
      </c>
      <c r="B1258">
        <v>4697.9962655590098</v>
      </c>
      <c r="C1258">
        <v>11.8931553082984</v>
      </c>
      <c r="D1258" t="s">
        <v>18</v>
      </c>
      <c r="E1258">
        <v>98</v>
      </c>
      <c r="Y1258" t="s">
        <v>546</v>
      </c>
    </row>
    <row r="1259" spans="1:25">
      <c r="A1259" t="s">
        <v>688</v>
      </c>
      <c r="B1259">
        <v>4702.88942086731</v>
      </c>
      <c r="C1259">
        <v>17</v>
      </c>
      <c r="D1259" t="s">
        <v>40</v>
      </c>
      <c r="E1259">
        <v>41</v>
      </c>
      <c r="U1259" t="s">
        <v>14</v>
      </c>
      <c r="Y1259" t="s">
        <v>546</v>
      </c>
    </row>
    <row r="1260" spans="1:25">
      <c r="A1260" t="s">
        <v>688</v>
      </c>
      <c r="B1260">
        <v>4706.88942086731</v>
      </c>
      <c r="C1260">
        <v>12.403890721015999</v>
      </c>
      <c r="D1260" t="s">
        <v>9</v>
      </c>
      <c r="E1260">
        <v>99</v>
      </c>
      <c r="Y1260" t="s">
        <v>546</v>
      </c>
    </row>
    <row r="1261" spans="1:25">
      <c r="A1261" t="s">
        <v>688</v>
      </c>
      <c r="B1261">
        <v>4712.1212504980003</v>
      </c>
      <c r="C1261">
        <v>20</v>
      </c>
      <c r="D1261" t="s">
        <v>651</v>
      </c>
      <c r="E1261">
        <v>31</v>
      </c>
      <c r="J1261" t="s">
        <v>775</v>
      </c>
      <c r="Y1261" t="s">
        <v>546</v>
      </c>
    </row>
    <row r="1262" spans="1:25">
      <c r="A1262" t="s">
        <v>688</v>
      </c>
      <c r="B1262">
        <v>4712.2933115883197</v>
      </c>
      <c r="C1262">
        <v>17</v>
      </c>
      <c r="D1262" t="s">
        <v>27</v>
      </c>
      <c r="E1262">
        <v>59</v>
      </c>
      <c r="U1262" t="s">
        <v>195</v>
      </c>
      <c r="Y1262" t="s">
        <v>546</v>
      </c>
    </row>
    <row r="1263" spans="1:25">
      <c r="A1263" t="s">
        <v>688</v>
      </c>
      <c r="B1263">
        <v>4716.2933115883197</v>
      </c>
      <c r="C1263">
        <v>5.9988734366761403</v>
      </c>
      <c r="D1263" t="s">
        <v>18</v>
      </c>
      <c r="E1263">
        <v>99</v>
      </c>
      <c r="Y1263" t="s">
        <v>546</v>
      </c>
    </row>
    <row r="1264" spans="1:25">
      <c r="A1264" t="s">
        <v>688</v>
      </c>
      <c r="B1264">
        <v>4722.2921850250004</v>
      </c>
      <c r="C1264">
        <v>14.2127465269977</v>
      </c>
      <c r="D1264" t="s">
        <v>10</v>
      </c>
      <c r="E1264">
        <v>90</v>
      </c>
      <c r="Y1264" t="s">
        <v>546</v>
      </c>
    </row>
    <row r="1265" spans="1:25">
      <c r="A1265" t="s">
        <v>688</v>
      </c>
      <c r="B1265">
        <v>4726.9529746549997</v>
      </c>
      <c r="C1265">
        <v>20</v>
      </c>
      <c r="D1265" t="s">
        <v>651</v>
      </c>
      <c r="E1265">
        <v>32</v>
      </c>
      <c r="I1265" t="s">
        <v>440</v>
      </c>
      <c r="M1265" t="s">
        <v>438</v>
      </c>
      <c r="Y1265" t="s">
        <v>546</v>
      </c>
    </row>
    <row r="1266" spans="1:25">
      <c r="A1266" t="s">
        <v>688</v>
      </c>
      <c r="B1266">
        <v>4729.504931552</v>
      </c>
      <c r="C1266">
        <v>17</v>
      </c>
      <c r="D1266" t="s">
        <v>6</v>
      </c>
      <c r="E1266">
        <v>32</v>
      </c>
      <c r="T1266" t="s">
        <v>24</v>
      </c>
      <c r="Y1266" t="s">
        <v>546</v>
      </c>
    </row>
    <row r="1267" spans="1:25">
      <c r="A1267" t="s">
        <v>688</v>
      </c>
      <c r="B1267">
        <v>4729.8855497650002</v>
      </c>
      <c r="C1267">
        <v>20</v>
      </c>
      <c r="D1267" t="s">
        <v>658</v>
      </c>
      <c r="E1267">
        <v>33</v>
      </c>
      <c r="I1267" t="s">
        <v>440</v>
      </c>
      <c r="M1267" t="s">
        <v>607</v>
      </c>
      <c r="Y1267" t="s">
        <v>546</v>
      </c>
    </row>
    <row r="1268" spans="1:25">
      <c r="A1268" t="s">
        <v>688</v>
      </c>
      <c r="B1268">
        <v>4731.0958896173397</v>
      </c>
      <c r="C1268">
        <v>20</v>
      </c>
      <c r="D1268" t="s">
        <v>642</v>
      </c>
      <c r="E1268">
        <v>31</v>
      </c>
      <c r="I1268" t="s">
        <v>442</v>
      </c>
      <c r="M1268" t="s">
        <v>607</v>
      </c>
      <c r="Y1268" t="s">
        <v>546</v>
      </c>
    </row>
    <row r="1269" spans="1:25">
      <c r="A1269" t="s">
        <v>688</v>
      </c>
      <c r="B1269">
        <v>4733.2966533256304</v>
      </c>
      <c r="C1269">
        <v>20</v>
      </c>
      <c r="D1269" t="s">
        <v>764</v>
      </c>
      <c r="E1269">
        <v>12</v>
      </c>
      <c r="I1269" t="s">
        <v>439</v>
      </c>
      <c r="M1269" t="s">
        <v>607</v>
      </c>
      <c r="Y1269" t="s">
        <v>546</v>
      </c>
    </row>
    <row r="1270" spans="1:25">
      <c r="A1270" t="s">
        <v>688</v>
      </c>
      <c r="B1270">
        <v>4733.504931552</v>
      </c>
      <c r="C1270">
        <v>15.766587670000201</v>
      </c>
      <c r="D1270" t="s">
        <v>18</v>
      </c>
      <c r="E1270">
        <v>100</v>
      </c>
      <c r="Y1270" t="s">
        <v>546</v>
      </c>
    </row>
    <row r="1271" spans="1:25">
      <c r="A1271" t="s">
        <v>688</v>
      </c>
      <c r="B1271">
        <v>4736.504931552</v>
      </c>
      <c r="C1271">
        <v>27.891574403989502</v>
      </c>
      <c r="D1271" t="s">
        <v>19</v>
      </c>
      <c r="E1271">
        <v>90</v>
      </c>
      <c r="Y1271" t="s">
        <v>546</v>
      </c>
    </row>
    <row r="1272" spans="1:25">
      <c r="A1272" t="s">
        <v>688</v>
      </c>
      <c r="B1272">
        <v>4736.9961973249901</v>
      </c>
      <c r="C1272">
        <v>12.2753218970083</v>
      </c>
      <c r="D1272" t="s">
        <v>32</v>
      </c>
      <c r="E1272">
        <v>43</v>
      </c>
      <c r="R1272" t="s">
        <v>23</v>
      </c>
      <c r="Y1272" t="s">
        <v>546</v>
      </c>
    </row>
    <row r="1273" spans="1:25">
      <c r="A1273" t="s">
        <v>688</v>
      </c>
      <c r="B1273">
        <v>4738.3109692019998</v>
      </c>
      <c r="C1273">
        <v>20</v>
      </c>
      <c r="D1273" t="s">
        <v>654</v>
      </c>
      <c r="E1273">
        <v>24</v>
      </c>
      <c r="M1273" t="s">
        <v>641</v>
      </c>
      <c r="Y1273" t="s">
        <v>546</v>
      </c>
    </row>
    <row r="1274" spans="1:25">
      <c r="A1274" t="s">
        <v>688</v>
      </c>
      <c r="B1274">
        <v>4742.2715192220003</v>
      </c>
      <c r="C1274">
        <v>17</v>
      </c>
      <c r="D1274" t="s">
        <v>40</v>
      </c>
      <c r="E1274">
        <v>42</v>
      </c>
      <c r="U1274" t="s">
        <v>195</v>
      </c>
      <c r="Y1274" t="s">
        <v>546</v>
      </c>
    </row>
    <row r="1275" spans="1:25">
      <c r="A1275" t="s">
        <v>688</v>
      </c>
      <c r="B1275">
        <v>4743.2600580839999</v>
      </c>
      <c r="C1275">
        <v>20</v>
      </c>
      <c r="D1275" t="s">
        <v>626</v>
      </c>
      <c r="E1275">
        <v>29</v>
      </c>
      <c r="H1275" t="s">
        <v>745</v>
      </c>
      <c r="I1275" t="s">
        <v>53</v>
      </c>
      <c r="J1275" t="s">
        <v>611</v>
      </c>
      <c r="M1275" t="s">
        <v>746</v>
      </c>
      <c r="Y1275" t="s">
        <v>546</v>
      </c>
    </row>
    <row r="1276" spans="1:25">
      <c r="A1276" t="s">
        <v>688</v>
      </c>
      <c r="B1276">
        <v>4746.2715192220003</v>
      </c>
      <c r="C1276">
        <v>7.1245479186609302</v>
      </c>
      <c r="D1276" t="s">
        <v>9</v>
      </c>
      <c r="E1276">
        <v>100</v>
      </c>
      <c r="Y1276" t="s">
        <v>546</v>
      </c>
    </row>
    <row r="1277" spans="1:25">
      <c r="A1277" t="s">
        <v>688</v>
      </c>
      <c r="B1277">
        <v>4746.3960671406603</v>
      </c>
      <c r="C1277">
        <v>17</v>
      </c>
      <c r="D1277" t="s">
        <v>27</v>
      </c>
      <c r="E1277">
        <v>60</v>
      </c>
      <c r="U1277" t="s">
        <v>601</v>
      </c>
      <c r="Y1277" t="s">
        <v>546</v>
      </c>
    </row>
    <row r="1278" spans="1:25">
      <c r="A1278" t="s">
        <v>688</v>
      </c>
      <c r="B1278">
        <v>4747.3960691369903</v>
      </c>
      <c r="C1278">
        <v>20</v>
      </c>
      <c r="D1278" t="s">
        <v>33</v>
      </c>
      <c r="E1278">
        <v>25</v>
      </c>
      <c r="Y1278" t="s">
        <v>546</v>
      </c>
    </row>
    <row r="1279" spans="1:25">
      <c r="A1279" t="s">
        <v>688</v>
      </c>
      <c r="B1279">
        <v>4749.3965059559896</v>
      </c>
      <c r="C1279">
        <v>20</v>
      </c>
      <c r="D1279" t="s">
        <v>36</v>
      </c>
      <c r="E1279">
        <v>20</v>
      </c>
      <c r="N1279">
        <v>98</v>
      </c>
      <c r="O1279">
        <v>56</v>
      </c>
      <c r="Q1279" t="s">
        <v>711</v>
      </c>
      <c r="Y1279" t="s">
        <v>546</v>
      </c>
    </row>
    <row r="1280" spans="1:25">
      <c r="A1280" t="s">
        <v>688</v>
      </c>
      <c r="B1280">
        <v>4749.3965059559896</v>
      </c>
      <c r="C1280">
        <v>20</v>
      </c>
      <c r="D1280" t="s">
        <v>453</v>
      </c>
      <c r="E1280">
        <v>5</v>
      </c>
      <c r="Y1280" t="s">
        <v>546</v>
      </c>
    </row>
    <row r="1281" spans="1:25">
      <c r="A1281" t="s">
        <v>688</v>
      </c>
      <c r="B1281">
        <v>4750.195721778</v>
      </c>
      <c r="C1281">
        <v>20</v>
      </c>
      <c r="D1281" t="s">
        <v>135</v>
      </c>
      <c r="E1281">
        <v>19</v>
      </c>
      <c r="Y1281" t="s">
        <v>546</v>
      </c>
    </row>
    <row r="1282" spans="1:25">
      <c r="A1282" t="s">
        <v>688</v>
      </c>
      <c r="B1282">
        <v>4750.3960671406603</v>
      </c>
      <c r="C1282">
        <v>14.0004388153283</v>
      </c>
      <c r="D1282" t="s">
        <v>18</v>
      </c>
      <c r="E1282">
        <v>101</v>
      </c>
      <c r="Y1282" t="s">
        <v>546</v>
      </c>
    </row>
    <row r="1283" spans="1:25">
      <c r="A1283" t="s">
        <v>688</v>
      </c>
      <c r="B1283">
        <v>4751.6918536323101</v>
      </c>
      <c r="C1283">
        <v>20</v>
      </c>
      <c r="D1283" t="s">
        <v>34</v>
      </c>
      <c r="E1283">
        <v>13</v>
      </c>
      <c r="R1283" t="s">
        <v>20</v>
      </c>
      <c r="Y1283" t="s">
        <v>546</v>
      </c>
    </row>
    <row r="1284" spans="1:25">
      <c r="A1284" t="s">
        <v>688</v>
      </c>
      <c r="B1284">
        <v>4752.6958785636498</v>
      </c>
      <c r="C1284">
        <v>20</v>
      </c>
      <c r="D1284" t="s">
        <v>761</v>
      </c>
      <c r="E1284">
        <v>20</v>
      </c>
      <c r="M1284" t="s">
        <v>739</v>
      </c>
      <c r="Y1284" t="s">
        <v>546</v>
      </c>
    </row>
    <row r="1285" spans="1:25">
      <c r="A1285" t="s">
        <v>688</v>
      </c>
      <c r="B1285">
        <v>4754.3965059559896</v>
      </c>
      <c r="C1285">
        <v>15</v>
      </c>
      <c r="D1285" t="s">
        <v>35</v>
      </c>
      <c r="E1285">
        <v>20</v>
      </c>
      <c r="Y1285" t="s">
        <v>546</v>
      </c>
    </row>
    <row r="1286" spans="1:25">
      <c r="A1286" t="s">
        <v>688</v>
      </c>
      <c r="B1286">
        <v>4764.3965059559896</v>
      </c>
      <c r="C1286">
        <v>45.400863735660003</v>
      </c>
      <c r="D1286" t="s">
        <v>10</v>
      </c>
      <c r="E1286">
        <v>91</v>
      </c>
      <c r="Y1286" t="s">
        <v>546</v>
      </c>
    </row>
    <row r="1287" spans="1:25">
      <c r="A1287" t="s">
        <v>688</v>
      </c>
      <c r="B1287">
        <v>4806.7973696916497</v>
      </c>
      <c r="C1287">
        <v>13.799962290666301</v>
      </c>
      <c r="D1287" t="s">
        <v>9</v>
      </c>
      <c r="E1287">
        <v>101</v>
      </c>
      <c r="Y1287" t="s">
        <v>546</v>
      </c>
    </row>
    <row r="1288" spans="1:25">
      <c r="A1288" t="s">
        <v>688</v>
      </c>
      <c r="B1288">
        <v>4808.6910285136501</v>
      </c>
      <c r="C1288">
        <v>20</v>
      </c>
      <c r="D1288" t="s">
        <v>41</v>
      </c>
      <c r="E1288">
        <v>9</v>
      </c>
      <c r="Y1288" t="s">
        <v>546</v>
      </c>
    </row>
    <row r="1289" spans="1:25">
      <c r="A1289" t="s">
        <v>688</v>
      </c>
      <c r="B1289">
        <v>4809.7028219209997</v>
      </c>
      <c r="C1289">
        <v>20</v>
      </c>
      <c r="D1289" t="s">
        <v>136</v>
      </c>
      <c r="E1289">
        <v>6</v>
      </c>
      <c r="Y1289" t="s">
        <v>546</v>
      </c>
    </row>
    <row r="1290" spans="1:25">
      <c r="A1290" t="s">
        <v>688</v>
      </c>
      <c r="B1290">
        <v>4809.7973696916497</v>
      </c>
      <c r="C1290">
        <v>1</v>
      </c>
      <c r="D1290" t="s">
        <v>17</v>
      </c>
      <c r="E1290">
        <v>6</v>
      </c>
      <c r="Y1290" t="s">
        <v>546</v>
      </c>
    </row>
    <row r="1291" spans="1:25">
      <c r="A1291" t="s">
        <v>688</v>
      </c>
      <c r="B1291">
        <v>4809.7973696916497</v>
      </c>
      <c r="C1291">
        <v>10.799962290666301</v>
      </c>
      <c r="D1291" t="s">
        <v>19</v>
      </c>
      <c r="E1291">
        <v>91</v>
      </c>
      <c r="Y1291" t="s">
        <v>546</v>
      </c>
    </row>
    <row r="1292" spans="1:25">
      <c r="A1292" t="s">
        <v>688</v>
      </c>
      <c r="B1292">
        <v>4810.3971628333302</v>
      </c>
      <c r="C1292">
        <v>20</v>
      </c>
      <c r="D1292" t="s">
        <v>651</v>
      </c>
      <c r="E1292">
        <v>33</v>
      </c>
      <c r="J1292" t="s">
        <v>627</v>
      </c>
      <c r="Y1292" t="s">
        <v>546</v>
      </c>
    </row>
    <row r="1293" spans="1:25">
      <c r="A1293" t="s">
        <v>688</v>
      </c>
      <c r="B1293">
        <v>4820.5973319823097</v>
      </c>
      <c r="C1293">
        <v>11.0982353183644</v>
      </c>
      <c r="D1293" t="s">
        <v>10</v>
      </c>
      <c r="E1293">
        <v>92</v>
      </c>
      <c r="Y1293" t="s">
        <v>546</v>
      </c>
    </row>
    <row r="1294" spans="1:25">
      <c r="A1294" t="s">
        <v>688</v>
      </c>
      <c r="B1294">
        <v>4824.6955673006796</v>
      </c>
      <c r="C1294">
        <v>17</v>
      </c>
      <c r="D1294" t="s">
        <v>11</v>
      </c>
      <c r="E1294">
        <v>50</v>
      </c>
      <c r="T1294" t="s">
        <v>15</v>
      </c>
      <c r="Y1294" t="s">
        <v>546</v>
      </c>
    </row>
    <row r="1295" spans="1:25">
      <c r="A1295" t="s">
        <v>688</v>
      </c>
      <c r="B1295">
        <v>4825.5712283310004</v>
      </c>
      <c r="C1295">
        <v>20</v>
      </c>
      <c r="D1295" t="s">
        <v>761</v>
      </c>
      <c r="E1295">
        <v>21</v>
      </c>
      <c r="J1295" t="s">
        <v>639</v>
      </c>
      <c r="Y1295" t="s">
        <v>546</v>
      </c>
    </row>
    <row r="1296" spans="1:25">
      <c r="A1296" t="s">
        <v>688</v>
      </c>
      <c r="B1296">
        <v>4827.9330301629998</v>
      </c>
      <c r="C1296">
        <v>20</v>
      </c>
      <c r="D1296" t="s">
        <v>651</v>
      </c>
      <c r="E1296">
        <v>34</v>
      </c>
      <c r="M1296" t="s">
        <v>725</v>
      </c>
      <c r="Y1296" t="s">
        <v>546</v>
      </c>
    </row>
    <row r="1297" spans="1:25">
      <c r="A1297" t="s">
        <v>688</v>
      </c>
      <c r="B1297">
        <v>4828.6955673006796</v>
      </c>
      <c r="C1297">
        <v>15.8414314493193</v>
      </c>
      <c r="D1297" t="s">
        <v>9</v>
      </c>
      <c r="E1297">
        <v>102</v>
      </c>
      <c r="Y1297" t="s">
        <v>546</v>
      </c>
    </row>
    <row r="1298" spans="1:25">
      <c r="A1298" t="s">
        <v>688</v>
      </c>
      <c r="B1298">
        <v>4831.6955673006796</v>
      </c>
      <c r="C1298">
        <v>12.8414314493193</v>
      </c>
      <c r="D1298" t="s">
        <v>19</v>
      </c>
      <c r="E1298">
        <v>92</v>
      </c>
      <c r="Y1298" t="s">
        <v>546</v>
      </c>
    </row>
    <row r="1299" spans="1:25">
      <c r="A1299" t="s">
        <v>688</v>
      </c>
      <c r="B1299">
        <v>4844.5369987499998</v>
      </c>
      <c r="C1299">
        <v>11.153930776014001</v>
      </c>
      <c r="D1299" t="s">
        <v>10</v>
      </c>
      <c r="E1299">
        <v>93</v>
      </c>
      <c r="Y1299" t="s">
        <v>546</v>
      </c>
    </row>
    <row r="1300" spans="1:25">
      <c r="A1300" t="s">
        <v>688</v>
      </c>
      <c r="B1300">
        <v>4848.4874250739704</v>
      </c>
      <c r="C1300">
        <v>20</v>
      </c>
      <c r="D1300" t="s">
        <v>658</v>
      </c>
      <c r="E1300">
        <v>34</v>
      </c>
      <c r="J1300" t="s">
        <v>47</v>
      </c>
      <c r="Y1300" t="s">
        <v>546</v>
      </c>
    </row>
    <row r="1301" spans="1:25">
      <c r="A1301" t="s">
        <v>688</v>
      </c>
      <c r="B1301">
        <v>4848.6909295260102</v>
      </c>
      <c r="C1301">
        <v>17</v>
      </c>
      <c r="D1301" t="s">
        <v>11</v>
      </c>
      <c r="E1301">
        <v>51</v>
      </c>
      <c r="T1301" t="s">
        <v>12</v>
      </c>
      <c r="Y1301" t="s">
        <v>546</v>
      </c>
    </row>
    <row r="1302" spans="1:25">
      <c r="A1302" t="s">
        <v>688</v>
      </c>
      <c r="B1302">
        <v>4850.413031604</v>
      </c>
      <c r="C1302">
        <v>20</v>
      </c>
      <c r="D1302" t="s">
        <v>645</v>
      </c>
      <c r="E1302">
        <v>53</v>
      </c>
      <c r="J1302" t="s">
        <v>47</v>
      </c>
      <c r="Y1302" t="s">
        <v>546</v>
      </c>
    </row>
    <row r="1303" spans="1:25">
      <c r="A1303" t="s">
        <v>688</v>
      </c>
      <c r="B1303">
        <v>4852.6909295260102</v>
      </c>
      <c r="C1303">
        <v>18.705750166624899</v>
      </c>
      <c r="D1303" t="s">
        <v>9</v>
      </c>
      <c r="E1303">
        <v>103</v>
      </c>
      <c r="Y1303" t="s">
        <v>546</v>
      </c>
    </row>
    <row r="1304" spans="1:25">
      <c r="A1304" t="s">
        <v>688</v>
      </c>
      <c r="B1304">
        <v>4854.1970801830003</v>
      </c>
      <c r="C1304">
        <v>20</v>
      </c>
      <c r="D1304" t="s">
        <v>136</v>
      </c>
      <c r="E1304">
        <v>7</v>
      </c>
      <c r="Y1304" t="s">
        <v>546</v>
      </c>
    </row>
    <row r="1305" spans="1:25">
      <c r="A1305" t="s">
        <v>688</v>
      </c>
      <c r="B1305">
        <v>4854.8951880909699</v>
      </c>
      <c r="C1305">
        <v>20</v>
      </c>
      <c r="D1305" t="s">
        <v>45</v>
      </c>
      <c r="E1305">
        <v>7</v>
      </c>
      <c r="N1305">
        <v>86</v>
      </c>
      <c r="O1305">
        <v>49</v>
      </c>
      <c r="Q1305" t="s">
        <v>707</v>
      </c>
      <c r="Y1305" t="s">
        <v>546</v>
      </c>
    </row>
    <row r="1306" spans="1:25">
      <c r="A1306" t="s">
        <v>688</v>
      </c>
      <c r="B1306">
        <v>4855.6909295260102</v>
      </c>
      <c r="C1306">
        <v>27.204661998293801</v>
      </c>
      <c r="D1306" t="s">
        <v>19</v>
      </c>
      <c r="E1306">
        <v>93</v>
      </c>
      <c r="Y1306" t="s">
        <v>546</v>
      </c>
    </row>
    <row r="1307" spans="1:25">
      <c r="A1307" t="s">
        <v>688</v>
      </c>
      <c r="B1307">
        <v>4862.1113125000002</v>
      </c>
      <c r="C1307">
        <v>20</v>
      </c>
      <c r="D1307" t="s">
        <v>626</v>
      </c>
      <c r="E1307">
        <v>30</v>
      </c>
      <c r="J1307" t="s">
        <v>47</v>
      </c>
      <c r="Y1307" t="s">
        <v>546</v>
      </c>
    </row>
    <row r="1308" spans="1:25">
      <c r="A1308" t="s">
        <v>688</v>
      </c>
      <c r="B1308">
        <v>4863.5958649856502</v>
      </c>
      <c r="C1308">
        <v>20</v>
      </c>
      <c r="D1308" t="s">
        <v>642</v>
      </c>
      <c r="E1308">
        <v>32</v>
      </c>
      <c r="M1308" t="s">
        <v>438</v>
      </c>
      <c r="Y1308" t="s">
        <v>546</v>
      </c>
    </row>
    <row r="1309" spans="1:25">
      <c r="A1309" t="s">
        <v>688</v>
      </c>
      <c r="B1309">
        <v>4864.3966796926297</v>
      </c>
      <c r="C1309">
        <v>17</v>
      </c>
      <c r="D1309" t="s">
        <v>27</v>
      </c>
      <c r="E1309">
        <v>61</v>
      </c>
      <c r="U1309" t="s">
        <v>190</v>
      </c>
      <c r="Y1309" t="s">
        <v>546</v>
      </c>
    </row>
    <row r="1310" spans="1:25">
      <c r="A1310" t="s">
        <v>688</v>
      </c>
      <c r="B1310">
        <v>4865.2661273160002</v>
      </c>
      <c r="C1310">
        <v>20</v>
      </c>
      <c r="D1310" t="s">
        <v>761</v>
      </c>
      <c r="E1310">
        <v>22</v>
      </c>
      <c r="I1310" t="s">
        <v>543</v>
      </c>
      <c r="M1310" t="s">
        <v>763</v>
      </c>
      <c r="Y1310" t="s">
        <v>546</v>
      </c>
    </row>
    <row r="1311" spans="1:25">
      <c r="A1311" t="s">
        <v>688</v>
      </c>
      <c r="B1311">
        <v>4867.3962667156402</v>
      </c>
      <c r="C1311">
        <v>20</v>
      </c>
      <c r="D1311" t="s">
        <v>33</v>
      </c>
      <c r="E1311">
        <v>26</v>
      </c>
      <c r="Y1311" t="s">
        <v>546</v>
      </c>
    </row>
    <row r="1312" spans="1:25">
      <c r="A1312" t="s">
        <v>688</v>
      </c>
      <c r="B1312">
        <v>4867.8085004840004</v>
      </c>
      <c r="C1312">
        <v>20</v>
      </c>
      <c r="D1312" t="s">
        <v>647</v>
      </c>
      <c r="E1312">
        <v>31</v>
      </c>
      <c r="H1312" t="s">
        <v>736</v>
      </c>
      <c r="L1312" t="s">
        <v>51</v>
      </c>
      <c r="M1312" t="s">
        <v>625</v>
      </c>
      <c r="Y1312" t="s">
        <v>546</v>
      </c>
    </row>
    <row r="1313" spans="1:25">
      <c r="A1313" t="s">
        <v>688</v>
      </c>
      <c r="B1313">
        <v>4867.8955915242996</v>
      </c>
      <c r="C1313">
        <v>20</v>
      </c>
      <c r="D1313" t="s">
        <v>36</v>
      </c>
      <c r="E1313">
        <v>21</v>
      </c>
      <c r="N1313">
        <v>89</v>
      </c>
      <c r="O1313">
        <v>46</v>
      </c>
      <c r="Q1313" t="s">
        <v>712</v>
      </c>
      <c r="Y1313" t="s">
        <v>546</v>
      </c>
    </row>
    <row r="1314" spans="1:25">
      <c r="A1314" t="s">
        <v>688</v>
      </c>
      <c r="B1314">
        <v>4867.8955915242996</v>
      </c>
      <c r="C1314">
        <v>20</v>
      </c>
      <c r="D1314" t="s">
        <v>453</v>
      </c>
      <c r="E1314">
        <v>6</v>
      </c>
      <c r="Y1314" t="s">
        <v>546</v>
      </c>
    </row>
    <row r="1315" spans="1:25">
      <c r="A1315" t="s">
        <v>688</v>
      </c>
      <c r="B1315">
        <v>4868.3966796926297</v>
      </c>
      <c r="C1315">
        <v>14.498911831668901</v>
      </c>
      <c r="D1315" t="s">
        <v>18</v>
      </c>
      <c r="E1315">
        <v>102</v>
      </c>
      <c r="Y1315" t="s">
        <v>546</v>
      </c>
    </row>
    <row r="1316" spans="1:25">
      <c r="A1316" t="s">
        <v>688</v>
      </c>
      <c r="B1316">
        <v>4870.3962347189899</v>
      </c>
      <c r="C1316">
        <v>20</v>
      </c>
      <c r="D1316" t="s">
        <v>135</v>
      </c>
      <c r="E1316">
        <v>20</v>
      </c>
      <c r="Y1316" t="s">
        <v>546</v>
      </c>
    </row>
    <row r="1317" spans="1:25">
      <c r="A1317" t="s">
        <v>688</v>
      </c>
      <c r="B1317">
        <v>4872.8955915242996</v>
      </c>
      <c r="C1317">
        <v>15</v>
      </c>
      <c r="D1317" t="s">
        <v>35</v>
      </c>
      <c r="E1317">
        <v>21</v>
      </c>
      <c r="Y1317" t="s">
        <v>546</v>
      </c>
    </row>
    <row r="1318" spans="1:25">
      <c r="A1318" t="s">
        <v>688</v>
      </c>
      <c r="B1318">
        <v>4882.8955915242996</v>
      </c>
      <c r="C1318">
        <v>42.500125571002997</v>
      </c>
      <c r="D1318" t="s">
        <v>10</v>
      </c>
      <c r="E1318">
        <v>94</v>
      </c>
      <c r="Y1318" t="s">
        <v>546</v>
      </c>
    </row>
    <row r="1319" spans="1:25">
      <c r="A1319" t="s">
        <v>688</v>
      </c>
      <c r="B1319">
        <v>4922.3957170953099</v>
      </c>
      <c r="C1319">
        <v>27.317370665688902</v>
      </c>
      <c r="D1319" t="s">
        <v>9</v>
      </c>
      <c r="E1319">
        <v>104</v>
      </c>
      <c r="Y1319" t="s">
        <v>546</v>
      </c>
    </row>
    <row r="1320" spans="1:25">
      <c r="A1320" t="s">
        <v>688</v>
      </c>
      <c r="B1320">
        <v>4925.3957170953099</v>
      </c>
      <c r="C1320">
        <v>1</v>
      </c>
      <c r="D1320" t="s">
        <v>17</v>
      </c>
      <c r="E1320">
        <v>7</v>
      </c>
      <c r="Y1320" t="s">
        <v>546</v>
      </c>
    </row>
    <row r="1321" spans="1:25">
      <c r="A1321" t="s">
        <v>688</v>
      </c>
      <c r="B1321">
        <v>4925.3957170953099</v>
      </c>
      <c r="C1321">
        <v>42.954958278689404</v>
      </c>
      <c r="D1321" t="s">
        <v>19</v>
      </c>
      <c r="E1321">
        <v>94</v>
      </c>
      <c r="Y1321" t="s">
        <v>546</v>
      </c>
    </row>
    <row r="1322" spans="1:25">
      <c r="A1322" t="s">
        <v>688</v>
      </c>
      <c r="B1322">
        <v>4926.2958302326397</v>
      </c>
      <c r="C1322">
        <v>23.417257528359102</v>
      </c>
      <c r="D1322" t="s">
        <v>42</v>
      </c>
      <c r="E1322">
        <v>8</v>
      </c>
      <c r="R1322" t="s">
        <v>20</v>
      </c>
      <c r="Y1322" t="s">
        <v>546</v>
      </c>
    </row>
    <row r="1323" spans="1:25">
      <c r="A1323" t="s">
        <v>688</v>
      </c>
      <c r="B1323">
        <v>4933.6141250439996</v>
      </c>
      <c r="C1323">
        <v>20</v>
      </c>
      <c r="D1323" t="s">
        <v>41</v>
      </c>
      <c r="E1323">
        <v>10</v>
      </c>
      <c r="Y1323" t="s">
        <v>546</v>
      </c>
    </row>
    <row r="1324" spans="1:25">
      <c r="A1324" t="s">
        <v>688</v>
      </c>
      <c r="B1324">
        <v>4933.8964382753402</v>
      </c>
      <c r="C1324">
        <v>20</v>
      </c>
      <c r="D1324" t="s">
        <v>764</v>
      </c>
      <c r="E1324">
        <v>13</v>
      </c>
      <c r="H1324" t="s">
        <v>336</v>
      </c>
      <c r="I1324" t="s">
        <v>439</v>
      </c>
      <c r="J1324" t="s">
        <v>627</v>
      </c>
      <c r="M1324" t="s">
        <v>616</v>
      </c>
      <c r="Y1324" t="s">
        <v>546</v>
      </c>
    </row>
    <row r="1325" spans="1:25">
      <c r="A1325" t="s">
        <v>688</v>
      </c>
      <c r="B1325">
        <v>4942.7130877609998</v>
      </c>
      <c r="C1325">
        <v>17</v>
      </c>
      <c r="D1325" t="s">
        <v>27</v>
      </c>
      <c r="E1325">
        <v>62</v>
      </c>
      <c r="U1325" t="s">
        <v>28</v>
      </c>
      <c r="Y1325" t="s">
        <v>546</v>
      </c>
    </row>
    <row r="1326" spans="1:25">
      <c r="A1326" t="s">
        <v>688</v>
      </c>
      <c r="B1326">
        <v>4946.7130877609998</v>
      </c>
      <c r="C1326">
        <v>3.2843047786527602</v>
      </c>
      <c r="D1326" t="s">
        <v>18</v>
      </c>
      <c r="E1326">
        <v>103</v>
      </c>
      <c r="Y1326" t="s">
        <v>546</v>
      </c>
    </row>
    <row r="1327" spans="1:25">
      <c r="A1327" t="s">
        <v>688</v>
      </c>
      <c r="B1327">
        <v>4946.9973925396498</v>
      </c>
      <c r="C1327">
        <v>21.353282834347699</v>
      </c>
      <c r="D1327" t="s">
        <v>9</v>
      </c>
      <c r="E1327">
        <v>105</v>
      </c>
      <c r="Y1327" t="s">
        <v>546</v>
      </c>
    </row>
    <row r="1328" spans="1:25">
      <c r="A1328" t="s">
        <v>688</v>
      </c>
      <c r="B1328">
        <v>4951.8957925846398</v>
      </c>
      <c r="C1328">
        <v>20</v>
      </c>
      <c r="D1328" t="s">
        <v>41</v>
      </c>
      <c r="E1328">
        <v>11</v>
      </c>
      <c r="Y1328" t="s">
        <v>546</v>
      </c>
    </row>
    <row r="1329" spans="1:25">
      <c r="A1329" t="s">
        <v>688</v>
      </c>
      <c r="B1329">
        <v>4952.8103591640001</v>
      </c>
      <c r="C1329">
        <v>15.5403162100001</v>
      </c>
      <c r="D1329" t="s">
        <v>44</v>
      </c>
      <c r="E1329">
        <v>2</v>
      </c>
      <c r="R1329" t="s">
        <v>20</v>
      </c>
      <c r="Y1329" t="s">
        <v>546</v>
      </c>
    </row>
    <row r="1330" spans="1:25">
      <c r="A1330" t="s">
        <v>688</v>
      </c>
      <c r="B1330">
        <v>4958.4956334172903</v>
      </c>
      <c r="C1330">
        <v>20</v>
      </c>
      <c r="D1330" t="s">
        <v>764</v>
      </c>
      <c r="E1330">
        <v>14</v>
      </c>
      <c r="J1330" t="s">
        <v>47</v>
      </c>
      <c r="Y1330" t="s">
        <v>546</v>
      </c>
    </row>
    <row r="1331" spans="1:25">
      <c r="A1331" t="s">
        <v>688</v>
      </c>
      <c r="B1331">
        <v>4968.3506753740003</v>
      </c>
      <c r="C1331">
        <v>27.963056914999399</v>
      </c>
      <c r="D1331" t="s">
        <v>10</v>
      </c>
      <c r="E1331">
        <v>95</v>
      </c>
      <c r="Y1331" t="s">
        <v>546</v>
      </c>
    </row>
    <row r="1332" spans="1:25">
      <c r="A1332" t="s">
        <v>688</v>
      </c>
      <c r="B1332">
        <v>4986.2952097383104</v>
      </c>
      <c r="C1332">
        <v>20</v>
      </c>
      <c r="D1332" t="s">
        <v>658</v>
      </c>
      <c r="E1332">
        <v>35</v>
      </c>
      <c r="I1332" t="s">
        <v>442</v>
      </c>
      <c r="M1332" t="s">
        <v>607</v>
      </c>
      <c r="Y1332" t="s">
        <v>546</v>
      </c>
    </row>
    <row r="1333" spans="1:25">
      <c r="A1333" t="s">
        <v>688</v>
      </c>
      <c r="B1333">
        <v>4988.7306456980004</v>
      </c>
      <c r="C1333">
        <v>20</v>
      </c>
      <c r="D1333" t="s">
        <v>645</v>
      </c>
      <c r="E1333">
        <v>54</v>
      </c>
      <c r="H1333" t="s">
        <v>628</v>
      </c>
      <c r="I1333" t="s">
        <v>440</v>
      </c>
      <c r="M1333" t="s">
        <v>607</v>
      </c>
      <c r="Y1333" t="s">
        <v>546</v>
      </c>
    </row>
    <row r="1334" spans="1:25">
      <c r="A1334" t="s">
        <v>688</v>
      </c>
      <c r="B1334">
        <v>4989.3137322889997</v>
      </c>
      <c r="C1334">
        <v>17</v>
      </c>
      <c r="D1334" t="s">
        <v>6</v>
      </c>
      <c r="E1334">
        <v>33</v>
      </c>
      <c r="T1334" t="s">
        <v>21</v>
      </c>
      <c r="U1334" t="s">
        <v>28</v>
      </c>
      <c r="Y1334" t="s">
        <v>546</v>
      </c>
    </row>
    <row r="1335" spans="1:25">
      <c r="A1335" t="s">
        <v>688</v>
      </c>
      <c r="B1335">
        <v>4993.3137322889997</v>
      </c>
      <c r="C1335">
        <v>38.477520247980401</v>
      </c>
      <c r="D1335" t="s">
        <v>18</v>
      </c>
      <c r="E1335">
        <v>104</v>
      </c>
      <c r="Y1335" t="s">
        <v>546</v>
      </c>
    </row>
    <row r="1336" spans="1:25">
      <c r="A1336" t="s">
        <v>688</v>
      </c>
      <c r="B1336">
        <v>4995.9965088216604</v>
      </c>
      <c r="C1336">
        <v>20</v>
      </c>
      <c r="D1336" t="s">
        <v>658</v>
      </c>
      <c r="E1336">
        <v>36</v>
      </c>
      <c r="I1336" t="s">
        <v>442</v>
      </c>
      <c r="M1336" t="s">
        <v>607</v>
      </c>
      <c r="Y1336" t="s">
        <v>546</v>
      </c>
    </row>
    <row r="1337" spans="1:25">
      <c r="A1337" t="s">
        <v>688</v>
      </c>
      <c r="B1337">
        <v>4996.3137322889997</v>
      </c>
      <c r="C1337">
        <v>46.183129398307699</v>
      </c>
      <c r="D1337" t="s">
        <v>19</v>
      </c>
      <c r="E1337">
        <v>95</v>
      </c>
      <c r="Y1337" t="s">
        <v>546</v>
      </c>
    </row>
    <row r="1338" spans="1:25">
      <c r="A1338" t="s">
        <v>688</v>
      </c>
      <c r="B1338">
        <v>4999.9960978789904</v>
      </c>
      <c r="C1338">
        <v>32.0353594527787</v>
      </c>
      <c r="D1338" t="s">
        <v>121</v>
      </c>
      <c r="E1338">
        <v>16</v>
      </c>
      <c r="P1338" t="s">
        <v>29</v>
      </c>
      <c r="R1338" t="s">
        <v>20</v>
      </c>
      <c r="Y1338" t="s">
        <v>546</v>
      </c>
    </row>
    <row r="1339" spans="1:25">
      <c r="A1339" t="s">
        <v>688</v>
      </c>
      <c r="B1339">
        <v>5000.1953424869798</v>
      </c>
      <c r="C1339">
        <v>20</v>
      </c>
      <c r="D1339" t="s">
        <v>642</v>
      </c>
      <c r="E1339">
        <v>33</v>
      </c>
      <c r="I1339" t="s">
        <v>439</v>
      </c>
      <c r="M1339" t="s">
        <v>607</v>
      </c>
      <c r="Y1339" t="s">
        <v>546</v>
      </c>
    </row>
    <row r="1340" spans="1:25">
      <c r="A1340" t="s">
        <v>688</v>
      </c>
      <c r="B1340">
        <v>5001.2975764043204</v>
      </c>
      <c r="C1340">
        <v>20</v>
      </c>
      <c r="D1340" t="s">
        <v>626</v>
      </c>
      <c r="E1340">
        <v>31</v>
      </c>
      <c r="H1340" t="s">
        <v>445</v>
      </c>
      <c r="I1340" t="s">
        <v>442</v>
      </c>
      <c r="M1340" t="s">
        <v>607</v>
      </c>
      <c r="Y1340" t="s">
        <v>546</v>
      </c>
    </row>
    <row r="1341" spans="1:25">
      <c r="A1341" t="s">
        <v>688</v>
      </c>
      <c r="B1341">
        <v>5006.2916379062999</v>
      </c>
      <c r="C1341">
        <v>20</v>
      </c>
      <c r="D1341" t="s">
        <v>658</v>
      </c>
      <c r="E1341">
        <v>37</v>
      </c>
      <c r="I1341" t="s">
        <v>439</v>
      </c>
      <c r="M1341" t="s">
        <v>607</v>
      </c>
      <c r="Y1341" t="s">
        <v>546</v>
      </c>
    </row>
    <row r="1342" spans="1:25">
      <c r="A1342" t="s">
        <v>688</v>
      </c>
      <c r="B1342">
        <v>5008.2942336266397</v>
      </c>
      <c r="C1342">
        <v>20</v>
      </c>
      <c r="D1342" t="s">
        <v>626</v>
      </c>
      <c r="E1342">
        <v>32</v>
      </c>
      <c r="H1342" t="s">
        <v>735</v>
      </c>
      <c r="I1342" t="s">
        <v>621</v>
      </c>
      <c r="M1342" t="s">
        <v>610</v>
      </c>
      <c r="Y1342" t="s">
        <v>546</v>
      </c>
    </row>
    <row r="1343" spans="1:25">
      <c r="A1343" t="s">
        <v>688</v>
      </c>
      <c r="B1343">
        <v>5012.7960213516699</v>
      </c>
      <c r="C1343">
        <v>20</v>
      </c>
      <c r="D1343" t="s">
        <v>36</v>
      </c>
      <c r="E1343">
        <v>22</v>
      </c>
      <c r="N1343">
        <v>92</v>
      </c>
      <c r="O1343">
        <v>40</v>
      </c>
      <c r="Q1343" t="s">
        <v>713</v>
      </c>
      <c r="Y1343" t="s">
        <v>546</v>
      </c>
    </row>
    <row r="1344" spans="1:25">
      <c r="A1344" t="s">
        <v>688</v>
      </c>
      <c r="B1344">
        <v>5014.2956671132997</v>
      </c>
      <c r="C1344">
        <v>20</v>
      </c>
      <c r="D1344" t="s">
        <v>647</v>
      </c>
      <c r="E1344">
        <v>32</v>
      </c>
      <c r="H1344" t="s">
        <v>609</v>
      </c>
      <c r="L1344" t="s">
        <v>51</v>
      </c>
      <c r="M1344" t="s">
        <v>544</v>
      </c>
      <c r="Y1344" t="s">
        <v>546</v>
      </c>
    </row>
    <row r="1345" spans="1:25">
      <c r="A1345" t="s">
        <v>688</v>
      </c>
      <c r="B1345">
        <v>5014.9889624439802</v>
      </c>
      <c r="C1345">
        <v>20</v>
      </c>
      <c r="D1345" t="s">
        <v>33</v>
      </c>
      <c r="E1345">
        <v>27</v>
      </c>
      <c r="Y1345" t="s">
        <v>546</v>
      </c>
    </row>
    <row r="1346" spans="1:25">
      <c r="A1346" t="s">
        <v>688</v>
      </c>
      <c r="B1346">
        <v>5014.9956150743301</v>
      </c>
      <c r="C1346">
        <v>12.8004062773388</v>
      </c>
      <c r="D1346" t="s">
        <v>32</v>
      </c>
      <c r="E1346">
        <v>44</v>
      </c>
      <c r="R1346" t="s">
        <v>20</v>
      </c>
      <c r="Y1346" t="s">
        <v>546</v>
      </c>
    </row>
    <row r="1347" spans="1:25">
      <c r="A1347" t="s">
        <v>688</v>
      </c>
      <c r="B1347">
        <v>5016.7653691670002</v>
      </c>
      <c r="C1347">
        <v>20</v>
      </c>
      <c r="D1347" t="s">
        <v>135</v>
      </c>
      <c r="E1347">
        <v>21</v>
      </c>
      <c r="Y1347" t="s">
        <v>546</v>
      </c>
    </row>
    <row r="1348" spans="1:25">
      <c r="A1348" t="s">
        <v>688</v>
      </c>
      <c r="B1348">
        <v>5017.7960213516699</v>
      </c>
      <c r="C1348">
        <v>15</v>
      </c>
      <c r="D1348" t="s">
        <v>35</v>
      </c>
      <c r="E1348">
        <v>22</v>
      </c>
      <c r="Y1348" t="s">
        <v>546</v>
      </c>
    </row>
    <row r="1349" spans="1:25">
      <c r="A1349" t="s">
        <v>688</v>
      </c>
      <c r="B1349">
        <v>5024.3972407313104</v>
      </c>
      <c r="C1349">
        <v>20</v>
      </c>
      <c r="D1349" t="s">
        <v>36</v>
      </c>
      <c r="E1349">
        <v>23</v>
      </c>
      <c r="N1349">
        <v>89</v>
      </c>
      <c r="O1349">
        <v>41</v>
      </c>
      <c r="Q1349" t="s">
        <v>706</v>
      </c>
      <c r="Y1349" t="s">
        <v>546</v>
      </c>
    </row>
    <row r="1350" spans="1:25">
      <c r="A1350" t="s">
        <v>688</v>
      </c>
      <c r="B1350">
        <v>5024.6107182810001</v>
      </c>
      <c r="C1350">
        <v>20</v>
      </c>
      <c r="D1350" t="s">
        <v>653</v>
      </c>
      <c r="E1350">
        <v>32</v>
      </c>
      <c r="I1350" t="s">
        <v>613</v>
      </c>
      <c r="J1350" t="s">
        <v>639</v>
      </c>
      <c r="M1350" t="s">
        <v>643</v>
      </c>
      <c r="Y1350" t="s">
        <v>546</v>
      </c>
    </row>
    <row r="1351" spans="1:25">
      <c r="A1351" t="s">
        <v>688</v>
      </c>
      <c r="B1351">
        <v>5024.7912525369802</v>
      </c>
      <c r="C1351">
        <v>17</v>
      </c>
      <c r="D1351" t="s">
        <v>40</v>
      </c>
      <c r="E1351">
        <v>43</v>
      </c>
      <c r="U1351" t="s">
        <v>14</v>
      </c>
      <c r="Y1351" t="s">
        <v>546</v>
      </c>
    </row>
    <row r="1352" spans="1:25">
      <c r="A1352" t="s">
        <v>688</v>
      </c>
      <c r="B1352">
        <v>5026.8133092950002</v>
      </c>
      <c r="C1352">
        <v>20</v>
      </c>
      <c r="D1352" t="s">
        <v>135</v>
      </c>
      <c r="E1352">
        <v>22</v>
      </c>
      <c r="Y1352" t="s">
        <v>546</v>
      </c>
    </row>
    <row r="1353" spans="1:25">
      <c r="A1353" t="s">
        <v>688</v>
      </c>
      <c r="B1353">
        <v>5027.2122579280003</v>
      </c>
      <c r="C1353">
        <v>20</v>
      </c>
      <c r="D1353" t="s">
        <v>647</v>
      </c>
      <c r="E1353">
        <v>33</v>
      </c>
      <c r="H1353" t="s">
        <v>435</v>
      </c>
      <c r="L1353" t="s">
        <v>51</v>
      </c>
      <c r="M1353" t="s">
        <v>737</v>
      </c>
      <c r="Y1353" t="s">
        <v>546</v>
      </c>
    </row>
    <row r="1354" spans="1:25">
      <c r="A1354" t="s">
        <v>688</v>
      </c>
      <c r="B1354">
        <v>5027.2968667506702</v>
      </c>
      <c r="C1354">
        <v>17</v>
      </c>
      <c r="D1354" t="s">
        <v>27</v>
      </c>
      <c r="E1354">
        <v>63</v>
      </c>
      <c r="U1354" t="s">
        <v>14</v>
      </c>
      <c r="Y1354" t="s">
        <v>546</v>
      </c>
    </row>
    <row r="1355" spans="1:25">
      <c r="A1355" t="s">
        <v>688</v>
      </c>
      <c r="B1355">
        <v>5028.7912525369802</v>
      </c>
      <c r="C1355">
        <v>5.5056142136909303</v>
      </c>
      <c r="D1355" t="s">
        <v>9</v>
      </c>
      <c r="E1355">
        <v>106</v>
      </c>
      <c r="Y1355" t="s">
        <v>546</v>
      </c>
    </row>
    <row r="1356" spans="1:25">
      <c r="A1356" t="s">
        <v>688</v>
      </c>
      <c r="B1356">
        <v>5029.3972407313104</v>
      </c>
      <c r="C1356">
        <v>15</v>
      </c>
      <c r="D1356" t="s">
        <v>35</v>
      </c>
      <c r="E1356">
        <v>23</v>
      </c>
      <c r="Y1356" t="s">
        <v>546</v>
      </c>
    </row>
    <row r="1357" spans="1:25">
      <c r="A1357" t="s">
        <v>688</v>
      </c>
      <c r="B1357">
        <v>5031.2968667506702</v>
      </c>
      <c r="C1357">
        <v>11.199994936636299</v>
      </c>
      <c r="D1357" t="s">
        <v>18</v>
      </c>
      <c r="E1357">
        <v>105</v>
      </c>
      <c r="Y1357" t="s">
        <v>546</v>
      </c>
    </row>
    <row r="1358" spans="1:25">
      <c r="A1358" t="s">
        <v>688</v>
      </c>
      <c r="B1358">
        <v>5042.4968616873002</v>
      </c>
      <c r="C1358">
        <v>33.952131597692599</v>
      </c>
      <c r="D1358" t="s">
        <v>10</v>
      </c>
      <c r="E1358">
        <v>96</v>
      </c>
      <c r="Y1358" t="s">
        <v>546</v>
      </c>
    </row>
    <row r="1359" spans="1:25">
      <c r="A1359" t="s">
        <v>688</v>
      </c>
      <c r="B1359">
        <v>5067.0010199019998</v>
      </c>
      <c r="C1359">
        <v>20</v>
      </c>
      <c r="D1359" t="s">
        <v>654</v>
      </c>
      <c r="E1359">
        <v>25</v>
      </c>
      <c r="I1359" t="s">
        <v>446</v>
      </c>
      <c r="Y1359" t="s">
        <v>546</v>
      </c>
    </row>
    <row r="1360" spans="1:25">
      <c r="A1360" t="s">
        <v>688</v>
      </c>
      <c r="B1360">
        <v>5069.2863771479697</v>
      </c>
      <c r="C1360">
        <v>20</v>
      </c>
      <c r="D1360" t="s">
        <v>658</v>
      </c>
      <c r="E1360">
        <v>38</v>
      </c>
      <c r="I1360" t="s">
        <v>53</v>
      </c>
      <c r="M1360" t="s">
        <v>443</v>
      </c>
      <c r="Y1360" t="s">
        <v>546</v>
      </c>
    </row>
    <row r="1361" spans="1:25">
      <c r="A1361" t="s">
        <v>688</v>
      </c>
      <c r="B1361">
        <v>5069.4489932850001</v>
      </c>
      <c r="C1361">
        <v>17</v>
      </c>
      <c r="D1361" t="s">
        <v>6</v>
      </c>
      <c r="E1361">
        <v>34</v>
      </c>
      <c r="T1361" t="s">
        <v>22</v>
      </c>
      <c r="Y1361" t="s">
        <v>546</v>
      </c>
    </row>
    <row r="1362" spans="1:25">
      <c r="A1362" t="s">
        <v>688</v>
      </c>
      <c r="B1362">
        <v>5072.7111904459998</v>
      </c>
      <c r="C1362">
        <v>20</v>
      </c>
      <c r="D1362" t="s">
        <v>649</v>
      </c>
      <c r="E1362">
        <v>65</v>
      </c>
      <c r="K1362" t="s">
        <v>758</v>
      </c>
      <c r="M1362" t="s">
        <v>617</v>
      </c>
      <c r="Y1362" t="s">
        <v>546</v>
      </c>
    </row>
    <row r="1363" spans="1:25">
      <c r="A1363" t="s">
        <v>688</v>
      </c>
      <c r="B1363">
        <v>5073.4489932850001</v>
      </c>
      <c r="C1363">
        <v>13.092062642000201</v>
      </c>
      <c r="D1363" t="s">
        <v>18</v>
      </c>
      <c r="E1363">
        <v>106</v>
      </c>
      <c r="Y1363" t="s">
        <v>546</v>
      </c>
    </row>
    <row r="1364" spans="1:25">
      <c r="A1364" t="s">
        <v>688</v>
      </c>
      <c r="B1364">
        <v>5076.4489932850001</v>
      </c>
      <c r="C1364">
        <v>54.6999635829997</v>
      </c>
      <c r="D1364" t="s">
        <v>19</v>
      </c>
      <c r="E1364">
        <v>96</v>
      </c>
      <c r="Y1364" t="s">
        <v>546</v>
      </c>
    </row>
    <row r="1365" spans="1:25">
      <c r="A1365" t="s">
        <v>688</v>
      </c>
      <c r="B1365">
        <v>5079.5410559270003</v>
      </c>
      <c r="C1365">
        <v>17</v>
      </c>
      <c r="D1365" t="s">
        <v>40</v>
      </c>
      <c r="E1365">
        <v>44</v>
      </c>
      <c r="U1365" t="s">
        <v>14</v>
      </c>
      <c r="Y1365" t="s">
        <v>546</v>
      </c>
    </row>
    <row r="1366" spans="1:25">
      <c r="A1366" t="s">
        <v>688</v>
      </c>
      <c r="B1366">
        <v>5082.9903899566598</v>
      </c>
      <c r="C1366">
        <v>20</v>
      </c>
      <c r="D1366" t="s">
        <v>653</v>
      </c>
      <c r="E1366">
        <v>33</v>
      </c>
      <c r="I1366" t="s">
        <v>439</v>
      </c>
      <c r="J1366" t="s">
        <v>639</v>
      </c>
      <c r="M1366" t="s">
        <v>443</v>
      </c>
      <c r="Y1366" t="s">
        <v>546</v>
      </c>
    </row>
    <row r="1367" spans="1:25">
      <c r="A1367" t="s">
        <v>688</v>
      </c>
      <c r="B1367">
        <v>5083.5410559270003</v>
      </c>
      <c r="C1367">
        <v>10.5552959659962</v>
      </c>
      <c r="D1367" t="s">
        <v>9</v>
      </c>
      <c r="E1367">
        <v>107</v>
      </c>
      <c r="Y1367" t="s">
        <v>546</v>
      </c>
    </row>
    <row r="1368" spans="1:25">
      <c r="A1368" t="s">
        <v>688</v>
      </c>
      <c r="B1368">
        <v>5087.0963518929902</v>
      </c>
      <c r="C1368">
        <v>17</v>
      </c>
      <c r="D1368" t="s">
        <v>27</v>
      </c>
      <c r="E1368">
        <v>64</v>
      </c>
      <c r="U1368" t="s">
        <v>14</v>
      </c>
      <c r="Y1368" t="s">
        <v>546</v>
      </c>
    </row>
    <row r="1369" spans="1:25">
      <c r="A1369" t="s">
        <v>688</v>
      </c>
      <c r="B1369">
        <v>5091.0963518929902</v>
      </c>
      <c r="C1369">
        <v>40.052604975003298</v>
      </c>
      <c r="D1369" t="s">
        <v>18</v>
      </c>
      <c r="E1369">
        <v>107</v>
      </c>
      <c r="Y1369" t="s">
        <v>546</v>
      </c>
    </row>
    <row r="1370" spans="1:25">
      <c r="A1370" t="s">
        <v>688</v>
      </c>
      <c r="B1370">
        <v>5091.8970512803198</v>
      </c>
      <c r="C1370">
        <v>20</v>
      </c>
      <c r="D1370" t="s">
        <v>653</v>
      </c>
      <c r="E1370">
        <v>34</v>
      </c>
      <c r="I1370" t="s">
        <v>440</v>
      </c>
      <c r="M1370" t="s">
        <v>438</v>
      </c>
      <c r="Y1370" t="s">
        <v>546</v>
      </c>
    </row>
    <row r="1371" spans="1:25">
      <c r="A1371" t="s">
        <v>688</v>
      </c>
      <c r="B1371">
        <v>5093.6969039036503</v>
      </c>
      <c r="C1371">
        <v>20</v>
      </c>
      <c r="D1371" t="s">
        <v>649</v>
      </c>
      <c r="E1371">
        <v>66</v>
      </c>
      <c r="I1371" t="s">
        <v>439</v>
      </c>
      <c r="M1371" t="s">
        <v>607</v>
      </c>
      <c r="Y1371" t="s">
        <v>546</v>
      </c>
    </row>
    <row r="1372" spans="1:25">
      <c r="A1372" t="s">
        <v>688</v>
      </c>
      <c r="B1372">
        <v>5095.4974870919596</v>
      </c>
      <c r="C1372">
        <v>20</v>
      </c>
      <c r="D1372" t="s">
        <v>33</v>
      </c>
      <c r="E1372">
        <v>28</v>
      </c>
      <c r="Y1372" t="s">
        <v>546</v>
      </c>
    </row>
    <row r="1373" spans="1:25">
      <c r="A1373" t="s">
        <v>688</v>
      </c>
      <c r="B1373">
        <v>5097.054382237</v>
      </c>
      <c r="C1373">
        <v>20</v>
      </c>
      <c r="D1373" t="s">
        <v>761</v>
      </c>
      <c r="E1373">
        <v>23</v>
      </c>
      <c r="H1373" t="s">
        <v>628</v>
      </c>
      <c r="I1373" t="s">
        <v>440</v>
      </c>
      <c r="M1373" t="s">
        <v>607</v>
      </c>
      <c r="Y1373" t="s">
        <v>546</v>
      </c>
    </row>
    <row r="1374" spans="1:25">
      <c r="A1374" t="s">
        <v>688</v>
      </c>
      <c r="B1374">
        <v>5097.6903141379998</v>
      </c>
      <c r="C1374">
        <v>33.458642729998203</v>
      </c>
      <c r="D1374" t="s">
        <v>32</v>
      </c>
      <c r="E1374">
        <v>45</v>
      </c>
      <c r="R1374" t="s">
        <v>23</v>
      </c>
      <c r="Y1374" t="s">
        <v>546</v>
      </c>
    </row>
    <row r="1375" spans="1:25">
      <c r="A1375" t="s">
        <v>688</v>
      </c>
      <c r="B1375">
        <v>5099.8980944889699</v>
      </c>
      <c r="C1375">
        <v>20</v>
      </c>
      <c r="D1375" t="s">
        <v>651</v>
      </c>
      <c r="E1375">
        <v>35</v>
      </c>
      <c r="H1375" t="s">
        <v>628</v>
      </c>
      <c r="I1375" t="s">
        <v>723</v>
      </c>
      <c r="M1375" t="s">
        <v>678</v>
      </c>
      <c r="Y1375" t="s">
        <v>546</v>
      </c>
    </row>
    <row r="1376" spans="1:25">
      <c r="A1376" t="s">
        <v>688</v>
      </c>
      <c r="B1376">
        <v>5103.2964267796397</v>
      </c>
      <c r="C1376">
        <v>20</v>
      </c>
      <c r="D1376" t="s">
        <v>649</v>
      </c>
      <c r="E1376">
        <v>67</v>
      </c>
      <c r="I1376" t="s">
        <v>723</v>
      </c>
      <c r="M1376" t="s">
        <v>678</v>
      </c>
      <c r="Y1376" t="s">
        <v>546</v>
      </c>
    </row>
    <row r="1377" spans="1:25">
      <c r="A1377" t="s">
        <v>688</v>
      </c>
      <c r="B1377">
        <v>5106.5002016543103</v>
      </c>
      <c r="C1377">
        <v>20</v>
      </c>
      <c r="D1377" t="s">
        <v>642</v>
      </c>
      <c r="E1377">
        <v>34</v>
      </c>
      <c r="I1377" t="s">
        <v>442</v>
      </c>
      <c r="M1377" t="s">
        <v>607</v>
      </c>
      <c r="Y1377" t="s">
        <v>546</v>
      </c>
    </row>
    <row r="1378" spans="1:25">
      <c r="A1378" t="s">
        <v>688</v>
      </c>
      <c r="B1378">
        <v>5110.3956071563298</v>
      </c>
      <c r="C1378">
        <v>20</v>
      </c>
      <c r="D1378" t="s">
        <v>658</v>
      </c>
      <c r="E1378">
        <v>39</v>
      </c>
      <c r="I1378" t="s">
        <v>440</v>
      </c>
      <c r="M1378" t="s">
        <v>748</v>
      </c>
      <c r="Y1378" t="s">
        <v>546</v>
      </c>
    </row>
    <row r="1379" spans="1:25">
      <c r="A1379" t="s">
        <v>688</v>
      </c>
      <c r="B1379">
        <v>5112.8972562389899</v>
      </c>
      <c r="C1379">
        <v>20</v>
      </c>
      <c r="D1379" t="s">
        <v>642</v>
      </c>
      <c r="E1379">
        <v>35</v>
      </c>
      <c r="I1379" t="s">
        <v>447</v>
      </c>
      <c r="M1379" t="s">
        <v>608</v>
      </c>
      <c r="Y1379" t="s">
        <v>546</v>
      </c>
    </row>
    <row r="1380" spans="1:25">
      <c r="A1380" t="s">
        <v>688</v>
      </c>
      <c r="B1380">
        <v>5118.0932030716403</v>
      </c>
      <c r="C1380">
        <v>20</v>
      </c>
      <c r="D1380" t="s">
        <v>761</v>
      </c>
      <c r="E1380">
        <v>24</v>
      </c>
      <c r="K1380" t="s">
        <v>48</v>
      </c>
      <c r="M1380" t="s">
        <v>617</v>
      </c>
      <c r="Y1380" t="s">
        <v>546</v>
      </c>
    </row>
    <row r="1381" spans="1:25">
      <c r="A1381" t="s">
        <v>688</v>
      </c>
      <c r="B1381">
        <v>5131.1489568679999</v>
      </c>
      <c r="C1381">
        <v>11.248485729</v>
      </c>
      <c r="D1381" t="s">
        <v>10</v>
      </c>
      <c r="E1381">
        <v>97</v>
      </c>
      <c r="Y1381" t="s">
        <v>546</v>
      </c>
    </row>
    <row r="1382" spans="1:25">
      <c r="A1382" t="s">
        <v>688</v>
      </c>
      <c r="B1382">
        <v>5134.8956138663198</v>
      </c>
      <c r="C1382">
        <v>20</v>
      </c>
      <c r="D1382" t="s">
        <v>649</v>
      </c>
      <c r="E1382">
        <v>68</v>
      </c>
      <c r="I1382" t="s">
        <v>440</v>
      </c>
      <c r="M1382" t="s">
        <v>607</v>
      </c>
      <c r="Y1382" t="s">
        <v>546</v>
      </c>
    </row>
    <row r="1383" spans="1:25">
      <c r="A1383" t="s">
        <v>688</v>
      </c>
      <c r="B1383">
        <v>5135.397442597</v>
      </c>
      <c r="C1383">
        <v>17</v>
      </c>
      <c r="D1383" t="s">
        <v>6</v>
      </c>
      <c r="E1383">
        <v>35</v>
      </c>
      <c r="T1383" t="s">
        <v>21</v>
      </c>
      <c r="U1383" t="s">
        <v>195</v>
      </c>
      <c r="Y1383" t="s">
        <v>546</v>
      </c>
    </row>
    <row r="1384" spans="1:25">
      <c r="A1384" t="s">
        <v>688</v>
      </c>
      <c r="B1384">
        <v>5139.397442597</v>
      </c>
      <c r="C1384">
        <v>27.098117161641301</v>
      </c>
      <c r="D1384" t="s">
        <v>18</v>
      </c>
      <c r="E1384">
        <v>108</v>
      </c>
      <c r="Y1384" t="s">
        <v>546</v>
      </c>
    </row>
    <row r="1385" spans="1:25">
      <c r="A1385" t="s">
        <v>688</v>
      </c>
      <c r="B1385">
        <v>5139.9879162403004</v>
      </c>
      <c r="C1385">
        <v>20</v>
      </c>
      <c r="D1385" t="s">
        <v>642</v>
      </c>
      <c r="E1385">
        <v>36</v>
      </c>
      <c r="H1385" t="s">
        <v>450</v>
      </c>
      <c r="I1385" t="s">
        <v>751</v>
      </c>
      <c r="M1385" t="s">
        <v>678</v>
      </c>
      <c r="Y1385" t="s">
        <v>546</v>
      </c>
    </row>
    <row r="1386" spans="1:25">
      <c r="A1386" t="s">
        <v>688</v>
      </c>
      <c r="B1386">
        <v>5141.3960755730004</v>
      </c>
      <c r="C1386">
        <v>20</v>
      </c>
      <c r="D1386" t="s">
        <v>658</v>
      </c>
      <c r="E1386">
        <v>40</v>
      </c>
      <c r="H1386" t="s">
        <v>450</v>
      </c>
      <c r="I1386" t="s">
        <v>646</v>
      </c>
      <c r="M1386" t="s">
        <v>607</v>
      </c>
      <c r="Y1386" t="s">
        <v>546</v>
      </c>
    </row>
    <row r="1387" spans="1:25">
      <c r="A1387" t="s">
        <v>688</v>
      </c>
      <c r="B1387">
        <v>5142.397442597</v>
      </c>
      <c r="C1387">
        <v>24.098117161641301</v>
      </c>
      <c r="D1387" t="s">
        <v>19</v>
      </c>
      <c r="E1387">
        <v>97</v>
      </c>
      <c r="Y1387" t="s">
        <v>546</v>
      </c>
    </row>
    <row r="1388" spans="1:25">
      <c r="A1388" t="s">
        <v>688</v>
      </c>
      <c r="B1388">
        <v>5146.5894351429897</v>
      </c>
      <c r="C1388">
        <v>19.906124615649698</v>
      </c>
      <c r="D1388" t="s">
        <v>32</v>
      </c>
      <c r="E1388">
        <v>46</v>
      </c>
      <c r="R1388" t="s">
        <v>23</v>
      </c>
      <c r="Y1388" t="s">
        <v>546</v>
      </c>
    </row>
    <row r="1389" spans="1:25">
      <c r="A1389" t="s">
        <v>688</v>
      </c>
      <c r="B1389">
        <v>5147.5977617826502</v>
      </c>
      <c r="C1389">
        <v>20</v>
      </c>
      <c r="D1389" t="s">
        <v>33</v>
      </c>
      <c r="E1389">
        <v>29</v>
      </c>
      <c r="Y1389" t="s">
        <v>546</v>
      </c>
    </row>
    <row r="1390" spans="1:25">
      <c r="A1390" t="s">
        <v>688</v>
      </c>
      <c r="B1390">
        <v>5148.8869117699996</v>
      </c>
      <c r="C1390">
        <v>20</v>
      </c>
      <c r="D1390" t="s">
        <v>626</v>
      </c>
      <c r="E1390">
        <v>33</v>
      </c>
      <c r="H1390" t="s">
        <v>683</v>
      </c>
      <c r="M1390" t="s">
        <v>676</v>
      </c>
      <c r="Y1390" t="s">
        <v>546</v>
      </c>
    </row>
    <row r="1391" spans="1:25">
      <c r="A1391" t="s">
        <v>688</v>
      </c>
      <c r="B1391">
        <v>5166.4955597586404</v>
      </c>
      <c r="C1391">
        <v>12.1169247123589</v>
      </c>
      <c r="D1391" t="s">
        <v>10</v>
      </c>
      <c r="E1391">
        <v>98</v>
      </c>
      <c r="Y1391" t="s">
        <v>546</v>
      </c>
    </row>
    <row r="1392" spans="1:25">
      <c r="A1392" t="s">
        <v>688</v>
      </c>
      <c r="B1392">
        <v>5171.6124844710002</v>
      </c>
      <c r="C1392">
        <v>17</v>
      </c>
      <c r="D1392" t="s">
        <v>11</v>
      </c>
      <c r="E1392">
        <v>52</v>
      </c>
      <c r="T1392" t="s">
        <v>16</v>
      </c>
      <c r="Y1392" t="s">
        <v>546</v>
      </c>
    </row>
    <row r="1393" spans="1:25">
      <c r="A1393" t="s">
        <v>688</v>
      </c>
      <c r="B1393">
        <v>5174.261040462</v>
      </c>
      <c r="C1393">
        <v>22.4315708006561</v>
      </c>
      <c r="D1393" t="s">
        <v>427</v>
      </c>
      <c r="E1393">
        <v>23</v>
      </c>
      <c r="P1393" t="s">
        <v>31</v>
      </c>
      <c r="R1393" t="s">
        <v>20</v>
      </c>
      <c r="Y1393" t="s">
        <v>546</v>
      </c>
    </row>
    <row r="1394" spans="1:25">
      <c r="A1394" t="s">
        <v>688</v>
      </c>
      <c r="B1394">
        <v>5175.6124844710002</v>
      </c>
      <c r="C1394">
        <v>21.0801267916558</v>
      </c>
      <c r="D1394" t="s">
        <v>9</v>
      </c>
      <c r="E1394">
        <v>108</v>
      </c>
      <c r="Y1394" t="s">
        <v>546</v>
      </c>
    </row>
    <row r="1395" spans="1:25">
      <c r="A1395" t="s">
        <v>688</v>
      </c>
      <c r="B1395">
        <v>5178.6124844710002</v>
      </c>
      <c r="C1395">
        <v>18.0801267916558</v>
      </c>
      <c r="D1395" t="s">
        <v>19</v>
      </c>
      <c r="E1395">
        <v>98</v>
      </c>
      <c r="Y1395" t="s">
        <v>546</v>
      </c>
    </row>
    <row r="1396" spans="1:25">
      <c r="A1396" t="s">
        <v>688</v>
      </c>
      <c r="B1396">
        <v>5193.5969760133003</v>
      </c>
      <c r="C1396">
        <v>17</v>
      </c>
      <c r="D1396" t="s">
        <v>6</v>
      </c>
      <c r="E1396">
        <v>36</v>
      </c>
      <c r="T1396" t="s">
        <v>21</v>
      </c>
      <c r="U1396" t="s">
        <v>195</v>
      </c>
      <c r="Y1396" t="s">
        <v>546</v>
      </c>
    </row>
    <row r="1397" spans="1:25">
      <c r="A1397" t="s">
        <v>688</v>
      </c>
      <c r="B1397">
        <v>5194.4954470336397</v>
      </c>
      <c r="C1397">
        <v>20</v>
      </c>
      <c r="D1397" t="s">
        <v>645</v>
      </c>
      <c r="E1397">
        <v>55</v>
      </c>
      <c r="I1397" t="s">
        <v>447</v>
      </c>
      <c r="M1397" t="s">
        <v>607</v>
      </c>
      <c r="Y1397" t="s">
        <v>546</v>
      </c>
    </row>
    <row r="1398" spans="1:25">
      <c r="A1398" t="s">
        <v>688</v>
      </c>
      <c r="B1398">
        <v>5196.1900404090102</v>
      </c>
      <c r="C1398">
        <v>20</v>
      </c>
      <c r="D1398" t="s">
        <v>33</v>
      </c>
      <c r="E1398">
        <v>30</v>
      </c>
      <c r="Y1398" t="s">
        <v>546</v>
      </c>
    </row>
    <row r="1399" spans="1:25">
      <c r="A1399" t="s">
        <v>688</v>
      </c>
      <c r="B1399">
        <v>5196.6926112626497</v>
      </c>
      <c r="C1399">
        <v>3.9043647506441599</v>
      </c>
      <c r="D1399" t="s">
        <v>10</v>
      </c>
      <c r="E1399">
        <v>99</v>
      </c>
      <c r="Y1399" t="s">
        <v>546</v>
      </c>
    </row>
    <row r="1400" spans="1:25">
      <c r="A1400" t="s">
        <v>688</v>
      </c>
      <c r="B1400">
        <v>5197.5969760133003</v>
      </c>
      <c r="C1400">
        <v>10.700708941022601</v>
      </c>
      <c r="D1400" t="s">
        <v>18</v>
      </c>
      <c r="E1400">
        <v>109</v>
      </c>
      <c r="Y1400" t="s">
        <v>546</v>
      </c>
    </row>
    <row r="1401" spans="1:25">
      <c r="A1401" t="s">
        <v>688</v>
      </c>
      <c r="B1401">
        <v>5198.1535606179996</v>
      </c>
      <c r="C1401">
        <v>20</v>
      </c>
      <c r="D1401" t="s">
        <v>654</v>
      </c>
      <c r="E1401">
        <v>26</v>
      </c>
      <c r="M1401" t="s">
        <v>676</v>
      </c>
      <c r="Y1401" t="s">
        <v>546</v>
      </c>
    </row>
    <row r="1402" spans="1:25">
      <c r="A1402" t="s">
        <v>688</v>
      </c>
      <c r="B1402">
        <v>5200.5969760133003</v>
      </c>
      <c r="C1402">
        <v>27.000376487005202</v>
      </c>
      <c r="D1402" t="s">
        <v>19</v>
      </c>
      <c r="E1402">
        <v>99</v>
      </c>
      <c r="Y1402" t="s">
        <v>546</v>
      </c>
    </row>
    <row r="1403" spans="1:25">
      <c r="A1403" t="s">
        <v>688</v>
      </c>
      <c r="B1403">
        <v>5201.2976849543202</v>
      </c>
      <c r="C1403">
        <v>17</v>
      </c>
      <c r="D1403" t="s">
        <v>40</v>
      </c>
      <c r="E1403">
        <v>45</v>
      </c>
      <c r="U1403" t="s">
        <v>14</v>
      </c>
      <c r="Y1403" t="s">
        <v>546</v>
      </c>
    </row>
    <row r="1404" spans="1:25">
      <c r="A1404" t="s">
        <v>688</v>
      </c>
      <c r="B1404">
        <v>5201.59524254397</v>
      </c>
      <c r="C1404">
        <v>20</v>
      </c>
      <c r="D1404" t="s">
        <v>653</v>
      </c>
      <c r="E1404">
        <v>35</v>
      </c>
      <c r="H1404" t="s">
        <v>336</v>
      </c>
      <c r="K1404" t="s">
        <v>444</v>
      </c>
      <c r="M1404" t="s">
        <v>612</v>
      </c>
      <c r="Y1404" t="s">
        <v>546</v>
      </c>
    </row>
    <row r="1405" spans="1:25">
      <c r="A1405" t="s">
        <v>688</v>
      </c>
      <c r="B1405">
        <v>5204.8956649700103</v>
      </c>
      <c r="C1405">
        <v>17</v>
      </c>
      <c r="D1405" t="s">
        <v>27</v>
      </c>
      <c r="E1405">
        <v>65</v>
      </c>
      <c r="U1405" t="s">
        <v>14</v>
      </c>
      <c r="Y1405" t="s">
        <v>546</v>
      </c>
    </row>
    <row r="1406" spans="1:25">
      <c r="A1406" t="s">
        <v>688</v>
      </c>
      <c r="B1406">
        <v>5205.2976849543202</v>
      </c>
      <c r="C1406">
        <v>6.5979800156892399</v>
      </c>
      <c r="D1406" t="s">
        <v>9</v>
      </c>
      <c r="E1406">
        <v>109</v>
      </c>
      <c r="Y1406" t="s">
        <v>546</v>
      </c>
    </row>
    <row r="1407" spans="1:25">
      <c r="A1407" t="s">
        <v>688</v>
      </c>
      <c r="B1407">
        <v>5208.8956649700103</v>
      </c>
      <c r="C1407">
        <v>8.1001659233161192</v>
      </c>
      <c r="D1407" t="s">
        <v>18</v>
      </c>
      <c r="E1407">
        <v>110</v>
      </c>
      <c r="Y1407" t="s">
        <v>546</v>
      </c>
    </row>
    <row r="1408" spans="1:25">
      <c r="A1408" t="s">
        <v>688</v>
      </c>
      <c r="B1408">
        <v>5209.9958308933201</v>
      </c>
      <c r="C1408">
        <v>17</v>
      </c>
      <c r="D1408" t="s">
        <v>40</v>
      </c>
      <c r="E1408">
        <v>46</v>
      </c>
      <c r="U1408" t="s">
        <v>14</v>
      </c>
      <c r="Y1408" t="s">
        <v>546</v>
      </c>
    </row>
    <row r="1409" spans="1:25">
      <c r="A1409" t="s">
        <v>688</v>
      </c>
      <c r="B1409">
        <v>5213.9958308933201</v>
      </c>
      <c r="C1409">
        <v>13.601521606977199</v>
      </c>
      <c r="D1409" t="s">
        <v>9</v>
      </c>
      <c r="E1409">
        <v>110</v>
      </c>
      <c r="Y1409" t="s">
        <v>546</v>
      </c>
    </row>
    <row r="1410" spans="1:25">
      <c r="A1410" t="s">
        <v>688</v>
      </c>
      <c r="B1410">
        <v>5227.5973525003001</v>
      </c>
      <c r="C1410">
        <v>3.7000021910171199</v>
      </c>
      <c r="D1410" t="s">
        <v>10</v>
      </c>
      <c r="E1410">
        <v>100</v>
      </c>
      <c r="Y1410" t="s">
        <v>546</v>
      </c>
    </row>
    <row r="1411" spans="1:25">
      <c r="A1411" t="s">
        <v>688</v>
      </c>
      <c r="B1411">
        <v>5228.2973546913199</v>
      </c>
      <c r="C1411">
        <v>4.5995028780016503</v>
      </c>
      <c r="D1411" t="s">
        <v>18</v>
      </c>
      <c r="E1411">
        <v>111</v>
      </c>
      <c r="Y1411" t="s">
        <v>546</v>
      </c>
    </row>
    <row r="1412" spans="1:25">
      <c r="A1412" t="s">
        <v>688</v>
      </c>
      <c r="B1412">
        <v>5231.2973546913199</v>
      </c>
      <c r="C1412">
        <v>1.59950287800165</v>
      </c>
      <c r="D1412" t="s">
        <v>19</v>
      </c>
      <c r="E1412">
        <v>100</v>
      </c>
      <c r="Y1412" t="s">
        <v>546</v>
      </c>
    </row>
    <row r="1413" spans="1:25">
      <c r="A1413" t="s">
        <v>688</v>
      </c>
      <c r="B1413">
        <v>5232.8968575693198</v>
      </c>
      <c r="C1413">
        <v>12.0991250273527</v>
      </c>
      <c r="D1413" t="s">
        <v>10</v>
      </c>
      <c r="E1413">
        <v>101</v>
      </c>
      <c r="Y1413" t="s">
        <v>546</v>
      </c>
    </row>
    <row r="1414" spans="1:25">
      <c r="A1414" t="s">
        <v>688</v>
      </c>
      <c r="B1414">
        <v>5236.869853573</v>
      </c>
      <c r="C1414">
        <v>20</v>
      </c>
      <c r="D1414" t="s">
        <v>626</v>
      </c>
      <c r="E1414">
        <v>34</v>
      </c>
      <c r="I1414" t="s">
        <v>440</v>
      </c>
      <c r="M1414" t="s">
        <v>607</v>
      </c>
      <c r="Y1414" t="s">
        <v>546</v>
      </c>
    </row>
    <row r="1415" spans="1:25">
      <c r="A1415" t="s">
        <v>688</v>
      </c>
      <c r="B1415">
        <v>5237.9959825966698</v>
      </c>
      <c r="C1415">
        <v>17</v>
      </c>
      <c r="D1415" t="s">
        <v>6</v>
      </c>
      <c r="E1415">
        <v>37</v>
      </c>
      <c r="T1415" t="s">
        <v>21</v>
      </c>
      <c r="U1415" t="s">
        <v>195</v>
      </c>
      <c r="Y1415" t="s">
        <v>546</v>
      </c>
    </row>
    <row r="1416" spans="1:25">
      <c r="A1416" t="s">
        <v>688</v>
      </c>
      <c r="B1416">
        <v>5238.3957832743099</v>
      </c>
      <c r="C1416">
        <v>20</v>
      </c>
      <c r="D1416" t="s">
        <v>645</v>
      </c>
      <c r="E1416">
        <v>56</v>
      </c>
      <c r="I1416" t="s">
        <v>680</v>
      </c>
      <c r="M1416" t="s">
        <v>607</v>
      </c>
      <c r="Y1416" t="s">
        <v>546</v>
      </c>
    </row>
    <row r="1417" spans="1:25">
      <c r="A1417" t="s">
        <v>688</v>
      </c>
      <c r="B1417">
        <v>5240.8957144446404</v>
      </c>
      <c r="C1417">
        <v>20</v>
      </c>
      <c r="D1417" t="s">
        <v>651</v>
      </c>
      <c r="E1417">
        <v>36</v>
      </c>
      <c r="I1417" t="s">
        <v>439</v>
      </c>
      <c r="M1417" t="s">
        <v>607</v>
      </c>
      <c r="Y1417" t="s">
        <v>546</v>
      </c>
    </row>
    <row r="1418" spans="1:25">
      <c r="A1418" t="s">
        <v>688</v>
      </c>
      <c r="B1418">
        <v>5241.9959825966698</v>
      </c>
      <c r="C1418">
        <v>14.865948793322699</v>
      </c>
      <c r="D1418" t="s">
        <v>18</v>
      </c>
      <c r="E1418">
        <v>112</v>
      </c>
      <c r="Y1418" t="s">
        <v>546</v>
      </c>
    </row>
    <row r="1419" spans="1:25">
      <c r="A1419" t="s">
        <v>688</v>
      </c>
      <c r="B1419">
        <v>5242.8894763640001</v>
      </c>
      <c r="C1419">
        <v>20</v>
      </c>
      <c r="D1419" t="s">
        <v>761</v>
      </c>
      <c r="E1419">
        <v>25</v>
      </c>
      <c r="H1419" t="s">
        <v>628</v>
      </c>
      <c r="I1419" t="s">
        <v>442</v>
      </c>
      <c r="M1419" t="s">
        <v>607</v>
      </c>
      <c r="Y1419" t="s">
        <v>546</v>
      </c>
    </row>
    <row r="1420" spans="1:25">
      <c r="A1420" t="s">
        <v>688</v>
      </c>
      <c r="B1420">
        <v>5244.0865127373299</v>
      </c>
      <c r="C1420">
        <v>20</v>
      </c>
      <c r="D1420" t="s">
        <v>651</v>
      </c>
      <c r="E1420">
        <v>37</v>
      </c>
      <c r="M1420" t="s">
        <v>641</v>
      </c>
      <c r="Y1420" t="s">
        <v>546</v>
      </c>
    </row>
    <row r="1421" spans="1:25">
      <c r="A1421" t="s">
        <v>688</v>
      </c>
      <c r="B1421">
        <v>5244.9959825966698</v>
      </c>
      <c r="C1421">
        <v>19.596939575309001</v>
      </c>
      <c r="D1421" t="s">
        <v>19</v>
      </c>
      <c r="E1421">
        <v>101</v>
      </c>
      <c r="Y1421" t="s">
        <v>546</v>
      </c>
    </row>
    <row r="1422" spans="1:25">
      <c r="A1422" t="s">
        <v>688</v>
      </c>
      <c r="B1422">
        <v>5246.6952433356601</v>
      </c>
      <c r="C1422">
        <v>9.8015065443187197</v>
      </c>
      <c r="D1422" t="s">
        <v>32</v>
      </c>
      <c r="E1422">
        <v>47</v>
      </c>
      <c r="R1422" t="s">
        <v>23</v>
      </c>
      <c r="Y1422" t="s">
        <v>546</v>
      </c>
    </row>
    <row r="1423" spans="1:25">
      <c r="A1423" t="s">
        <v>688</v>
      </c>
      <c r="B1423">
        <v>5249.8619313899999</v>
      </c>
      <c r="C1423">
        <v>17</v>
      </c>
      <c r="D1423" t="s">
        <v>40</v>
      </c>
      <c r="E1423">
        <v>47</v>
      </c>
      <c r="U1423" t="s">
        <v>195</v>
      </c>
      <c r="Y1423" t="s">
        <v>546</v>
      </c>
    </row>
    <row r="1424" spans="1:25">
      <c r="A1424" t="s">
        <v>688</v>
      </c>
      <c r="B1424">
        <v>5253.8619313899999</v>
      </c>
      <c r="C1424">
        <v>10.7309907819862</v>
      </c>
      <c r="D1424" t="s">
        <v>9</v>
      </c>
      <c r="E1424">
        <v>111</v>
      </c>
      <c r="Y1424" t="s">
        <v>546</v>
      </c>
    </row>
    <row r="1425" spans="1:25">
      <c r="A1425" t="s">
        <v>688</v>
      </c>
      <c r="B1425">
        <v>5257.6966568339903</v>
      </c>
      <c r="C1425">
        <v>6.8962653379940004</v>
      </c>
      <c r="D1425" t="s">
        <v>42</v>
      </c>
      <c r="E1425">
        <v>9</v>
      </c>
      <c r="R1425" t="s">
        <v>20</v>
      </c>
      <c r="Y1425" t="s">
        <v>546</v>
      </c>
    </row>
    <row r="1426" spans="1:25">
      <c r="A1426" t="s">
        <v>688</v>
      </c>
      <c r="B1426">
        <v>5262.1630152859998</v>
      </c>
      <c r="C1426">
        <v>20</v>
      </c>
      <c r="D1426" t="s">
        <v>647</v>
      </c>
      <c r="E1426">
        <v>34</v>
      </c>
      <c r="I1426" t="s">
        <v>440</v>
      </c>
      <c r="M1426" t="s">
        <v>607</v>
      </c>
      <c r="Y1426" t="s">
        <v>546</v>
      </c>
    </row>
    <row r="1427" spans="1:25">
      <c r="A1427" t="s">
        <v>688</v>
      </c>
      <c r="B1427">
        <v>5263.9960914446501</v>
      </c>
      <c r="C1427">
        <v>17</v>
      </c>
      <c r="D1427" t="s">
        <v>6</v>
      </c>
      <c r="E1427">
        <v>38</v>
      </c>
      <c r="T1427" t="s">
        <v>21</v>
      </c>
      <c r="U1427" t="s">
        <v>195</v>
      </c>
      <c r="Y1427" t="s">
        <v>546</v>
      </c>
    </row>
    <row r="1428" spans="1:25">
      <c r="A1428" t="s">
        <v>688</v>
      </c>
      <c r="B1428">
        <v>5264.5929221719798</v>
      </c>
      <c r="C1428">
        <v>6.4031692726730398</v>
      </c>
      <c r="D1428" t="s">
        <v>10</v>
      </c>
      <c r="E1428">
        <v>102</v>
      </c>
      <c r="Y1428" t="s">
        <v>546</v>
      </c>
    </row>
    <row r="1429" spans="1:25">
      <c r="A1429" t="s">
        <v>688</v>
      </c>
      <c r="B1429">
        <v>5265.0192418409997</v>
      </c>
      <c r="C1429">
        <v>20</v>
      </c>
      <c r="D1429" t="s">
        <v>645</v>
      </c>
      <c r="E1429">
        <v>57</v>
      </c>
      <c r="I1429" t="s">
        <v>442</v>
      </c>
      <c r="M1429" t="s">
        <v>607</v>
      </c>
      <c r="Y1429" t="s">
        <v>546</v>
      </c>
    </row>
    <row r="1430" spans="1:25">
      <c r="A1430" t="s">
        <v>688</v>
      </c>
      <c r="B1430">
        <v>5265.5398539999997</v>
      </c>
      <c r="C1430">
        <v>20</v>
      </c>
      <c r="D1430" t="s">
        <v>626</v>
      </c>
      <c r="E1430">
        <v>35</v>
      </c>
      <c r="H1430" t="s">
        <v>628</v>
      </c>
      <c r="I1430" t="s">
        <v>440</v>
      </c>
      <c r="M1430" t="s">
        <v>607</v>
      </c>
      <c r="Y1430" t="s">
        <v>546</v>
      </c>
    </row>
    <row r="1431" spans="1:25">
      <c r="A1431" t="s">
        <v>688</v>
      </c>
      <c r="B1431">
        <v>5267.9960914446501</v>
      </c>
      <c r="C1431">
        <v>21.275648286340498</v>
      </c>
      <c r="D1431" t="s">
        <v>18</v>
      </c>
      <c r="E1431">
        <v>113</v>
      </c>
      <c r="Y1431" t="s">
        <v>546</v>
      </c>
    </row>
    <row r="1432" spans="1:25">
      <c r="A1432" t="s">
        <v>688</v>
      </c>
      <c r="B1432">
        <v>5268.1322100810003</v>
      </c>
      <c r="C1432">
        <v>20</v>
      </c>
      <c r="D1432" t="s">
        <v>658</v>
      </c>
      <c r="E1432">
        <v>41</v>
      </c>
      <c r="H1432" t="s">
        <v>628</v>
      </c>
      <c r="I1432" t="s">
        <v>440</v>
      </c>
      <c r="M1432" t="s">
        <v>607</v>
      </c>
      <c r="Y1432" t="s">
        <v>546</v>
      </c>
    </row>
    <row r="1433" spans="1:25">
      <c r="A1433" t="s">
        <v>688</v>
      </c>
      <c r="B1433">
        <v>5270.9960914446501</v>
      </c>
      <c r="C1433">
        <v>45.298724106010901</v>
      </c>
      <c r="D1433" t="s">
        <v>19</v>
      </c>
      <c r="E1433">
        <v>102</v>
      </c>
      <c r="Y1433" t="s">
        <v>546</v>
      </c>
    </row>
    <row r="1434" spans="1:25">
      <c r="A1434" t="s">
        <v>688</v>
      </c>
      <c r="B1434">
        <v>5273.6960994033097</v>
      </c>
      <c r="C1434">
        <v>20</v>
      </c>
      <c r="D1434" t="s">
        <v>642</v>
      </c>
      <c r="E1434">
        <v>37</v>
      </c>
      <c r="I1434" t="s">
        <v>442</v>
      </c>
      <c r="M1434" t="s">
        <v>607</v>
      </c>
      <c r="Y1434" t="s">
        <v>546</v>
      </c>
    </row>
    <row r="1435" spans="1:25">
      <c r="A1435" t="s">
        <v>688</v>
      </c>
      <c r="B1435">
        <v>5275.1980256136403</v>
      </c>
      <c r="C1435">
        <v>14.073714117359399</v>
      </c>
      <c r="D1435" t="s">
        <v>121</v>
      </c>
      <c r="E1435">
        <v>17</v>
      </c>
      <c r="P1435" t="s">
        <v>30</v>
      </c>
      <c r="R1435" t="s">
        <v>23</v>
      </c>
      <c r="Y1435" t="s">
        <v>546</v>
      </c>
    </row>
    <row r="1436" spans="1:25">
      <c r="A1436" t="s">
        <v>688</v>
      </c>
      <c r="B1436">
        <v>5275.802366029</v>
      </c>
      <c r="C1436">
        <v>20</v>
      </c>
      <c r="D1436" t="s">
        <v>658</v>
      </c>
      <c r="E1436">
        <v>42</v>
      </c>
      <c r="H1436" t="s">
        <v>5</v>
      </c>
      <c r="M1436" t="s">
        <v>682</v>
      </c>
      <c r="Y1436" t="s">
        <v>546</v>
      </c>
    </row>
    <row r="1437" spans="1:25">
      <c r="A1437" t="s">
        <v>688</v>
      </c>
      <c r="B1437">
        <v>5282.2717397309998</v>
      </c>
      <c r="C1437">
        <v>17</v>
      </c>
      <c r="D1437" t="s">
        <v>40</v>
      </c>
      <c r="E1437">
        <v>48</v>
      </c>
      <c r="U1437" t="s">
        <v>28</v>
      </c>
      <c r="Y1437" t="s">
        <v>546</v>
      </c>
    </row>
    <row r="1438" spans="1:25">
      <c r="A1438" t="s">
        <v>688</v>
      </c>
      <c r="B1438">
        <v>5284.1818456729998</v>
      </c>
      <c r="C1438">
        <v>20</v>
      </c>
      <c r="D1438" t="s">
        <v>658</v>
      </c>
      <c r="E1438">
        <v>43</v>
      </c>
      <c r="K1438" t="s">
        <v>432</v>
      </c>
      <c r="M1438" t="s">
        <v>617</v>
      </c>
      <c r="Y1438" t="s">
        <v>546</v>
      </c>
    </row>
    <row r="1439" spans="1:25">
      <c r="A1439" t="s">
        <v>688</v>
      </c>
      <c r="B1439">
        <v>5286.2717397309998</v>
      </c>
      <c r="C1439">
        <v>12.124431987010199</v>
      </c>
      <c r="D1439" t="s">
        <v>9</v>
      </c>
      <c r="E1439">
        <v>112</v>
      </c>
      <c r="Y1439" t="s">
        <v>546</v>
      </c>
    </row>
    <row r="1440" spans="1:25">
      <c r="A1440" t="s">
        <v>688</v>
      </c>
      <c r="B1440">
        <v>5286.4971877116504</v>
      </c>
      <c r="C1440">
        <v>20</v>
      </c>
      <c r="D1440" t="s">
        <v>46</v>
      </c>
      <c r="E1440">
        <v>4</v>
      </c>
      <c r="R1440" t="s">
        <v>23</v>
      </c>
      <c r="Y1440" t="s">
        <v>546</v>
      </c>
    </row>
    <row r="1441" spans="1:25">
      <c r="A1441" t="s">
        <v>688</v>
      </c>
      <c r="B1441">
        <v>5288.0384862860001</v>
      </c>
      <c r="C1441">
        <v>20</v>
      </c>
      <c r="D1441" t="s">
        <v>626</v>
      </c>
      <c r="E1441">
        <v>36</v>
      </c>
      <c r="H1441" t="s">
        <v>5</v>
      </c>
      <c r="J1441" t="s">
        <v>639</v>
      </c>
      <c r="M1441" t="s">
        <v>725</v>
      </c>
      <c r="Y1441" t="s">
        <v>546</v>
      </c>
    </row>
    <row r="1442" spans="1:25">
      <c r="A1442" t="s">
        <v>688</v>
      </c>
      <c r="B1442">
        <v>5291.39617171801</v>
      </c>
      <c r="C1442">
        <v>17</v>
      </c>
      <c r="D1442" t="s">
        <v>27</v>
      </c>
      <c r="E1442">
        <v>66</v>
      </c>
      <c r="U1442" t="s">
        <v>28</v>
      </c>
      <c r="Y1442" t="s">
        <v>546</v>
      </c>
    </row>
    <row r="1443" spans="1:25">
      <c r="A1443" t="s">
        <v>688</v>
      </c>
      <c r="B1443">
        <v>5295.39617171801</v>
      </c>
      <c r="C1443">
        <v>9.50057641566036</v>
      </c>
      <c r="D1443" t="s">
        <v>18</v>
      </c>
      <c r="E1443">
        <v>114</v>
      </c>
      <c r="Y1443" t="s">
        <v>546</v>
      </c>
    </row>
    <row r="1444" spans="1:25">
      <c r="A1444" t="s">
        <v>688</v>
      </c>
      <c r="B1444">
        <v>5297.8967481336704</v>
      </c>
      <c r="C1444">
        <v>17</v>
      </c>
      <c r="D1444" t="s">
        <v>40</v>
      </c>
      <c r="E1444">
        <v>49</v>
      </c>
      <c r="U1444" t="s">
        <v>28</v>
      </c>
      <c r="Y1444" t="s">
        <v>546</v>
      </c>
    </row>
    <row r="1445" spans="1:25">
      <c r="A1445" t="s">
        <v>688</v>
      </c>
      <c r="B1445">
        <v>5301.8967481336704</v>
      </c>
      <c r="C1445">
        <v>14.3980674169997</v>
      </c>
      <c r="D1445" t="s">
        <v>9</v>
      </c>
      <c r="E1445">
        <v>113</v>
      </c>
      <c r="Y1445" t="s">
        <v>546</v>
      </c>
    </row>
    <row r="1446" spans="1:25">
      <c r="A1446" t="s">
        <v>688</v>
      </c>
      <c r="B1446">
        <v>5303.8958722766602</v>
      </c>
      <c r="C1446">
        <v>20</v>
      </c>
      <c r="D1446" t="s">
        <v>653</v>
      </c>
      <c r="E1446">
        <v>36</v>
      </c>
      <c r="J1446" t="s">
        <v>639</v>
      </c>
      <c r="Y1446" t="s">
        <v>546</v>
      </c>
    </row>
    <row r="1447" spans="1:25">
      <c r="A1447" t="s">
        <v>688</v>
      </c>
      <c r="B1447">
        <v>5316.2948155506701</v>
      </c>
      <c r="C1447">
        <v>6.11080813433</v>
      </c>
      <c r="D1447" t="s">
        <v>10</v>
      </c>
      <c r="E1447">
        <v>103</v>
      </c>
      <c r="Y1447" t="s">
        <v>546</v>
      </c>
    </row>
    <row r="1448" spans="1:25">
      <c r="Y1448" t="s">
        <v>546</v>
      </c>
    </row>
  </sheetData>
  <autoFilter ref="D1:D1448" xr:uid="{BCC7619A-E75B-FB45-8D38-295D2C6E3C68}"/>
  <sortState xmlns:xlrd2="http://schemas.microsoft.com/office/spreadsheetml/2017/richdata2" ref="A2:Y1447">
    <sortCondition ref="B1:B1447"/>
  </sortState>
  <phoneticPr fontId="38"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Team Report</vt:lpstr>
      <vt:lpstr>Player Report</vt:lpstr>
      <vt:lpstr>Dashboard</vt:lpstr>
      <vt:lpstr>Dashboard (IND)</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Jehee</dc:creator>
  <cp:lastModifiedBy>Jehee</cp:lastModifiedBy>
  <dcterms:created xsi:type="dcterms:W3CDTF">2025-08-26T10:18:47Z</dcterms:created>
  <dcterms:modified xsi:type="dcterms:W3CDTF">2026-07-28T15:24:33Z</dcterms:modified>
</cp:coreProperties>
</file>